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A_Maletin\A_Personal\AFAUTAL\Antecedentes contables al 30 de julio de 2021\Afiliaciones\Cobro descuentos 2026\"/>
    </mc:Choice>
  </mc:AlternateContent>
  <xr:revisionPtr revIDLastSave="0" documentId="8_{29EE952C-44EC-4F76-948B-C81FE72177CF}" xr6:coauthVersionLast="47" xr6:coauthVersionMax="47" xr10:uidLastSave="{00000000-0000-0000-0000-000000000000}"/>
  <bookViews>
    <workbookView xWindow="28680" yWindow="-120" windowWidth="29040" windowHeight="15720" activeTab="1" xr2:uid="{855ADEBE-8335-49D0-A451-E77DCDEFF0BF}"/>
  </bookViews>
  <sheets>
    <sheet name="Hoja1" sheetId="1" r:id="rId1"/>
    <sheet name="Hoja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0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" i="2"/>
  <c r="H230" i="2" l="1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" i="2"/>
  <c r="G230" i="2" s="1"/>
  <c r="D203" i="1"/>
  <c r="E203" i="1"/>
  <c r="F203" i="1"/>
  <c r="D17" i="1"/>
  <c r="E17" i="1"/>
  <c r="F17" i="1"/>
  <c r="D107" i="1"/>
  <c r="E107" i="1"/>
  <c r="F107" i="1"/>
  <c r="D31" i="1"/>
  <c r="E31" i="1"/>
  <c r="F31" i="1"/>
  <c r="D205" i="1"/>
  <c r="E205" i="1"/>
  <c r="F205" i="1"/>
  <c r="D152" i="1" l="1"/>
  <c r="E152" i="1"/>
  <c r="F152" i="1"/>
  <c r="D34" i="1"/>
  <c r="E34" i="1"/>
  <c r="F34" i="1"/>
  <c r="D85" i="1"/>
  <c r="E85" i="1"/>
  <c r="F85" i="1"/>
  <c r="D37" i="1"/>
  <c r="E37" i="1"/>
  <c r="F37" i="1"/>
  <c r="D128" i="1"/>
  <c r="E128" i="1"/>
  <c r="F128" i="1"/>
  <c r="D24" i="1"/>
  <c r="E24" i="1"/>
  <c r="F24" i="1"/>
  <c r="D90" i="1"/>
  <c r="E90" i="1"/>
  <c r="F90" i="1"/>
  <c r="D151" i="1"/>
  <c r="E151" i="1"/>
  <c r="F151" i="1"/>
  <c r="D131" i="1"/>
  <c r="E131" i="1"/>
  <c r="F131" i="1"/>
  <c r="D112" i="1"/>
  <c r="E112" i="1"/>
  <c r="F112" i="1"/>
  <c r="D55" i="1"/>
  <c r="E55" i="1"/>
  <c r="F55" i="1"/>
  <c r="D201" i="1"/>
  <c r="E201" i="1"/>
  <c r="F201" i="1"/>
  <c r="D6" i="1"/>
  <c r="E6" i="1"/>
  <c r="F6" i="1"/>
  <c r="D172" i="1"/>
  <c r="E172" i="1"/>
  <c r="F172" i="1"/>
  <c r="F2" i="1" l="1"/>
  <c r="F3" i="1"/>
  <c r="F4" i="1"/>
  <c r="F5" i="1"/>
  <c r="F7" i="1"/>
  <c r="F8" i="1"/>
  <c r="F9" i="1"/>
  <c r="F10" i="1"/>
  <c r="F11" i="1"/>
  <c r="F12" i="1"/>
  <c r="F13" i="1"/>
  <c r="F14" i="1"/>
  <c r="F15" i="1"/>
  <c r="F16" i="1"/>
  <c r="F18" i="1"/>
  <c r="F19" i="1"/>
  <c r="F20" i="1"/>
  <c r="F21" i="1"/>
  <c r="F22" i="1"/>
  <c r="F23" i="1"/>
  <c r="F25" i="1"/>
  <c r="F26" i="1"/>
  <c r="F27" i="1"/>
  <c r="F28" i="1"/>
  <c r="F29" i="1"/>
  <c r="F30" i="1"/>
  <c r="F32" i="1"/>
  <c r="F33" i="1"/>
  <c r="F35" i="1"/>
  <c r="F36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6" i="1"/>
  <c r="F87" i="1"/>
  <c r="F88" i="1"/>
  <c r="F89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8" i="1"/>
  <c r="F109" i="1"/>
  <c r="F110" i="1"/>
  <c r="F111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9" i="1"/>
  <c r="F130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2" i="1"/>
  <c r="F204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6" i="1"/>
  <c r="F227" i="1"/>
  <c r="F228" i="1"/>
  <c r="F229" i="1"/>
  <c r="F225" i="1"/>
  <c r="F71" i="1"/>
  <c r="E2" i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8" i="1"/>
  <c r="E19" i="1"/>
  <c r="E20" i="1"/>
  <c r="E21" i="1"/>
  <c r="E22" i="1"/>
  <c r="E23" i="1"/>
  <c r="E25" i="1"/>
  <c r="E26" i="1"/>
  <c r="E27" i="1"/>
  <c r="E28" i="1"/>
  <c r="E29" i="1"/>
  <c r="E30" i="1"/>
  <c r="E32" i="1"/>
  <c r="E33" i="1"/>
  <c r="E35" i="1"/>
  <c r="E36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6" i="1"/>
  <c r="E87" i="1"/>
  <c r="E88" i="1"/>
  <c r="E89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8" i="1"/>
  <c r="E109" i="1"/>
  <c r="E110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9" i="1"/>
  <c r="E130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2" i="1"/>
  <c r="E204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6" i="1"/>
  <c r="E227" i="1"/>
  <c r="E228" i="1"/>
  <c r="E229" i="1"/>
  <c r="E225" i="1"/>
  <c r="E71" i="1"/>
  <c r="D71" i="1"/>
  <c r="D225" i="1"/>
  <c r="D210" i="1"/>
  <c r="D166" i="1" l="1"/>
  <c r="D51" i="1"/>
  <c r="D98" i="1" l="1"/>
  <c r="D186" i="1"/>
  <c r="D61" i="1"/>
  <c r="D88" i="1"/>
  <c r="D25" i="1"/>
  <c r="D129" i="1"/>
  <c r="D36" i="1"/>
  <c r="D184" i="1"/>
  <c r="D119" i="1"/>
  <c r="D78" i="1"/>
  <c r="D82" i="1"/>
  <c r="D170" i="1"/>
  <c r="D180" i="1"/>
  <c r="D153" i="1"/>
  <c r="D154" i="1"/>
  <c r="D211" i="1"/>
  <c r="D122" i="1"/>
  <c r="D29" i="1"/>
  <c r="D192" i="1"/>
  <c r="D21" i="1"/>
  <c r="D227" i="1"/>
  <c r="D62" i="1"/>
  <c r="D120" i="1"/>
  <c r="D113" i="1"/>
  <c r="D206" i="1"/>
  <c r="D209" i="1"/>
  <c r="D167" i="1"/>
  <c r="D158" i="1"/>
  <c r="D213" i="1"/>
  <c r="D117" i="1"/>
  <c r="D19" i="1"/>
  <c r="D12" i="1"/>
  <c r="D178" i="1"/>
  <c r="D141" i="1"/>
  <c r="D3" i="1"/>
  <c r="D142" i="1"/>
  <c r="D101" i="1"/>
  <c r="D169" i="1"/>
  <c r="D45" i="1"/>
  <c r="D171" i="1"/>
  <c r="D108" i="1"/>
  <c r="D185" i="1"/>
  <c r="D9" i="1"/>
  <c r="D64" i="1"/>
  <c r="D30" i="1"/>
  <c r="D133" i="1"/>
  <c r="D54" i="1"/>
  <c r="D94" i="1"/>
  <c r="D84" i="1"/>
  <c r="D87" i="1"/>
  <c r="D208" i="1"/>
  <c r="D28" i="1"/>
  <c r="D116" i="1"/>
  <c r="D179" i="1"/>
  <c r="D204" i="1"/>
  <c r="D202" i="1"/>
  <c r="D143" i="1"/>
  <c r="D139" i="1"/>
  <c r="D75" i="1"/>
  <c r="D58" i="1"/>
  <c r="D123" i="1"/>
  <c r="D40" i="1"/>
  <c r="D146" i="1"/>
  <c r="D175" i="1"/>
  <c r="D18" i="1"/>
  <c r="D50" i="1"/>
  <c r="D23" i="1"/>
  <c r="D97" i="1"/>
  <c r="D38" i="1"/>
  <c r="D92" i="1"/>
  <c r="D42" i="1"/>
  <c r="D134" i="1"/>
  <c r="D126" i="1"/>
  <c r="D135" i="1"/>
  <c r="D216" i="1"/>
  <c r="D14" i="1"/>
  <c r="D57" i="1"/>
  <c r="D163" i="1"/>
  <c r="D103" i="1"/>
  <c r="D191" i="1"/>
  <c r="D74" i="1"/>
  <c r="D162" i="1"/>
  <c r="D67" i="1"/>
  <c r="D60" i="1"/>
  <c r="D32" i="1"/>
  <c r="D41" i="1"/>
  <c r="D66" i="1"/>
  <c r="D73" i="1"/>
  <c r="D33" i="1"/>
  <c r="D125" i="1"/>
  <c r="D86" i="1"/>
  <c r="D26" i="1"/>
  <c r="D223" i="1"/>
  <c r="D72" i="1"/>
  <c r="D96" i="1"/>
  <c r="D229" i="1"/>
  <c r="D160" i="1"/>
  <c r="D93" i="1"/>
  <c r="D115" i="1"/>
  <c r="D177" i="1"/>
  <c r="D13" i="1"/>
  <c r="D39" i="1"/>
  <c r="D198" i="1"/>
  <c r="D218" i="1"/>
  <c r="D219" i="1"/>
  <c r="D11" i="1"/>
  <c r="D159" i="1"/>
  <c r="D224" i="1"/>
  <c r="D228" i="1"/>
  <c r="D91" i="1"/>
  <c r="D148" i="1"/>
  <c r="D174" i="1"/>
  <c r="D8" i="1"/>
  <c r="D157" i="1"/>
  <c r="D124" i="1"/>
  <c r="D165" i="1"/>
  <c r="D109" i="1"/>
  <c r="D79" i="1"/>
  <c r="D95" i="1"/>
  <c r="D63" i="1"/>
  <c r="D114" i="1"/>
  <c r="D10" i="1"/>
  <c r="D220" i="1"/>
  <c r="D5" i="1"/>
  <c r="D200" i="1"/>
  <c r="D99" i="1"/>
  <c r="D56" i="1"/>
  <c r="D176" i="1"/>
  <c r="D190" i="1"/>
  <c r="D15" i="1"/>
  <c r="D221" i="1"/>
  <c r="D2" i="1"/>
  <c r="D182" i="1"/>
  <c r="D111" i="1"/>
  <c r="D52" i="1"/>
  <c r="D150" i="1"/>
  <c r="D207" i="1"/>
  <c r="D59" i="1"/>
  <c r="D164" i="1"/>
  <c r="D144" i="1"/>
  <c r="D156" i="1"/>
  <c r="D226" i="1"/>
  <c r="D217" i="1"/>
  <c r="D80" i="1"/>
  <c r="D76" i="1"/>
  <c r="D68" i="1"/>
  <c r="D214" i="1"/>
  <c r="D89" i="1"/>
  <c r="D35" i="1"/>
  <c r="D7" i="1"/>
  <c r="D136" i="1"/>
  <c r="D53" i="1"/>
  <c r="D110" i="1"/>
  <c r="D118" i="1"/>
  <c r="D70" i="1"/>
  <c r="D197" i="1"/>
  <c r="D104" i="1"/>
  <c r="D4" i="1"/>
  <c r="D194" i="1"/>
  <c r="D69" i="1"/>
  <c r="D195" i="1"/>
  <c r="D161" i="1"/>
  <c r="D27" i="1"/>
  <c r="D183" i="1"/>
  <c r="D100" i="1"/>
  <c r="D83" i="1"/>
  <c r="D121" i="1"/>
  <c r="D102" i="1"/>
  <c r="D168" i="1"/>
  <c r="D127" i="1"/>
  <c r="D65" i="1"/>
  <c r="D173" i="1"/>
  <c r="D155" i="1"/>
  <c r="D189" i="1"/>
  <c r="D16" i="1"/>
  <c r="D212" i="1"/>
  <c r="D48" i="1"/>
  <c r="D81" i="1"/>
  <c r="D188" i="1"/>
  <c r="D22" i="1"/>
  <c r="D43" i="1"/>
  <c r="D147" i="1"/>
  <c r="D20" i="1"/>
  <c r="D196" i="1"/>
  <c r="D145" i="1"/>
  <c r="D130" i="1"/>
  <c r="D106" i="1"/>
  <c r="D187" i="1"/>
  <c r="D222" i="1"/>
  <c r="D193" i="1"/>
  <c r="D140" i="1"/>
  <c r="D149" i="1"/>
  <c r="D44" i="1"/>
  <c r="D132" i="1"/>
  <c r="D77" i="1"/>
  <c r="D49" i="1"/>
  <c r="D105" i="1"/>
  <c r="D47" i="1"/>
  <c r="D215" i="1"/>
  <c r="D138" i="1"/>
  <c r="D181" i="1"/>
  <c r="D199" i="1"/>
  <c r="D137" i="1"/>
</calcChain>
</file>

<file path=xl/sharedStrings.xml><?xml version="1.0" encoding="utf-8"?>
<sst xmlns="http://schemas.openxmlformats.org/spreadsheetml/2006/main" count="1158" uniqueCount="525">
  <si>
    <t>NUNES BOTELHO JULIANA</t>
  </si>
  <si>
    <t>PERERA SARDIÑA YUNIER</t>
  </si>
  <si>
    <t>PEREZ DANIEL ALEJANDRO IVAN</t>
  </si>
  <si>
    <t>VASQUEZ ORJUELA DIANA CAROLINA</t>
  </si>
  <si>
    <t>MERCIER   CLAIRE LEA ANTOINETT</t>
  </si>
  <si>
    <t>BENTANCOR CAZENAVE   ANDREA</t>
  </si>
  <si>
    <t>SILVA SANTOS LEONARDO</t>
  </si>
  <si>
    <t>BARDEEN   MATTHEW</t>
  </si>
  <si>
    <t>ZAMORANO PEREZ PEDRO EMILIO</t>
  </si>
  <si>
    <t>ESCALANTE MENDOZA NELSON MAURI</t>
  </si>
  <si>
    <t>MELERO LEAL FERMIN MANUEL</t>
  </si>
  <si>
    <t>MARCHANT CASTILLO JOSE IGNACIO</t>
  </si>
  <si>
    <t>VALENZUELA ORREGO EUNICE FABIO</t>
  </si>
  <si>
    <t>VASQUEZ CARRASCO EDGAR MAXIMIL</t>
  </si>
  <si>
    <t>RECABARREN LEIVA DANIELA ROCIO</t>
  </si>
  <si>
    <t>POBLETE TAPIA PATRICIA MAKAREN</t>
  </si>
  <si>
    <t>VELIZ OLIVOS MARIA NATALIA</t>
  </si>
  <si>
    <t>MARTINEZ ESCUDERO NATALIA VALE</t>
  </si>
  <si>
    <t>AVILA JIMENEZ CESAR ANTONIO</t>
  </si>
  <si>
    <t>ARENAS TORRES FELIPE EDUARDO</t>
  </si>
  <si>
    <t>ROBLES FUENTES PATRICIO ANDRES</t>
  </si>
  <si>
    <t>OLAVE ROJAS DANIELA ESTEFANIA</t>
  </si>
  <si>
    <t>ADRIAZOLA DIAZ FRANCISCA PILAR</t>
  </si>
  <si>
    <t>OPAZO ALMARZA MARCELA PAZ</t>
  </si>
  <si>
    <t>LEON FUENTES JUAN SEBASTIAN</t>
  </si>
  <si>
    <t>RETAMAL MENARES MARGARITA ISAB</t>
  </si>
  <si>
    <t>CERDA ALARCON ALADINO ALEXIS</t>
  </si>
  <si>
    <t>REYES CACERES CRISTOBAL ANDRES</t>
  </si>
  <si>
    <t>LOPEZ ALEGRIA PABLO ANDRES</t>
  </si>
  <si>
    <t>SAN CRISTOBAL GAJARDO MARIA MA</t>
  </si>
  <si>
    <t>ANDRADES RODRIGUEZ EMMANUEL MI</t>
  </si>
  <si>
    <t>ESPINOZA ROBLES CAROLINA ELIZA</t>
  </si>
  <si>
    <t>BESOAIN PINO FELIPE ANDRES</t>
  </si>
  <si>
    <t>NAVARRETE PARRA SIMON ALEJANDR</t>
  </si>
  <si>
    <t>DE LA FUENTE BURDILES CLAUDIA</t>
  </si>
  <si>
    <t>HELBIG SOTO FABIOLA MARIA DEL</t>
  </si>
  <si>
    <t>GONZALEZ BRAVO MARIA ANGELICA</t>
  </si>
  <si>
    <t>GONZALEZ HERRERA CARLOS FERNAN</t>
  </si>
  <si>
    <t>VASQUEZ CAMPOS MIGUEL ALONSO</t>
  </si>
  <si>
    <t>BENAVIDES ROCA GLORIA ANGELICA</t>
  </si>
  <si>
    <t>MARINKOVIC GONZALEZ ELISA JOSE</t>
  </si>
  <si>
    <t>RODRIGUEZ CUELLAR PATRICIA JEA</t>
  </si>
  <si>
    <t>URRUTIA URRUTIA GABRIEL AGUSTI</t>
  </si>
  <si>
    <t>TORRES GELDRES ANDREA SUSANA</t>
  </si>
  <si>
    <t>ORELLANA MOLINA MAURICIO ALEJA</t>
  </si>
  <si>
    <t>NUÑEZ SAEZ JOSE JOAQUIN</t>
  </si>
  <si>
    <t>GARCIA JEREZ MARIA ELENA</t>
  </si>
  <si>
    <t>DROGUETT OSSA DANIEL ANDRES</t>
  </si>
  <si>
    <t>MOLINA MOLINA BRENDA JENNIFFER</t>
  </si>
  <si>
    <t>CARRASCO SANCHEZ VERONICA DEL</t>
  </si>
  <si>
    <t>ORYAN LERMANDA MANUEL PATRICIO</t>
  </si>
  <si>
    <t>RIVERA MARTINEZ CESAR ANDRES</t>
  </si>
  <si>
    <t>AVILA CONCHA FELIPE GUILLERMO</t>
  </si>
  <si>
    <t>CONTRERAS REBOLLEDO PAULA  SOL</t>
  </si>
  <si>
    <t>BARRERA VALENZUELA ANDREA KARI</t>
  </si>
  <si>
    <t>JORQUERA FUENTES PAULA DENISSE</t>
  </si>
  <si>
    <t>CARRASCO GONZALEZ MONICA BEATR</t>
  </si>
  <si>
    <t>GUTIERREZ NORAMBUENA ANA MARIA</t>
  </si>
  <si>
    <t>CASTRO NALLAR EDUARDO FELIPE</t>
  </si>
  <si>
    <t>NAVARRETE WALLACE SOLANGE</t>
  </si>
  <si>
    <t>MORALES GONZALEZ MONSERRAT FER</t>
  </si>
  <si>
    <t>NAVEA CASTRO JULIETA ANDREA</t>
  </si>
  <si>
    <t>VERDUGO HERNANDEZ PAULA SINTTI</t>
  </si>
  <si>
    <t>ARROYO ROCO JOSE EDUARDO</t>
  </si>
  <si>
    <t>DOMINGUEZ ARAYA GUSTAVO ADOLFO</t>
  </si>
  <si>
    <t>RAMÍREZ VÉLIZ MARIA VICTORIA</t>
  </si>
  <si>
    <t>LIZANA ORTIZ PAULA ANDREA</t>
  </si>
  <si>
    <t>SCHAFFERNICHT   MARTIN FRANZ G</t>
  </si>
  <si>
    <t>GAJARDO MARTINEZ PAOLA FRANCIS</t>
  </si>
  <si>
    <t>RAMIREZ TOBAR GUILLERMO MANUEL</t>
  </si>
  <si>
    <t>FERNANDEZ TAPIA BARBRA JOSELIN</t>
  </si>
  <si>
    <t>ELGUETA FERRADA MILTON SALVADO</t>
  </si>
  <si>
    <t>BUSTAMANTE MUÑOZ WANDA DEL PIL</t>
  </si>
  <si>
    <t>CASTRO BARAHONA RAMIRO JOSE</t>
  </si>
  <si>
    <t>FERNANDEZ FERNANDEZ MARIO ALBE</t>
  </si>
  <si>
    <t>GAJARDO CONTRERAS CAROLINA HAY</t>
  </si>
  <si>
    <t>BUSTAMANTE UBILLA MIGUEL ALEJA</t>
  </si>
  <si>
    <t>MORA PAREJA CLAUDIA ANDREA</t>
  </si>
  <si>
    <t>GONZALEZ GUTIERREZ PAULO ALEJA</t>
  </si>
  <si>
    <t>BELTRAN VALDEBENITO JAVIER AND</t>
  </si>
  <si>
    <t>WEHINGER WEHINGER SERGIO ANTON</t>
  </si>
  <si>
    <t>FUENZALIDA DONOSO ELIANA ANDRE</t>
  </si>
  <si>
    <t>JIMENEZ FIGUEROA ANDRES EDUARD</t>
  </si>
  <si>
    <t>ZUÑIGA HERNANDEZ JESSICA PAMEL</t>
  </si>
  <si>
    <t>QUINTEROS CACERES MARIA ELISA</t>
  </si>
  <si>
    <t>GUZMAN JOFRE LUIS ARMANDO</t>
  </si>
  <si>
    <t>MARILAO GORIGOITIA JUAN ENRIQU</t>
  </si>
  <si>
    <t>ROA HENRIQUEZ IGNACIO JAVIER</t>
  </si>
  <si>
    <t>ARIAS PAVEZ FRANCISCO JAVIER</t>
  </si>
  <si>
    <t>CARRASCO MANRIQUEZ CLAUDIA AND</t>
  </si>
  <si>
    <t>TIGERO RICHARDS TAMARA ALEJAND</t>
  </si>
  <si>
    <t>VIDAL SILVA CRISTIAN LORENZO</t>
  </si>
  <si>
    <t>VILLALOBOS BARRIA CARLOS ALBER</t>
  </si>
  <si>
    <t>ARENAS SALINAS MAURICIO ANTONI</t>
  </si>
  <si>
    <t>QUINTANA LLANQUILEO MARIA JOSE</t>
  </si>
  <si>
    <t>WILLSON ROJAS MARIA WALESKA</t>
  </si>
  <si>
    <t>ZENTENO CACERES CLAUDIA ANDREA</t>
  </si>
  <si>
    <t>GUIÑEZ MOLINOS SERGIO ALEJANDR</t>
  </si>
  <si>
    <t>PACHECO ESPINOZA ANA CAROLINA</t>
  </si>
  <si>
    <t>RIQUELME WON JUAN ANDRES</t>
  </si>
  <si>
    <t>AMIGO ROJAS CLAUDIA PAMELA</t>
  </si>
  <si>
    <t>PIZARRO TAPIA MANUEL ROBERTO</t>
  </si>
  <si>
    <t>MOORE CARRASCO RODRIGO ERNESTO</t>
  </si>
  <si>
    <t>RAMOS FUENTES JOSE MIGUEL</t>
  </si>
  <si>
    <t>LOPEZ FARIAS BERNARDA ANDREA</t>
  </si>
  <si>
    <t>GATICA ROJAS VALESKA FABIOLA</t>
  </si>
  <si>
    <t>HERRERA LEIVA RODRIGO SEBASTIA</t>
  </si>
  <si>
    <t>ESPINOZA ARANEDA JESSICA ANDRE</t>
  </si>
  <si>
    <t>MARICAN RIQUELME ADOLFO ANDRES</t>
  </si>
  <si>
    <t>ARAYA ILUFIZ CLAUDIA LOURDES</t>
  </si>
  <si>
    <t>VILLARROEL BLOOMFIELD ALEJANDR</t>
  </si>
  <si>
    <t>ALBORNOZ VERDUGO MARIA ELIANA</t>
  </si>
  <si>
    <t>TORO OPAZO CARLA VALESKA</t>
  </si>
  <si>
    <t>LAGOS SALVATIERRA DIEGO EDUARD</t>
  </si>
  <si>
    <t>DOIZI SAN MARTIN BEATRIZ ALEJA</t>
  </si>
  <si>
    <t>RIVEROS FERRADA CLAUDIO JAVIER</t>
  </si>
  <si>
    <t>SANTOS SANTANA CRISTIAN ROBERT</t>
  </si>
  <si>
    <t>ASTUDILLO HERNANDEZ CESAR ALEJ</t>
  </si>
  <si>
    <t>VILLASEÑOR FICA JORGE EDUARDO</t>
  </si>
  <si>
    <t>ABACA CASTILLO ELSA PAULINA</t>
  </si>
  <si>
    <t>SAAVEDRA GOMEZ CECILIA PAOLA</t>
  </si>
  <si>
    <t>MALLEA MUÑOZ HUGO JOSE</t>
  </si>
  <si>
    <t>CUEVAS ALCAYAGA PAMELA LORENA</t>
  </si>
  <si>
    <t>PALOMO VELEZ DIEGO IVAN</t>
  </si>
  <si>
    <t>VARGAS GARRIDO HECTOR ANDRES</t>
  </si>
  <si>
    <t>DURAN JARA ANDRES ANTONIO</t>
  </si>
  <si>
    <t>RAMIREZ VERGARA MARIA INES</t>
  </si>
  <si>
    <t>ORREGO CASTILLO ROXANA ISABEL</t>
  </si>
  <si>
    <t>PINO MONSALVE INGRID VALESKA</t>
  </si>
  <si>
    <t>ZAMBRANO BRAVO CARMEN GLORIA</t>
  </si>
  <si>
    <t>VERDUGO LEAL JAIME ABRAHAM</t>
  </si>
  <si>
    <t>GIACAMAN SARAH RODRIGO ANDRES</t>
  </si>
  <si>
    <t>GARCIA MONTENEGRO PEDRO JAIME</t>
  </si>
  <si>
    <t>FERRADA ROJAS NANCY FABIOLA</t>
  </si>
  <si>
    <t>VENEGAS ROJAS BERNARDO ARTURO</t>
  </si>
  <si>
    <t>GONZALEZ REINOSO DANIEL EDUARD</t>
  </si>
  <si>
    <t>CABALLERO VERDUGO MARIA DE LA</t>
  </si>
  <si>
    <t>ALVEAR VEGA SANDRA JACQUELINNE</t>
  </si>
  <si>
    <t>NOVOA FLORES ULISES FROMENTINO</t>
  </si>
  <si>
    <t>DAVIS TOLEDO GISELLE ANDREA</t>
  </si>
  <si>
    <t>LOPEZ LASTRA LEOPOLDO PATRICIO</t>
  </si>
  <si>
    <t>MARTINEZ GARCIA GONZALO JAVIER</t>
  </si>
  <si>
    <t>FUENTES DIAZ OMAR FERNANDO</t>
  </si>
  <si>
    <t>TELLO AVILA JOSE ANTONIO</t>
  </si>
  <si>
    <t>LOBOS ANDRADE GERMAN ENRIQUE</t>
  </si>
  <si>
    <t>ALARCON LEIVA JORGE ALBERTO</t>
  </si>
  <si>
    <t>SUAZO DIAZ NANCY LORETO</t>
  </si>
  <si>
    <t>FUENTES CONTRERAS JOSE EDUARDO</t>
  </si>
  <si>
    <t>TAPIA NAVARRETE NANCY DEL PILA</t>
  </si>
  <si>
    <t>RAMIREZ RIVERA CLAUDIO CARLOS</t>
  </si>
  <si>
    <t>BENAVIDES MORENO NIBALDO ENRIQ</t>
  </si>
  <si>
    <t>SAENS NAVARRETE RODRIGO PABLO</t>
  </si>
  <si>
    <t>LAURIE GLEISNER VICTOR FELIPE</t>
  </si>
  <si>
    <t>GONZALEZ ARAYA MARCELA CECILIA</t>
  </si>
  <si>
    <t>MENDEZ CAMPOS MARIA DORIS</t>
  </si>
  <si>
    <t>LILLO TASTETS MARCELA VERONICA</t>
  </si>
  <si>
    <t>RETAMAL CONTRERAS ERIKA ROXANA</t>
  </si>
  <si>
    <t>MORALES HERRERA EDITH ROXANA</t>
  </si>
  <si>
    <t>ESTRADA CASTRO VIVIANA DE FATI</t>
  </si>
  <si>
    <t>REYES SUAREZ JOSE ANTONIO</t>
  </si>
  <si>
    <t>PEREZ VALDES VIDAL ANTONIO</t>
  </si>
  <si>
    <t>SANTIBAÑEZ GONZALEZ ERNESTO DE</t>
  </si>
  <si>
    <t>ASTUDILLO OLIVARES MINERVA DEL</t>
  </si>
  <si>
    <t>VASQUEZ ROJAS MARCELA PAULINA</t>
  </si>
  <si>
    <t>CHAVEZ REBOLLEDO CARLOS ALBERT</t>
  </si>
  <si>
    <t>GLEISER AVENDAÑO KENNETH MIGUE</t>
  </si>
  <si>
    <t>SANTANDER RAMIREZ VALENTIN ADO</t>
  </si>
  <si>
    <t>BARRERA ARANGUIZ JUAN FRANCISC</t>
  </si>
  <si>
    <t>CASTRO PAREDES MOYRA MARCELA</t>
  </si>
  <si>
    <t>OYARZUN CHAVEZ CLAUDIO HUMBERT</t>
  </si>
  <si>
    <t>AZOCAR CABELLO TERESA CECILIA</t>
  </si>
  <si>
    <t>TAPIA SANHUEZA JAIME DEL CARME</t>
  </si>
  <si>
    <t>ORTEGA FARIAS SAMUEL ORLANDO</t>
  </si>
  <si>
    <t>MOYA LEON MARIA ALEJANDRA</t>
  </si>
  <si>
    <t>LOBOS PRATS GUSTAVO ADOLFO</t>
  </si>
  <si>
    <t>SANCHEZ HENRIQUEZ JORGE ALEJAN</t>
  </si>
  <si>
    <t>VILLENA CABRERA MARCELA ISABEL</t>
  </si>
  <si>
    <t>SUAREZ CROTHERS CHRISTIAN GABR</t>
  </si>
  <si>
    <t>OBANDO CAMINO IVAN MAURICIO</t>
  </si>
  <si>
    <t>PAILLAN LEGUE JUAN HERNAN</t>
  </si>
  <si>
    <t>CATALDO CATALDO ALEJANDRO JAVI</t>
  </si>
  <si>
    <t>MUÑOZ SANCHEZ MARIA ESTER SOLE</t>
  </si>
  <si>
    <t>GARRIDO ORREGO RUTH MARIA BEAT</t>
  </si>
  <si>
    <t>CONTRERAS PEREZ OLGA SERAFINA</t>
  </si>
  <si>
    <t>LOBOS GILABERT OLGA DE LAS MER</t>
  </si>
  <si>
    <t>CERDA URRUTIA ARCADIO ALBERTO</t>
  </si>
  <si>
    <t>VERA RAMOS LILIAN FABIOLA</t>
  </si>
  <si>
    <t>NUÑEZ FRANZ MARIA LORETO</t>
  </si>
  <si>
    <t>ROJAS MIÑO IRENE EUGENIA</t>
  </si>
  <si>
    <t>TOLEDO ABARCA CARLOS PATRICIO</t>
  </si>
  <si>
    <t>MAIL</t>
  </si>
  <si>
    <t>APELLIDO NOMBRE</t>
  </si>
  <si>
    <t>NRO. PERSONAL</t>
  </si>
  <si>
    <t>N°</t>
  </si>
  <si>
    <t>CERDA GONZÁLEZ ANDREA  ISABEL</t>
  </si>
  <si>
    <t>ANDREACERDA@UTALCA.CL</t>
  </si>
  <si>
    <t>ROJAS CÁCERES MIGUEL ÁNGEL</t>
  </si>
  <si>
    <t>REYES BASTÍAS CONSTANZA JAVIERA</t>
  </si>
  <si>
    <t>GOMEZ OJEDA FABIOLA</t>
  </si>
  <si>
    <t>GATICA CUEVAS JESSICA CARINA</t>
  </si>
  <si>
    <t>MARTINEZ MONDACA NATALIA ARACELLY</t>
  </si>
  <si>
    <t>SAID GALINDO MACARENA</t>
  </si>
  <si>
    <t>CANALES CARRASCO LUIS EDUARDO</t>
  </si>
  <si>
    <t>MOSQUERA VEGA CAMILA SOLEDAD</t>
  </si>
  <si>
    <t>BECERRA LABRA CARLOS</t>
  </si>
  <si>
    <t>GONZÁLEZ MUÑOZ YENNY KAREN</t>
  </si>
  <si>
    <t>ENCINA AGURTO YONATAN JOSÉ</t>
  </si>
  <si>
    <t>SAN MARTIN RUBILAR ORIETTA NATIVIDAD</t>
  </si>
  <si>
    <t>KOLLMAR KATHRIN</t>
  </si>
  <si>
    <t>COOPER MICHAEL BRET</t>
  </si>
  <si>
    <t>RANDALL INGRAM BENJAMIN</t>
  </si>
  <si>
    <t>VASQUEZ IBARRA SONIA</t>
  </si>
  <si>
    <t>WONG WAI IENG</t>
  </si>
  <si>
    <t>FUENTES PALMA BERNARDITA VALEZKA</t>
  </si>
  <si>
    <t>DIVISION SUPERIOR</t>
  </si>
  <si>
    <t>UNIDAD PERTENENCIA</t>
  </si>
  <si>
    <t>REYES FLORES CARMEN SOFIA</t>
  </si>
  <si>
    <t>ALVAREZ MIRANDA EDUARDO ANDRES</t>
  </si>
  <si>
    <t>TORRES FURSHLOCHER CARLOS</t>
  </si>
  <si>
    <t>DEL CAMPO MARIA LUISA</t>
  </si>
  <si>
    <t>MANRIQUEZ NOVOA PAULA ANDREA</t>
  </si>
  <si>
    <t>MUÑOZ ARANCIBIA MACARENA DEL PILAR</t>
  </si>
  <si>
    <t>PALOMO VELEZ RODRIGO IGNACIO</t>
  </si>
  <si>
    <t>GONZÁLEZ TRONCOSO MOISÉS</t>
  </si>
  <si>
    <t>BARRIGA RICHARDS NICOLAS ARTURO</t>
  </si>
  <si>
    <t>MORALES SIERRALTA PAULA ANDREA</t>
  </si>
  <si>
    <t>CAPARRÓS MANOSALVA CRISTIAN ALEJANDRO</t>
  </si>
  <si>
    <t>GONZÁLEZ FERNANDEZ DANIELA FRANCISCA</t>
  </si>
  <si>
    <t>CABALLERO MOYANO PAULA MACARENA</t>
  </si>
  <si>
    <t>PARADA NAVARRO ALICIA DEL CARMEN</t>
  </si>
  <si>
    <t>VALENZUELA MONSALVEZ CLAUDIO ANDRES</t>
  </si>
  <si>
    <t>BRAVO ADASME NATALIA SHEFANIA</t>
  </si>
  <si>
    <t>LOLAS ACANEO MAURICIO ALBERTO</t>
  </si>
  <si>
    <t>AVILA AZOCAR NICOLE ANDREA</t>
  </si>
  <si>
    <t>TRONCOSO GAJARDO PIA FERNANDA</t>
  </si>
  <si>
    <t>Cuota Asociación</t>
  </si>
  <si>
    <t>Seguro Salud</t>
  </si>
  <si>
    <t>PABACA@UTALCA.CL</t>
  </si>
  <si>
    <t>FACULTAD DE CIENCIAS DE LA SALUD</t>
  </si>
  <si>
    <t>DEPARTAMENTO DE MICROBIOLOGÍA</t>
  </si>
  <si>
    <t>FADRIAZOLA@UTALCA.CL</t>
  </si>
  <si>
    <t>DEPTO. CIENCIAS DEL CUIDADO EN ENFERM.</t>
  </si>
  <si>
    <t>JOALARCON@UTALCA.CL</t>
  </si>
  <si>
    <t>FACULTAD DE CIENCIAS DE LA EDUCACIÓN</t>
  </si>
  <si>
    <t>CENTRO INVESTIGACION DESAR. EDUCACIONAL</t>
  </si>
  <si>
    <t>MEALBORNOZ@UTALCA.CL</t>
  </si>
  <si>
    <t>DPTO. DE CIENCIAS BÁSICAS BIOMÉDICAS</t>
  </si>
  <si>
    <t>EALVAREZ@UTALCA.CL</t>
  </si>
  <si>
    <t>FACULTAD DE INGENIERÍA</t>
  </si>
  <si>
    <t>DEPARTAMENTO DE INGENIERÍA INDUSTRIAL</t>
  </si>
  <si>
    <t>SALVEAR@UTALCA.CL</t>
  </si>
  <si>
    <t>FACULTAD DE ECONOMÍA Y NEGOCIOS</t>
  </si>
  <si>
    <t>ESC. AUDITORIA Y CONTROL DE GESTIÓN TLCA</t>
  </si>
  <si>
    <t>CAMIGO@UTALCA.CL</t>
  </si>
  <si>
    <t>EANDRADES@UTALCA.CL</t>
  </si>
  <si>
    <t>ESCUELA DE OBSTETRICIA Y PUERICULTURA</t>
  </si>
  <si>
    <t>CLARAYA@UTALCA.CL</t>
  </si>
  <si>
    <t>DPTO. BIOQUÍM. CLÍN. E INMUNOHEMATOLOGÍA</t>
  </si>
  <si>
    <t>MARENAS@UTALCA.CL</t>
  </si>
  <si>
    <t>DEPARTAMENTO DE BIOINFORMÁTICA</t>
  </si>
  <si>
    <t>FARENAS@UTALCA.CL</t>
  </si>
  <si>
    <t>FARIAS@UTALCA.CL</t>
  </si>
  <si>
    <t>DPTO. DE CIENCIAS DE LA COMPUTACIÓN</t>
  </si>
  <si>
    <t>JOSE.ARROYO@UTALCA.CL</t>
  </si>
  <si>
    <t>CASTUDILLO@UTALCA.CL</t>
  </si>
  <si>
    <t>MASTUDILLO@UTALCA.CL</t>
  </si>
  <si>
    <t>NAVILA@UTALCA.CL</t>
  </si>
  <si>
    <t>FACULTAD DE ODONTOLOGÍA</t>
  </si>
  <si>
    <t>FAVILAC@UTALCA.CL</t>
  </si>
  <si>
    <t>DEPTO. CIENCIAS DE LA NUT. Y ALIMENTOS</t>
  </si>
  <si>
    <t>CESAR.AVILA@UTALCA.CL</t>
  </si>
  <si>
    <t>TAZOCAR@UTALCA.CL</t>
  </si>
  <si>
    <t>DPTO. REHABILITACIÓN BUCO-MAXILOFACIAL</t>
  </si>
  <si>
    <t>MBARDEEN@UTALCA.CL</t>
  </si>
  <si>
    <t>JBARRERA@UTALCA.CL</t>
  </si>
  <si>
    <t>INSTITUTO DE MATEMÁTICAS</t>
  </si>
  <si>
    <t>ABARRERA@UTALCA.CL</t>
  </si>
  <si>
    <t>NBARRIGA@UTALCA.CL</t>
  </si>
  <si>
    <t>DPTO. VISUALI. INTERACTIVA Y REA.VIRTUAL</t>
  </si>
  <si>
    <t>CBECERRA@UTALCA.CL</t>
  </si>
  <si>
    <t>ESC. PDG.CIENCIAS NATURALES Y EXACTAS</t>
  </si>
  <si>
    <t>JBELTRAN@UTALCA.CL</t>
  </si>
  <si>
    <t>ESCUELA DE INGENIERÍA COMERCIAL DE TALCA</t>
  </si>
  <si>
    <t>NBENAVIDES@UTALCA.CL</t>
  </si>
  <si>
    <t>GBENAVIDES@UTALCA.CL</t>
  </si>
  <si>
    <t>DPTO. DE CIENCIAS DE FONOAUDIOLOGÍA</t>
  </si>
  <si>
    <t>ANDREA.BENTANCOR@UTALCA.CL</t>
  </si>
  <si>
    <t>ESC. DE INGENIERÍA COMERCIAL DE SANTIAGO</t>
  </si>
  <si>
    <t>FBESOAIN@UTALCA.CL</t>
  </si>
  <si>
    <t>NBRAVO@UTALCA.CL</t>
  </si>
  <si>
    <t>ESC. DE ING. INFORMÁTICA EMPRESARIAL</t>
  </si>
  <si>
    <t>WBUSTAMANTE@UTALCA.CL</t>
  </si>
  <si>
    <t>MABU@UTALCA.CL</t>
  </si>
  <si>
    <t>PCABALLERO@UTALCA.CL</t>
  </si>
  <si>
    <t>DPTO. DE CIENCIAS DEL MOVIMIENTO HUMANO</t>
  </si>
  <si>
    <t>MACABALLERO@UTALCA.CL</t>
  </si>
  <si>
    <t>DIRECCIÓN DE PREGRADO</t>
  </si>
  <si>
    <t>PROGRAMA DE IDIOMAS</t>
  </si>
  <si>
    <t>LCANALES@UTALCA.CL</t>
  </si>
  <si>
    <t>CCAPARROS@UTALCA.CL</t>
  </si>
  <si>
    <t>MONICA.CARRASCO@UTALCA.CL</t>
  </si>
  <si>
    <t>FACULTAD DE MEDICINA</t>
  </si>
  <si>
    <t>DEPARTAMENTO DE MEDICINA CLÍNICA</t>
  </si>
  <si>
    <t>CLAUDIA.CARRASCO@UTALCA.CL</t>
  </si>
  <si>
    <t>ESCUELA DE PEDAGOGÍA EN INGLÉS</t>
  </si>
  <si>
    <t>VECARRASCO@UTALCA.CL</t>
  </si>
  <si>
    <t>RCASTRO@UTALCA.CL</t>
  </si>
  <si>
    <t>ECASTRON@UTALCA.CL</t>
  </si>
  <si>
    <t>MOCASTRO@UTALCA.CL</t>
  </si>
  <si>
    <t>ACATALDO@UTALCA.CL</t>
  </si>
  <si>
    <t>ALCERDA@UTALCA.CL</t>
  </si>
  <si>
    <t>FACULTAD DE PSICOLOGÍA</t>
  </si>
  <si>
    <t>ESCUELA DE PSICOLOGÍA</t>
  </si>
  <si>
    <t>ACERDA@UTALCA.CL</t>
  </si>
  <si>
    <t>CCHAVEZ@UTALCA.CL</t>
  </si>
  <si>
    <t>OCONTRER@UTALCA.CL</t>
  </si>
  <si>
    <t>INSTITUTO DE CIENCIAS BIOLÓGICAS</t>
  </si>
  <si>
    <t>PAUCONTRERAS@UTALCA.CL</t>
  </si>
  <si>
    <t>MCOOPER@UTALCA.CL</t>
  </si>
  <si>
    <t>FACULTAD DE ARQUITECTUR, MÚSICA Y DISEÑO</t>
  </si>
  <si>
    <t>DEPTO. DE INTERP. Y FORM. MUSICAL ESPEC.</t>
  </si>
  <si>
    <t>PAMELA.CUEVAS@UTALCA.CL</t>
  </si>
  <si>
    <t>DEPARTAMENTO DE SALUD PÚBLICA</t>
  </si>
  <si>
    <t>GDAVIS@UTALCA.CL</t>
  </si>
  <si>
    <t>CLAUDIA.DELAFUENTE@UTALCA.CL</t>
  </si>
  <si>
    <t>MDELCAMPO@UTALCA.CL</t>
  </si>
  <si>
    <t>DPTO. ING. Y GESTIÓN DE LA CONSTRUCCIÓN</t>
  </si>
  <si>
    <t>BDOIZI@UTALCA.CL</t>
  </si>
  <si>
    <t>PROGRAMA DE FORMACIÓN FUNDAMENTAL</t>
  </si>
  <si>
    <t>GUSTAVO.DOMINGUEZ@UTALCA.CL</t>
  </si>
  <si>
    <t>DDROGUETT@UTALCA.CL</t>
  </si>
  <si>
    <t>DEPARTAMENTO DE ESTOMATOLOGÍA</t>
  </si>
  <si>
    <t>ANDRES.DURAN@UTALCA.CL</t>
  </si>
  <si>
    <t>ESCUELA DE TERAPIA OCUPACIONAL</t>
  </si>
  <si>
    <t>MELGUETA@UTALCA.CL</t>
  </si>
  <si>
    <t>DEPARTAMENTO DE TECNOLOGÍA INDUSTRIALES</t>
  </si>
  <si>
    <t>YENCINA@UTALCA.CL</t>
  </si>
  <si>
    <t>NESCALANTE@UTALCA.CL</t>
  </si>
  <si>
    <t>JEESPINOZA@UTALCA.CL</t>
  </si>
  <si>
    <t>CARESPINOZA@UTALCA.CL</t>
  </si>
  <si>
    <t>VESTRADA@UTALCA.CL</t>
  </si>
  <si>
    <t>MAFERNANDEZ@UTALCA.CL</t>
  </si>
  <si>
    <t>DEPARTAMENTO DE INGENIERÍA ELÉCTRICA</t>
  </si>
  <si>
    <t>BFERNANDEZ@UTALCA.CL</t>
  </si>
  <si>
    <t>NFERRADA@UTALCA.CL</t>
  </si>
  <si>
    <t>EFUENTES@UTALCA.CL</t>
  </si>
  <si>
    <t>FACULTAD DE CIENCIAS AGRARIAS</t>
  </si>
  <si>
    <t>DEPARTAMENTO DE PRODUCCIÓN AGRÍCOLA</t>
  </si>
  <si>
    <t>OMFUENTES@UTALCA.CL</t>
  </si>
  <si>
    <t>BFUENTES@UTALCA.CL</t>
  </si>
  <si>
    <t>EFUENZALIDAD@UTALCA.CL</t>
  </si>
  <si>
    <t>CGAJARDO@UTALCA.CL</t>
  </si>
  <si>
    <t>PAOLA.GAJARDO@UTALCA.CL</t>
  </si>
  <si>
    <t>MARIA.GARCIA@UTALCA.CL</t>
  </si>
  <si>
    <t>PGARCIA@UTALCA.CL</t>
  </si>
  <si>
    <t>RGARRIDO@UTALCA.CL</t>
  </si>
  <si>
    <t>JGATICA@UTALCA.CL</t>
  </si>
  <si>
    <t>VGATICA@UTALCA.CL</t>
  </si>
  <si>
    <t>GIACAMAN@UTALCA.CL</t>
  </si>
  <si>
    <t>KGLEISER@UTALCA.CL</t>
  </si>
  <si>
    <t>ESCUELA DE ARQUITECTURA</t>
  </si>
  <si>
    <t>FABIOLA.GOMEZ@UTALCA.CL</t>
  </si>
  <si>
    <t>MGONZALEZ@UTALCA.CL</t>
  </si>
  <si>
    <t>MARGONZALEZB@UTALCA.CL</t>
  </si>
  <si>
    <t>DANIELA.GONZALEZ@UTALCA.CL</t>
  </si>
  <si>
    <t>PAULO.GONZALEZG@UTALCA.CL</t>
  </si>
  <si>
    <t>CARLOGONZALEZ@UTALCA.CL</t>
  </si>
  <si>
    <t>YENNY.GONZALEZ@UTALCA.CL</t>
  </si>
  <si>
    <t>DAGONZALEZ@UTALCA.CL</t>
  </si>
  <si>
    <t>MOISES.GONZALEZ@UTALCA.CL</t>
  </si>
  <si>
    <t>SGUINEZ@UTALCA.CL</t>
  </si>
  <si>
    <t>DEPARTAMENTO DE CIENCIAS PRECLÍNICAS</t>
  </si>
  <si>
    <t>ANGUTIERREZ@UTALCA.CL</t>
  </si>
  <si>
    <t>LGUZMAN@UTALCA.CL</t>
  </si>
  <si>
    <t>FABIOLA.HELBIG@UTALCA.CL</t>
  </si>
  <si>
    <t>RODRIGO.HERRERA@UTALCA.CL</t>
  </si>
  <si>
    <t>ANJIMENEZ@UTALCA.CL</t>
  </si>
  <si>
    <t>PJORQUERA@UTALCA.CL</t>
  </si>
  <si>
    <t>KATHRIN.KOLLMAR@UTALCA.CL</t>
  </si>
  <si>
    <t>DLAGOS@UTALCA.CL</t>
  </si>
  <si>
    <t>FLAURIE@UTALCA.CL</t>
  </si>
  <si>
    <t>DEPARTAMENTO DE HORTICULTURA</t>
  </si>
  <si>
    <t>JUAN.LEON@UTALCA.CL</t>
  </si>
  <si>
    <t>MALILLO@UTALCA.CL</t>
  </si>
  <si>
    <t>PLIZANA@UTALCA.CL</t>
  </si>
  <si>
    <t>GLOBOS@UTALCA.CL</t>
  </si>
  <si>
    <t>OLOBOS@UTALCA.CL</t>
  </si>
  <si>
    <t>GLOBOSP@UTALCA.CL</t>
  </si>
  <si>
    <t>MLOLAS@UTALCA.CL</t>
  </si>
  <si>
    <t>PABLO.LOPEZ@UTALCA.CL</t>
  </si>
  <si>
    <t>BLOPEZ@UTALCA.CL</t>
  </si>
  <si>
    <t>LLOPEZ@UTALCA.CL</t>
  </si>
  <si>
    <t>HMALLEA@UTALCA.CL</t>
  </si>
  <si>
    <t>PMANRIQ@UTALCA.CL</t>
  </si>
  <si>
    <t>DEPARTAMENTO DE ECONOMÍA AGRARIA</t>
  </si>
  <si>
    <t>JOSE.MARCHANT@UTALCA.CL</t>
  </si>
  <si>
    <t>AMARICAN@UTALCA.CL</t>
  </si>
  <si>
    <t>INSTITUTO QUÍMICA DE RECURSOS NATURALES</t>
  </si>
  <si>
    <t>JMARILAO@UTALCA.CL</t>
  </si>
  <si>
    <t>EMARINKOVIC@UTALCA.CL</t>
  </si>
  <si>
    <t>NATALIA.MARTINEZ@UTALCA.CL</t>
  </si>
  <si>
    <t>GMARTINEZ@UTALCA.CL</t>
  </si>
  <si>
    <t>DEPARTAMENTO DE TEORÍA MUSICAL</t>
  </si>
  <si>
    <t>NMARTINEZ@UTALCA.CL</t>
  </si>
  <si>
    <t>FMELERO@UTALCA.CL</t>
  </si>
  <si>
    <t>DMENDEZ@UTALCA.CL</t>
  </si>
  <si>
    <t>CMERCIER@UTALCA.CL</t>
  </si>
  <si>
    <t>INST. ESTUDIOS HUMANÍSTICOS ABATE J.I.M.</t>
  </si>
  <si>
    <t>BMOLINA@UTALCA.CL</t>
  </si>
  <si>
    <t>RMOORE@UTALCA.CL</t>
  </si>
  <si>
    <t>CLMORA@UTALCA.CL</t>
  </si>
  <si>
    <t>MMORALESG@UTALCA.CL</t>
  </si>
  <si>
    <t>EMORALESH@UTALCA.CL</t>
  </si>
  <si>
    <t>PAUMORALES@UTALCA.CL</t>
  </si>
  <si>
    <t>CAMILA.MOSQUERA@UTALCA.CL</t>
  </si>
  <si>
    <t>ALEMOYA@UTALCA.CL</t>
  </si>
  <si>
    <t>MMUNOZA@UTALCA.CL</t>
  </si>
  <si>
    <t>MEMUNOZ@UTALCA.CL</t>
  </si>
  <si>
    <t>SNAVARRETEP@UTALCA.CL</t>
  </si>
  <si>
    <t>SNAVARRETE@UTALCA.CL</t>
  </si>
  <si>
    <t>JNAVEA@UTALCA.CL</t>
  </si>
  <si>
    <t>UNOVOA@UTALCA.CL</t>
  </si>
  <si>
    <t>JBOTELHO@UTALCA.CL</t>
  </si>
  <si>
    <t>DEPARTAMENTO DE PEDIATRÍA ESTOMATOLÓGICA</t>
  </si>
  <si>
    <t>LNUNEZF@UTALCA.CL</t>
  </si>
  <si>
    <t>JONUNEZ@UTALCA.CL</t>
  </si>
  <si>
    <t>IOBANDOC@UTALCA.CL</t>
  </si>
  <si>
    <t>FACULTAD CIENCIAS JURÍDICAS Y SOCIALES</t>
  </si>
  <si>
    <t>DEPARTAMENTO DE DERECHO PÚBLICO</t>
  </si>
  <si>
    <t>DANIELA.OLAVE@UTALCA.CL</t>
  </si>
  <si>
    <t>MARCELA.OPAZO@UTALCA.CL</t>
  </si>
  <si>
    <t>MAUORELLANA@UTALCA.CL</t>
  </si>
  <si>
    <t>RORREGO@UTALCA.CL</t>
  </si>
  <si>
    <t>SORTEGA@UTALCA.CL</t>
  </si>
  <si>
    <t>MORYAN@UTALCA.CL</t>
  </si>
  <si>
    <t>CLOYARZUN@UTALCA.CL</t>
  </si>
  <si>
    <t>APACHECO@UTALCA.CL</t>
  </si>
  <si>
    <t>HPAILLAN@UTALCA.CL</t>
  </si>
  <si>
    <t>DPALOMO@UTALCA.CL</t>
  </si>
  <si>
    <t>DPTO. DERECHO PENAL PROCESAL Y  TRABAJO</t>
  </si>
  <si>
    <t>RPALOMO@UTALCA.CL</t>
  </si>
  <si>
    <t>ALICIA.PARADA@UTALCA.CL</t>
  </si>
  <si>
    <t>YUNIER.PERERA@UTALCA.CL</t>
  </si>
  <si>
    <t>IPEREZ@UTALCA.CL</t>
  </si>
  <si>
    <t>VPEREZ@UTALCA.CL</t>
  </si>
  <si>
    <t>IPINO@UTALCA.CL</t>
  </si>
  <si>
    <t>RPIZARRO@UTALCA.CL</t>
  </si>
  <si>
    <t>VICERRECTORÍA ACADÉMICA</t>
  </si>
  <si>
    <t>DIRECCIÓN DE INNOVACIÓN Y TRANSFERENCIA</t>
  </si>
  <si>
    <t>PATRPOBLETE@UTALCA.CL</t>
  </si>
  <si>
    <t>MQUINTANA@UTALCA.CL</t>
  </si>
  <si>
    <t>MAQUINTEROS@UTALCA.CL</t>
  </si>
  <si>
    <t>CLRAMIREZ@UTALCA.CL</t>
  </si>
  <si>
    <t>GRAMIREZ@UTALCA.CL</t>
  </si>
  <si>
    <t>MARIA.RAMIREZV@UTALCA.CL</t>
  </si>
  <si>
    <t>MARRAMIREZ@UTALCA.CL</t>
  </si>
  <si>
    <t>JRAMOS@UTALCA.CL</t>
  </si>
  <si>
    <t>BRI@UTALCA.CL</t>
  </si>
  <si>
    <t>DRECABARREN@UTALCA.CL</t>
  </si>
  <si>
    <t>ERETAMAL@UTALCA.CL</t>
  </si>
  <si>
    <t>MARETAMAL@UTALCA.CL</t>
  </si>
  <si>
    <t>COREYES@UTALCA.CL</t>
  </si>
  <si>
    <t>CRISTOBAL.REYES@UTALCA.CL</t>
  </si>
  <si>
    <t>CARREYES@UTALCA.CL</t>
  </si>
  <si>
    <t>JAREYES@UTALCA.CL</t>
  </si>
  <si>
    <t>JURIQUELME@UTALCA.CL</t>
  </si>
  <si>
    <t>CERIVERA@UTALCA.CL</t>
  </si>
  <si>
    <t>CLRIVEROS@UTALCA.CL</t>
  </si>
  <si>
    <t>ESC. CNCIA. POLÍTICA Y ADMÓN. PÚBLICA TA</t>
  </si>
  <si>
    <t>IROA@UTALCA.CL</t>
  </si>
  <si>
    <t>PROBLES@UTALCA.CL</t>
  </si>
  <si>
    <t>PRODRIG@UTALCA.CL</t>
  </si>
  <si>
    <t>MROJASC@UTALCA.CL</t>
  </si>
  <si>
    <t>IROJAS@UTALCA.CL</t>
  </si>
  <si>
    <t>CESAAVEDRA@UTALCA.CL</t>
  </si>
  <si>
    <t>ESCUELA DE ODONTOLOGÍA</t>
  </si>
  <si>
    <t>RSAENS@UTALCA.CL</t>
  </si>
  <si>
    <t>MACARENA.SAID@UTALCA.CL</t>
  </si>
  <si>
    <t>MSANCRISTOBAL@UTALCA.CL</t>
  </si>
  <si>
    <t>OSANMARTIN@UTALCA.CL</t>
  </si>
  <si>
    <t>JSANCHEZ@UTALCA.CL</t>
  </si>
  <si>
    <t>VALENTIN.SANTANDER@UTALCA.CL</t>
  </si>
  <si>
    <t>ESANTIBANEZ@UTALCA.CL</t>
  </si>
  <si>
    <t>CSANTOS@UTALCA.CL</t>
  </si>
  <si>
    <t>PROGRAMA DE DEPORTES</t>
  </si>
  <si>
    <t>MARTIN@UTALCA.CL</t>
  </si>
  <si>
    <t>LSSANTOS@UTALCA.CL</t>
  </si>
  <si>
    <t>CSUAREZ@UTALCA.CL</t>
  </si>
  <si>
    <t>NSUAZO@UTALCA.CL</t>
  </si>
  <si>
    <t>NTAPIA@UTALCA.CL</t>
  </si>
  <si>
    <t>JTAPIA@UTALCA.CL</t>
  </si>
  <si>
    <t>JTELLO@UTALCA.CL</t>
  </si>
  <si>
    <t>TTIGERO@UTALCA.CL</t>
  </si>
  <si>
    <t>CTOLEDOA@UTALCA.CL</t>
  </si>
  <si>
    <t>CTORO@UTALCA.CL</t>
  </si>
  <si>
    <t>CTORRES@UTALCA.CL</t>
  </si>
  <si>
    <t>ANDTORRES@UTALCA.CL</t>
  </si>
  <si>
    <t>PIATRONCOSO@UTALCA.CL</t>
  </si>
  <si>
    <t>GURRUTIA@UTALCA.CL</t>
  </si>
  <si>
    <t>CLAUDIO.VALENZUELA@UTALCA.CL</t>
  </si>
  <si>
    <t>EUVALENZUELA@UTALCA.CL</t>
  </si>
  <si>
    <t>HVARGAS@UTALCA.CL</t>
  </si>
  <si>
    <t>MIVASQUEZ@UTALCA.CL</t>
  </si>
  <si>
    <t>EDGAR.VASQUEZ@UTALCA.CL</t>
  </si>
  <si>
    <t>SVASQUEZ@UTALCA.CL</t>
  </si>
  <si>
    <t>DIANA.VASQUEZ@UTALCA.CL</t>
  </si>
  <si>
    <t>MVASQURO@UTALCA.CL</t>
  </si>
  <si>
    <t>MVELIZ@UTALCA.CL</t>
  </si>
  <si>
    <t>BVENEGAS@UTALCA.CL</t>
  </si>
  <si>
    <t>LVERAR@UTALCA.CL</t>
  </si>
  <si>
    <t>PAUVERDUGO@UTALCA.CL</t>
  </si>
  <si>
    <t>JVERDUGO@UTALCA.CL</t>
  </si>
  <si>
    <t>CVIDAL@UTALCA.CL</t>
  </si>
  <si>
    <t>CVILLALOBOS@UTALCA.CL</t>
  </si>
  <si>
    <t>AVILLARROEL@UTALCA.CL</t>
  </si>
  <si>
    <t>JVILLASE@UTALCA.CL</t>
  </si>
  <si>
    <t>MVILLENAS@UTALCA.CL</t>
  </si>
  <si>
    <t>SNUNEZ@UTALCA.CL</t>
  </si>
  <si>
    <t>MWILLSON@UTALCA.CL</t>
  </si>
  <si>
    <t>IWONG@UTALCA.CL</t>
  </si>
  <si>
    <t>CZAMBRANO@UTALCA.CL</t>
  </si>
  <si>
    <t>PZAMOPER@UTALCA.CL</t>
  </si>
  <si>
    <t>CZENTENO@UTALCA.CL</t>
  </si>
  <si>
    <t>JEZUNIGA@UTALCA.CL</t>
  </si>
  <si>
    <t>Total descuentos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</si>
</sst>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6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2" fontId="2" fillId="0" borderId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NumberFormat="1"/>
    <xf numFmtId="42" fontId="0" fillId="0" borderId="0" xfId="2" applyFont="1"/>
    <xf numFmtId="0" fontId="3" fillId="0" borderId="1" xfId="0" applyFont="1" applyBorder="1" applyAlignment="1">
      <alignment horizontal="center" vertical="center" wrapText="1"/>
    </xf>
    <xf numFmtId="42" fontId="3" fillId="0" borderId="1" xfId="2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4" fillId="2" borderId="0" xfId="0" applyNumberFormat="1" applyFont="1" applyFill="1" applyAlignment="1">
      <alignment horizontal="center" vertical="center" wrapText="1"/>
    </xf>
  </cellXfs>
  <cellStyles count="4">
    <cellStyle name="Default" xfId="3" xr:uid="{60F64E00-B3D4-40AB-9D10-3933ADFC55DD}"/>
    <cellStyle name="Hipervínculo" xfId="1" builtinId="8"/>
    <cellStyle name="Moneda [0]" xfId="2" builtinId="7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esktop/REPORTABILIDAD%202025/10%20OCTUBRE/LIBRO%20OCTUBRE%202025.XLSX" TargetMode="External"/><Relationship Id="rId2" Type="http://schemas.openxmlformats.org/officeDocument/2006/relationships/externalLinkPath" Target="file:///C:\Users\Usuario\Desktop\REPORTABILIDAD%202025\10%20OCTUBRE\LIBRO%20OCTUBRE%202025.XLSX" TargetMode="External"/><Relationship Id="rId1" Type="http://schemas.openxmlformats.org/officeDocument/2006/relationships/externalLinkPath" Target="/Users/Usuario/Desktop/REPORTABILIDAD%202025/10%20OCTUBRE/LIBRO%20OCTUBRE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esktop/REPORTABILIDAD%202026/3%20MARZO/LIBRO%20FINAL%20MARZO.XLSX" TargetMode="External"/><Relationship Id="rId2" Type="http://schemas.openxmlformats.org/officeDocument/2006/relationships/externalLinkPath" Target="file:///C:\Users\Usuario\Desktop\REPORTABILIDAD%202026\3%20MARZO\LIBRO%20FINAL%20MARZO.XLSX" TargetMode="External"/><Relationship Id="rId1" Type="http://schemas.openxmlformats.org/officeDocument/2006/relationships/externalLinkPath" Target="/Users/Usuario/Desktop/REPORTABILIDAD%202026/3%20MARZO/LIBRO%20FINAL%20MARZO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onvenio%20Seguro%20de%20Salud%20Complementario/Consorcio/valor%20final%20a%20pagar%20agosto%202026.xlsx" TargetMode="External"/><Relationship Id="rId2" Type="http://schemas.openxmlformats.org/officeDocument/2006/relationships/externalLinkPath" Target="file:///C:\Users\Usuario\Documents\A_Maletin\A_Personal\AFAUTAL\Convenio%20Seguro%20de%20Salud%20Complementario\Consorcio\valor%20final%20a%20pagar%20agosto%202026.xlsx" TargetMode="External"/><Relationship Id="rId1" Type="http://schemas.openxmlformats.org/officeDocument/2006/relationships/externalLinkPath" Target="/Users/Usuario/Documents/A_Maletin/A_Personal/AFAUTAL/Convenio%20Seguro%20de%20Salud%20Complementario/Consorcio/valor%20final%20a%20pagar%20agost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 refreshError="1">
        <row r="1">
          <cell r="B1" t="str">
            <v>RUT</v>
          </cell>
          <cell r="C1" t="str">
            <v>DV</v>
          </cell>
          <cell r="D1" t="str">
            <v>NOMBRE</v>
          </cell>
          <cell r="E1" t="str">
            <v>CENTRO COSTO BASE</v>
          </cell>
          <cell r="F1" t="str">
            <v>HORAS</v>
          </cell>
          <cell r="G1" t="str">
            <v>Días trabajados</v>
          </cell>
          <cell r="H1" t="str">
            <v>EMAIL</v>
          </cell>
        </row>
        <row r="2">
          <cell r="B2">
            <v>4869845</v>
          </cell>
          <cell r="C2" t="str">
            <v>K</v>
          </cell>
          <cell r="D2" t="str">
            <v>TAPIA RIEPEL ROBERTO</v>
          </cell>
          <cell r="E2" t="str">
            <v>FAM320003</v>
          </cell>
          <cell r="F2">
            <v>22</v>
          </cell>
          <cell r="G2">
            <v>30</v>
          </cell>
          <cell r="H2" t="str">
            <v>ROTAPIA@UTALCA.CL</v>
          </cell>
        </row>
        <row r="3">
          <cell r="B3">
            <v>5136315</v>
          </cell>
          <cell r="C3">
            <v>9</v>
          </cell>
          <cell r="D3" t="str">
            <v>HERNANDEZ EMPARANZA DOMINGO</v>
          </cell>
          <cell r="E3" t="str">
            <v>FCJ320003</v>
          </cell>
          <cell r="F3">
            <v>12</v>
          </cell>
          <cell r="G3">
            <v>30</v>
          </cell>
          <cell r="H3" t="str">
            <v>DOHERNANDEZ@UTALCA.CL</v>
          </cell>
        </row>
        <row r="4">
          <cell r="B4">
            <v>5251036</v>
          </cell>
          <cell r="C4">
            <v>8</v>
          </cell>
          <cell r="D4" t="str">
            <v>BIEL MELGAREJO RODRIGO FRANCIS</v>
          </cell>
          <cell r="E4" t="str">
            <v>FCJ320001</v>
          </cell>
          <cell r="F4">
            <v>12</v>
          </cell>
          <cell r="G4">
            <v>30</v>
          </cell>
          <cell r="H4" t="str">
            <v>RBIEL@UTALCA.CL</v>
          </cell>
        </row>
        <row r="5">
          <cell r="B5">
            <v>5479823</v>
          </cell>
          <cell r="C5">
            <v>7</v>
          </cell>
          <cell r="D5" t="str">
            <v>GARCIA MOYA MARIA DEL PILAR</v>
          </cell>
          <cell r="E5" t="str">
            <v>FCS310007</v>
          </cell>
          <cell r="F5">
            <v>44</v>
          </cell>
          <cell r="G5">
            <v>30</v>
          </cell>
          <cell r="H5" t="str">
            <v>MARIAGARCIA@UTALCA.CL</v>
          </cell>
        </row>
        <row r="6">
          <cell r="B6">
            <v>5613607</v>
          </cell>
          <cell r="C6" t="str">
            <v>K</v>
          </cell>
          <cell r="D6" t="str">
            <v>AGUIRRE GONZALEZ MEDARDO JUAN</v>
          </cell>
          <cell r="E6" t="str">
            <v>FEN310003</v>
          </cell>
          <cell r="F6">
            <v>22</v>
          </cell>
          <cell r="G6">
            <v>30</v>
          </cell>
          <cell r="H6" t="str">
            <v>MAGUIRRE@UTALCA.CL</v>
          </cell>
        </row>
        <row r="7">
          <cell r="B7">
            <v>5674705</v>
          </cell>
          <cell r="C7">
            <v>2</v>
          </cell>
          <cell r="D7" t="str">
            <v>ZAMORANO PEREZ PEDRO EMILIO</v>
          </cell>
          <cell r="E7" t="str">
            <v>IAM300001</v>
          </cell>
          <cell r="F7">
            <v>44</v>
          </cell>
          <cell r="G7">
            <v>30</v>
          </cell>
          <cell r="H7" t="str">
            <v>PZAMOPER@UTALCA.CL</v>
          </cell>
        </row>
        <row r="8">
          <cell r="B8">
            <v>5796149</v>
          </cell>
          <cell r="C8" t="str">
            <v>K</v>
          </cell>
          <cell r="D8" t="str">
            <v>CATALAN BARAHONA CARLOS EDUARD</v>
          </cell>
          <cell r="E8" t="str">
            <v>ADC040001</v>
          </cell>
          <cell r="F8">
            <v>44</v>
          </cell>
          <cell r="G8">
            <v>30</v>
          </cell>
          <cell r="H8" t="str">
            <v>CCATALAN@UTALCA.CL</v>
          </cell>
        </row>
        <row r="9">
          <cell r="B9">
            <v>6318541</v>
          </cell>
          <cell r="C9">
            <v>8</v>
          </cell>
          <cell r="D9" t="str">
            <v>MOGGIA LUCCHINI CLAUDIA ELIANA</v>
          </cell>
          <cell r="E9" t="str">
            <v>FCA320002</v>
          </cell>
          <cell r="F9">
            <v>44</v>
          </cell>
          <cell r="G9">
            <v>30</v>
          </cell>
          <cell r="H9" t="str">
            <v>CMOGGIA@UTALCA.CL</v>
          </cell>
        </row>
        <row r="10">
          <cell r="B10">
            <v>6326851</v>
          </cell>
          <cell r="C10">
            <v>8</v>
          </cell>
          <cell r="D10" t="str">
            <v>MASSA BARROS MARIA ANTONIETA</v>
          </cell>
          <cell r="E10" t="str">
            <v>FOD320003</v>
          </cell>
          <cell r="F10">
            <v>9</v>
          </cell>
          <cell r="G10">
            <v>30</v>
          </cell>
          <cell r="H10" t="str">
            <v>MMASSA@UTALCA.CL</v>
          </cell>
        </row>
        <row r="11">
          <cell r="B11">
            <v>6337704</v>
          </cell>
          <cell r="C11" t="str">
            <v>K</v>
          </cell>
          <cell r="D11" t="str">
            <v>GONZALEZ GARCIA HERNAN FERNAND</v>
          </cell>
          <cell r="E11" t="str">
            <v>FCJ320001</v>
          </cell>
          <cell r="F11">
            <v>8</v>
          </cell>
          <cell r="G11">
            <v>30</v>
          </cell>
          <cell r="H11" t="str">
            <v>HGONZALE@UTALCA.CL</v>
          </cell>
        </row>
        <row r="12">
          <cell r="B12">
            <v>6376301</v>
          </cell>
          <cell r="C12">
            <v>2</v>
          </cell>
          <cell r="D12" t="str">
            <v>SCHMIDT-HEBBEL DUNKER MARION G</v>
          </cell>
          <cell r="E12" t="str">
            <v>FED310003</v>
          </cell>
          <cell r="F12">
            <v>12</v>
          </cell>
          <cell r="G12">
            <v>30</v>
          </cell>
          <cell r="H12" t="str">
            <v>MSCHMIDT-HEBBEL@UTALCA.CL</v>
          </cell>
        </row>
        <row r="13">
          <cell r="B13">
            <v>6379389</v>
          </cell>
          <cell r="C13">
            <v>2</v>
          </cell>
          <cell r="D13" t="str">
            <v>SCHIAPPACASSE CANEPA FLAVIA MA</v>
          </cell>
          <cell r="E13" t="str">
            <v>FCA320002</v>
          </cell>
          <cell r="F13">
            <v>22</v>
          </cell>
          <cell r="G13">
            <v>30</v>
          </cell>
          <cell r="H13" t="str">
            <v>FSCHIAP@UTALCA.CL</v>
          </cell>
        </row>
        <row r="14">
          <cell r="B14">
            <v>6454895</v>
          </cell>
          <cell r="C14">
            <v>6</v>
          </cell>
          <cell r="D14" t="str">
            <v>MOYANO DIAZ EMILIO EDMUNDO</v>
          </cell>
          <cell r="E14" t="str">
            <v>FPS310001</v>
          </cell>
          <cell r="F14">
            <v>22</v>
          </cell>
          <cell r="G14">
            <v>30</v>
          </cell>
          <cell r="H14" t="str">
            <v>EMOYANO@UTALCA.CL</v>
          </cell>
        </row>
        <row r="15">
          <cell r="B15">
            <v>6515737</v>
          </cell>
          <cell r="C15">
            <v>3</v>
          </cell>
          <cell r="D15" t="str">
            <v>RAYO URRUTIA GUSTAVO ANDRES</v>
          </cell>
          <cell r="E15" t="str">
            <v>FCJ320004</v>
          </cell>
          <cell r="F15">
            <v>44</v>
          </cell>
          <cell r="G15">
            <v>30</v>
          </cell>
          <cell r="H15" t="str">
            <v>GRAYO@UTALCA.CL</v>
          </cell>
        </row>
        <row r="16">
          <cell r="B16">
            <v>6563247</v>
          </cell>
          <cell r="C16">
            <v>0</v>
          </cell>
          <cell r="D16" t="str">
            <v>ARAYA MATURANA RAMIRO JUAN</v>
          </cell>
          <cell r="E16" t="str">
            <v>IQR300001</v>
          </cell>
          <cell r="F16">
            <v>44</v>
          </cell>
          <cell r="G16">
            <v>30</v>
          </cell>
          <cell r="H16" t="str">
            <v>RARAYA@UTALCA.CL</v>
          </cell>
        </row>
        <row r="17">
          <cell r="B17">
            <v>6605490</v>
          </cell>
          <cell r="C17" t="str">
            <v>K</v>
          </cell>
          <cell r="D17" t="str">
            <v>DEL POZO LIRA ALEJANDRO HUMBER</v>
          </cell>
          <cell r="E17" t="str">
            <v>FCA320003</v>
          </cell>
          <cell r="F17">
            <v>44</v>
          </cell>
          <cell r="G17">
            <v>30</v>
          </cell>
          <cell r="H17" t="str">
            <v>ADELPOZO@UTALCA.CL</v>
          </cell>
        </row>
        <row r="18">
          <cell r="B18">
            <v>6637684</v>
          </cell>
          <cell r="C18">
            <v>2</v>
          </cell>
          <cell r="D18" t="str">
            <v>PALOMO GONZALEZ IVAN FRANCISCO</v>
          </cell>
          <cell r="E18" t="str">
            <v>FCS320001</v>
          </cell>
          <cell r="F18">
            <v>44</v>
          </cell>
          <cell r="G18">
            <v>30</v>
          </cell>
          <cell r="H18" t="str">
            <v>IPALOMO@UTALCA.CL</v>
          </cell>
        </row>
        <row r="19">
          <cell r="B19">
            <v>6690172</v>
          </cell>
          <cell r="C19">
            <v>6</v>
          </cell>
          <cell r="D19" t="str">
            <v>RODRIGUEZ CUELLAR PATRICIA JEA</v>
          </cell>
          <cell r="E19" t="str">
            <v>FEN310004</v>
          </cell>
          <cell r="F19">
            <v>44</v>
          </cell>
          <cell r="G19">
            <v>30</v>
          </cell>
          <cell r="H19" t="str">
            <v>PRODRIG@UTALCA.CL</v>
          </cell>
        </row>
        <row r="20">
          <cell r="B20">
            <v>6808905</v>
          </cell>
          <cell r="C20">
            <v>0</v>
          </cell>
          <cell r="D20" t="str">
            <v>PADILLA ESPINOZA CARLOS ALBERT</v>
          </cell>
          <cell r="E20" t="str">
            <v>FCS320002</v>
          </cell>
          <cell r="F20">
            <v>44</v>
          </cell>
          <cell r="G20">
            <v>30</v>
          </cell>
          <cell r="H20" t="str">
            <v>CPADILLA@UTALCA.CL</v>
          </cell>
        </row>
        <row r="21">
          <cell r="B21">
            <v>6839736</v>
          </cell>
          <cell r="C21">
            <v>7</v>
          </cell>
          <cell r="D21" t="str">
            <v>OLIVA TE-KLOOT JORGE</v>
          </cell>
          <cell r="E21" t="str">
            <v>FOD310001</v>
          </cell>
          <cell r="F21">
            <v>13</v>
          </cell>
          <cell r="G21">
            <v>30</v>
          </cell>
          <cell r="H21" t="str">
            <v>JORGE.OLIVA@UTALCA.CL</v>
          </cell>
        </row>
        <row r="22">
          <cell r="B22">
            <v>6863228</v>
          </cell>
          <cell r="C22">
            <v>5</v>
          </cell>
          <cell r="D22" t="str">
            <v>ORYAN LERMANDA MANUEL PATRICIO</v>
          </cell>
          <cell r="E22" t="str">
            <v>IMF300001</v>
          </cell>
          <cell r="F22">
            <v>44</v>
          </cell>
          <cell r="G22">
            <v>30</v>
          </cell>
          <cell r="H22" t="str">
            <v>MORYAN@UTALCA.CL</v>
          </cell>
        </row>
        <row r="23">
          <cell r="B23">
            <v>6953548</v>
          </cell>
          <cell r="C23">
            <v>8</v>
          </cell>
          <cell r="D23" t="str">
            <v>VERA BUSTOS LALFA ARLETTE</v>
          </cell>
          <cell r="E23" t="str">
            <v>FOD320001</v>
          </cell>
          <cell r="F23">
            <v>22</v>
          </cell>
          <cell r="G23">
            <v>30</v>
          </cell>
          <cell r="H23" t="str">
            <v>AVERAB@UTALCA.CL</v>
          </cell>
        </row>
        <row r="24">
          <cell r="B24">
            <v>6969962</v>
          </cell>
          <cell r="C24">
            <v>6</v>
          </cell>
          <cell r="D24" t="str">
            <v>ARENAS JARA MERCEDES SARA</v>
          </cell>
          <cell r="E24" t="str">
            <v>FCS310007</v>
          </cell>
          <cell r="F24">
            <v>44</v>
          </cell>
          <cell r="G24">
            <v>30</v>
          </cell>
          <cell r="H24" t="str">
            <v>MEARENAS@UTALCA.CL</v>
          </cell>
        </row>
        <row r="25">
          <cell r="B25">
            <v>6986444</v>
          </cell>
          <cell r="C25">
            <v>9</v>
          </cell>
          <cell r="D25" t="str">
            <v>FUENTES VALENZUELA LEONCIO</v>
          </cell>
          <cell r="E25" t="str">
            <v>FAM320003</v>
          </cell>
          <cell r="F25">
            <v>22</v>
          </cell>
          <cell r="G25">
            <v>30</v>
          </cell>
          <cell r="H25" t="str">
            <v>LEOFUENTES@UTALCA.CL</v>
          </cell>
        </row>
        <row r="26">
          <cell r="B26">
            <v>7024658</v>
          </cell>
          <cell r="C26">
            <v>9</v>
          </cell>
          <cell r="D26" t="str">
            <v>TORRES PEREZ SERGIO EUGENIO</v>
          </cell>
          <cell r="E26" t="str">
            <v>ADC021005</v>
          </cell>
          <cell r="F26">
            <v>44</v>
          </cell>
          <cell r="G26">
            <v>30</v>
          </cell>
          <cell r="H26" t="str">
            <v>STORRES@UTALCA.CL</v>
          </cell>
        </row>
        <row r="27">
          <cell r="B27">
            <v>7069922</v>
          </cell>
          <cell r="C27">
            <v>2</v>
          </cell>
          <cell r="D27" t="str">
            <v>ICAZA PEREZ MARIA INES</v>
          </cell>
          <cell r="E27" t="str">
            <v>IMF300001</v>
          </cell>
          <cell r="F27">
            <v>44</v>
          </cell>
          <cell r="G27">
            <v>30</v>
          </cell>
          <cell r="H27" t="str">
            <v>ICAZAP@UTALCA.CL</v>
          </cell>
        </row>
        <row r="28">
          <cell r="B28">
            <v>7097392</v>
          </cell>
          <cell r="C28">
            <v>8</v>
          </cell>
          <cell r="D28" t="str">
            <v>ELGUETA FERRADA MILTON SALVADO</v>
          </cell>
          <cell r="E28" t="str">
            <v>FCI320004</v>
          </cell>
          <cell r="F28">
            <v>44</v>
          </cell>
          <cell r="G28">
            <v>30</v>
          </cell>
          <cell r="H28" t="str">
            <v>MELGUETA@UTALCA.CL</v>
          </cell>
        </row>
        <row r="29">
          <cell r="B29">
            <v>7125734</v>
          </cell>
          <cell r="C29">
            <v>7</v>
          </cell>
          <cell r="D29" t="str">
            <v>JIMENEZ RETAMAL ADRIANA DE LAS</v>
          </cell>
          <cell r="E29" t="str">
            <v>FCS310007</v>
          </cell>
          <cell r="F29">
            <v>44</v>
          </cell>
          <cell r="G29">
            <v>30</v>
          </cell>
          <cell r="H29" t="str">
            <v>ADRIANA.JIMENEZ@UTALCA.CL</v>
          </cell>
        </row>
        <row r="30">
          <cell r="B30">
            <v>7125752</v>
          </cell>
          <cell r="C30">
            <v>5</v>
          </cell>
          <cell r="D30" t="str">
            <v>BUSTAMANTE UBILLA MIGUEL ALEJA</v>
          </cell>
          <cell r="E30" t="str">
            <v>FEN310001</v>
          </cell>
          <cell r="F30">
            <v>44</v>
          </cell>
          <cell r="G30">
            <v>30</v>
          </cell>
          <cell r="H30" t="str">
            <v>MABU@UTALCA.CL</v>
          </cell>
        </row>
        <row r="31">
          <cell r="B31">
            <v>7154861</v>
          </cell>
          <cell r="C31">
            <v>9</v>
          </cell>
          <cell r="D31" t="str">
            <v>HIDALGO ARAMBURU PAULO GREGORI</v>
          </cell>
          <cell r="E31" t="str">
            <v>FCJ320004</v>
          </cell>
          <cell r="F31">
            <v>44</v>
          </cell>
          <cell r="G31">
            <v>30</v>
          </cell>
          <cell r="H31" t="str">
            <v>PHIDALGO@UTALCA.CL</v>
          </cell>
        </row>
        <row r="32">
          <cell r="B32">
            <v>7191843</v>
          </cell>
          <cell r="C32">
            <v>2</v>
          </cell>
          <cell r="D32" t="str">
            <v>IBARRA MUÑOZ ANA MARIA</v>
          </cell>
          <cell r="E32" t="str">
            <v>FCJ340009</v>
          </cell>
          <cell r="F32">
            <v>22</v>
          </cell>
          <cell r="G32">
            <v>30</v>
          </cell>
          <cell r="H32" t="str">
            <v>ANIBARRA@UTALCA.CL</v>
          </cell>
        </row>
        <row r="33">
          <cell r="B33">
            <v>7194358</v>
          </cell>
          <cell r="C33">
            <v>5</v>
          </cell>
          <cell r="D33" t="str">
            <v>VILLALOBOS MATELUNA PABLO ALFO</v>
          </cell>
          <cell r="E33" t="str">
            <v>FCA320001</v>
          </cell>
          <cell r="F33">
            <v>44</v>
          </cell>
          <cell r="G33">
            <v>30</v>
          </cell>
          <cell r="H33" t="str">
            <v>PVILLAL@UTALCA.CL</v>
          </cell>
        </row>
        <row r="34">
          <cell r="B34">
            <v>7201239</v>
          </cell>
          <cell r="C34">
            <v>9</v>
          </cell>
          <cell r="D34" t="str">
            <v>MENA FRAU CARLOS ANTONIO</v>
          </cell>
          <cell r="E34" t="str">
            <v>FEN310001</v>
          </cell>
          <cell r="F34">
            <v>22</v>
          </cell>
          <cell r="G34">
            <v>30</v>
          </cell>
          <cell r="H34" t="str">
            <v>CMENA@UTALCA.CL</v>
          </cell>
        </row>
        <row r="35">
          <cell r="B35">
            <v>7223921</v>
          </cell>
          <cell r="C35">
            <v>0</v>
          </cell>
          <cell r="D35" t="str">
            <v>WILLSON ROJAS MARIA WALESKA</v>
          </cell>
          <cell r="E35" t="str">
            <v>FCS320011</v>
          </cell>
          <cell r="F35">
            <v>33</v>
          </cell>
          <cell r="G35">
            <v>30</v>
          </cell>
          <cell r="H35" t="str">
            <v>MWILLSON@UTALCA.CL</v>
          </cell>
        </row>
        <row r="36">
          <cell r="B36">
            <v>7254097</v>
          </cell>
          <cell r="C36">
            <v>2</v>
          </cell>
          <cell r="D36" t="str">
            <v>CATALDO DROGUETT FERNANDO PATR</v>
          </cell>
          <cell r="E36" t="str">
            <v>IQR300001</v>
          </cell>
          <cell r="F36">
            <v>44</v>
          </cell>
          <cell r="G36">
            <v>30</v>
          </cell>
          <cell r="H36" t="str">
            <v>FCATALDO@UTALCA.CL</v>
          </cell>
        </row>
        <row r="37">
          <cell r="B37">
            <v>7311912</v>
          </cell>
          <cell r="C37" t="str">
            <v>K</v>
          </cell>
          <cell r="D37" t="str">
            <v>PIZARRO TAPIA MANUEL ROBERTO</v>
          </cell>
          <cell r="E37" t="str">
            <v>VAC400080</v>
          </cell>
          <cell r="F37">
            <v>40</v>
          </cell>
          <cell r="G37">
            <v>30</v>
          </cell>
          <cell r="H37" t="str">
            <v>RPIZARRO@UTALCA.CL</v>
          </cell>
        </row>
        <row r="38">
          <cell r="B38">
            <v>7354667</v>
          </cell>
          <cell r="C38">
            <v>2</v>
          </cell>
          <cell r="D38" t="str">
            <v>BECERRA LABRA CARLOS HUMBERTO</v>
          </cell>
          <cell r="E38" t="str">
            <v>FED310008</v>
          </cell>
          <cell r="F38">
            <v>44</v>
          </cell>
          <cell r="G38">
            <v>30</v>
          </cell>
          <cell r="H38" t="str">
            <v>CBECERRA@UTALCA.CL</v>
          </cell>
        </row>
        <row r="39">
          <cell r="B39">
            <v>7432377</v>
          </cell>
          <cell r="C39">
            <v>4</v>
          </cell>
          <cell r="D39" t="str">
            <v>GONZALEZ COLVILLE PATRICIO EUG</v>
          </cell>
          <cell r="E39" t="str">
            <v>FCA320003</v>
          </cell>
          <cell r="F39">
            <v>44</v>
          </cell>
          <cell r="G39">
            <v>30</v>
          </cell>
          <cell r="H39" t="str">
            <v>PGONZALE@UTALCA.CL</v>
          </cell>
        </row>
        <row r="40">
          <cell r="B40">
            <v>7442634</v>
          </cell>
          <cell r="C40">
            <v>4</v>
          </cell>
          <cell r="D40" t="str">
            <v>ROMAN PEREZ JUAN ERNESTO</v>
          </cell>
          <cell r="E40" t="str">
            <v>FAD310001</v>
          </cell>
          <cell r="F40">
            <v>22</v>
          </cell>
          <cell r="G40">
            <v>30</v>
          </cell>
          <cell r="H40" t="str">
            <v>JROMAN@UTALCA.CL</v>
          </cell>
        </row>
        <row r="41">
          <cell r="B41">
            <v>7461867</v>
          </cell>
          <cell r="C41">
            <v>7</v>
          </cell>
          <cell r="D41" t="str">
            <v>RUIZ LARA SIMON AURELIO</v>
          </cell>
          <cell r="E41" t="str">
            <v>ICB300001</v>
          </cell>
          <cell r="F41">
            <v>44</v>
          </cell>
          <cell r="G41">
            <v>30</v>
          </cell>
          <cell r="H41" t="str">
            <v>SRUIZ@UTALCA.CL</v>
          </cell>
        </row>
        <row r="42">
          <cell r="B42">
            <v>7488503</v>
          </cell>
          <cell r="C42">
            <v>9</v>
          </cell>
          <cell r="D42" t="str">
            <v>VILLASEÑOR FICA JORGE EDUARDO</v>
          </cell>
          <cell r="E42" t="str">
            <v>IQR300001</v>
          </cell>
          <cell r="F42">
            <v>44</v>
          </cell>
          <cell r="G42">
            <v>30</v>
          </cell>
          <cell r="H42" t="str">
            <v>JVILLASE@UTALCA.CL</v>
          </cell>
        </row>
        <row r="43">
          <cell r="B43">
            <v>7559588</v>
          </cell>
          <cell r="C43">
            <v>3</v>
          </cell>
          <cell r="D43" t="str">
            <v>BRUNEAU MELLADO ALBERTO ENRIQU</v>
          </cell>
          <cell r="E43" t="str">
            <v>ADC021005</v>
          </cell>
          <cell r="F43">
            <v>44</v>
          </cell>
          <cell r="G43">
            <v>30</v>
          </cell>
          <cell r="H43" t="str">
            <v>ABRUNEAU@UTALCA.CL</v>
          </cell>
        </row>
        <row r="44">
          <cell r="B44">
            <v>7610077</v>
          </cell>
          <cell r="C44">
            <v>2</v>
          </cell>
          <cell r="D44" t="str">
            <v>NAVARRETE BUSTAMANTE JORGE ROB</v>
          </cell>
          <cell r="E44" t="str">
            <v>FEN310001</v>
          </cell>
          <cell r="F44">
            <v>44</v>
          </cell>
          <cell r="G44">
            <v>30</v>
          </cell>
          <cell r="H44" t="str">
            <v>JNAVARRETE@UTALCA.CL</v>
          </cell>
        </row>
        <row r="45">
          <cell r="B45">
            <v>7615764</v>
          </cell>
          <cell r="C45">
            <v>2</v>
          </cell>
          <cell r="D45" t="str">
            <v>FAUNDEZ FIGUEROA HECTOR MANUEL</v>
          </cell>
          <cell r="E45" t="str">
            <v>FCS320001</v>
          </cell>
          <cell r="F45">
            <v>33</v>
          </cell>
          <cell r="G45">
            <v>30</v>
          </cell>
          <cell r="H45" t="str">
            <v>HECTOR.FAUNDEZ@UTALCA.CL</v>
          </cell>
        </row>
        <row r="46">
          <cell r="B46">
            <v>7656340</v>
          </cell>
          <cell r="C46">
            <v>3</v>
          </cell>
          <cell r="D46" t="str">
            <v>DEISLER COLL MARIANA ELISA</v>
          </cell>
          <cell r="E46" t="str">
            <v>VRF400009</v>
          </cell>
          <cell r="F46">
            <v>44</v>
          </cell>
          <cell r="G46">
            <v>30</v>
          </cell>
          <cell r="H46" t="str">
            <v>MDEISLER@UTALCA.CL</v>
          </cell>
        </row>
        <row r="47">
          <cell r="B47">
            <v>7707241</v>
          </cell>
          <cell r="C47">
            <v>1</v>
          </cell>
          <cell r="D47" t="str">
            <v>VENEGAS ROJAS BERNARDO ARTURO</v>
          </cell>
          <cell r="E47" t="str">
            <v>FOD320002</v>
          </cell>
          <cell r="F47">
            <v>12</v>
          </cell>
          <cell r="G47">
            <v>30</v>
          </cell>
          <cell r="H47" t="str">
            <v>BVENEGAS@UTALCA.CL</v>
          </cell>
        </row>
        <row r="48">
          <cell r="B48">
            <v>7730709</v>
          </cell>
          <cell r="C48">
            <v>5</v>
          </cell>
          <cell r="D48" t="str">
            <v>TENREIRO LEIVA CLAUDIO FABIAN</v>
          </cell>
          <cell r="E48" t="str">
            <v>FCI320004</v>
          </cell>
          <cell r="F48">
            <v>44</v>
          </cell>
          <cell r="G48">
            <v>30</v>
          </cell>
          <cell r="H48" t="str">
            <v>CTENREIRO@UTALCA.CL</v>
          </cell>
        </row>
        <row r="49">
          <cell r="B49">
            <v>7743260</v>
          </cell>
          <cell r="C49">
            <v>4</v>
          </cell>
          <cell r="D49" t="str">
            <v>ZUÑIGA REYES FRANCISCO FEDERIC</v>
          </cell>
          <cell r="E49" t="str">
            <v>FAM320003</v>
          </cell>
          <cell r="F49">
            <v>6</v>
          </cell>
          <cell r="G49">
            <v>30</v>
          </cell>
          <cell r="H49" t="str">
            <v>FZUNIGA@UTALCA.CL</v>
          </cell>
        </row>
        <row r="50">
          <cell r="B50">
            <v>7751217</v>
          </cell>
          <cell r="C50">
            <v>9</v>
          </cell>
          <cell r="D50" t="str">
            <v>BRIONES LORCA MARIA DEL CARMEN</v>
          </cell>
          <cell r="E50" t="str">
            <v>FCS310007</v>
          </cell>
          <cell r="F50">
            <v>44</v>
          </cell>
          <cell r="G50">
            <v>30</v>
          </cell>
          <cell r="H50" t="str">
            <v>MBRIONESL@UTALCA.CL</v>
          </cell>
        </row>
        <row r="51">
          <cell r="B51">
            <v>7817802</v>
          </cell>
          <cell r="C51">
            <v>7</v>
          </cell>
          <cell r="D51" t="str">
            <v>SAITUA MATURANA LUZ MARIA</v>
          </cell>
          <cell r="E51" t="str">
            <v>FED310003</v>
          </cell>
          <cell r="F51">
            <v>6</v>
          </cell>
          <cell r="G51">
            <v>30</v>
          </cell>
          <cell r="H51" t="str">
            <v>LSAITUA@UTALCA.CL</v>
          </cell>
        </row>
        <row r="52">
          <cell r="B52">
            <v>7876530</v>
          </cell>
          <cell r="C52">
            <v>5</v>
          </cell>
          <cell r="D52" t="str">
            <v>OSORES OSORIO CARLOS EUSEBIO</v>
          </cell>
          <cell r="E52" t="str">
            <v>ADC019005</v>
          </cell>
          <cell r="F52">
            <v>44</v>
          </cell>
          <cell r="G52">
            <v>30</v>
          </cell>
          <cell r="H52" t="str">
            <v>CARLOS.OSORES@UTALCA.CL</v>
          </cell>
        </row>
        <row r="53">
          <cell r="B53">
            <v>7901566</v>
          </cell>
          <cell r="C53">
            <v>0</v>
          </cell>
          <cell r="D53" t="str">
            <v>LOBOS ANDRADE GERMAN ENRIQUE</v>
          </cell>
          <cell r="E53" t="str">
            <v>FEN310001</v>
          </cell>
          <cell r="F53">
            <v>44</v>
          </cell>
          <cell r="G53">
            <v>30</v>
          </cell>
          <cell r="H53" t="str">
            <v>GLOBOS@UTALCA.CL</v>
          </cell>
        </row>
        <row r="54">
          <cell r="B54">
            <v>7921623</v>
          </cell>
          <cell r="C54">
            <v>2</v>
          </cell>
          <cell r="D54" t="str">
            <v>REYES GONZALEZ MARIA ELIANA</v>
          </cell>
          <cell r="E54" t="str">
            <v>VRF400040</v>
          </cell>
          <cell r="F54">
            <v>44</v>
          </cell>
          <cell r="G54">
            <v>30</v>
          </cell>
          <cell r="H54" t="str">
            <v>MEREYES@UTALCA.CL</v>
          </cell>
        </row>
        <row r="55">
          <cell r="B55">
            <v>7939559</v>
          </cell>
          <cell r="C55">
            <v>5</v>
          </cell>
          <cell r="D55" t="str">
            <v>ZAPATA LARRAIN GONZALO</v>
          </cell>
          <cell r="E55" t="str">
            <v>VRF100003</v>
          </cell>
          <cell r="F55">
            <v>44</v>
          </cell>
          <cell r="G55">
            <v>30</v>
          </cell>
          <cell r="H55" t="str">
            <v>GONZALO.ZAPATAL@UTALCA.CL</v>
          </cell>
        </row>
        <row r="56">
          <cell r="B56">
            <v>7956416</v>
          </cell>
          <cell r="C56">
            <v>8</v>
          </cell>
          <cell r="D56" t="str">
            <v>ESTRADA CASTRO VIVIANA DE FATI</v>
          </cell>
          <cell r="E56" t="str">
            <v>FCS320009</v>
          </cell>
          <cell r="F56">
            <v>44</v>
          </cell>
          <cell r="G56">
            <v>30</v>
          </cell>
          <cell r="H56" t="str">
            <v>VESTRADA@UTALCA.CL</v>
          </cell>
        </row>
        <row r="57">
          <cell r="B57">
            <v>7976936</v>
          </cell>
          <cell r="C57">
            <v>3</v>
          </cell>
          <cell r="D57" t="str">
            <v>SANTIBAÑEZ GONZALEZ ERNESTO DE</v>
          </cell>
          <cell r="E57" t="str">
            <v>FCI320002</v>
          </cell>
          <cell r="F57">
            <v>44</v>
          </cell>
          <cell r="G57">
            <v>30</v>
          </cell>
          <cell r="H57" t="str">
            <v>ESANTIBANEZ@UTALCA.CL</v>
          </cell>
        </row>
        <row r="58">
          <cell r="B58">
            <v>8000748</v>
          </cell>
          <cell r="C58">
            <v>5</v>
          </cell>
          <cell r="D58" t="str">
            <v>MARTINEZ JIMENEZ LUIS FERNANDO</v>
          </cell>
          <cell r="E58" t="str">
            <v>FCS320010</v>
          </cell>
          <cell r="F58">
            <v>44</v>
          </cell>
          <cell r="G58">
            <v>30</v>
          </cell>
          <cell r="H58" t="str">
            <v>LMARTINEZ@UTALCA.CL</v>
          </cell>
        </row>
        <row r="59">
          <cell r="B59">
            <v>8002094</v>
          </cell>
          <cell r="C59">
            <v>5</v>
          </cell>
          <cell r="D59" t="str">
            <v>ZAMUDIO ARANCIBIA FRANCISCO JA</v>
          </cell>
          <cell r="E59" t="str">
            <v>FCS320003</v>
          </cell>
          <cell r="F59">
            <v>44</v>
          </cell>
          <cell r="G59">
            <v>30</v>
          </cell>
          <cell r="H59" t="str">
            <v>FRANZAMUDIO@UTALCA.CL</v>
          </cell>
        </row>
        <row r="60">
          <cell r="B60">
            <v>8037817</v>
          </cell>
          <cell r="C60">
            <v>3</v>
          </cell>
          <cell r="D60" t="str">
            <v>YURI SALOMON JOSE ANTONIO</v>
          </cell>
          <cell r="E60" t="str">
            <v>FCA320002</v>
          </cell>
          <cell r="F60">
            <v>22</v>
          </cell>
          <cell r="G60">
            <v>30</v>
          </cell>
          <cell r="H60" t="str">
            <v>AYURI@UTALCA.CL</v>
          </cell>
        </row>
        <row r="61">
          <cell r="B61">
            <v>8128167</v>
          </cell>
          <cell r="C61" t="str">
            <v>K</v>
          </cell>
          <cell r="D61" t="str">
            <v>ELGUETA SIERRA PAULA</v>
          </cell>
          <cell r="E61" t="str">
            <v>FAD310004</v>
          </cell>
          <cell r="F61">
            <v>44</v>
          </cell>
          <cell r="G61">
            <v>30</v>
          </cell>
          <cell r="H61" t="str">
            <v>PAULA.ELGUETA@UTALCA.CL</v>
          </cell>
        </row>
        <row r="62">
          <cell r="B62">
            <v>8158868</v>
          </cell>
          <cell r="C62">
            <v>6</v>
          </cell>
          <cell r="D62" t="str">
            <v>SUAREZ CROTHERS CHRISTIAN GABR</v>
          </cell>
          <cell r="E62" t="str">
            <v>FCJ320003</v>
          </cell>
          <cell r="F62">
            <v>44</v>
          </cell>
          <cell r="G62">
            <v>30</v>
          </cell>
          <cell r="H62" t="str">
            <v>CSUAREZ@UTALCA.CL</v>
          </cell>
        </row>
        <row r="63">
          <cell r="B63">
            <v>8186262</v>
          </cell>
          <cell r="C63">
            <v>1</v>
          </cell>
          <cell r="D63" t="str">
            <v>LOBOS GILABERT OLGA DE LAS MER</v>
          </cell>
          <cell r="E63" t="str">
            <v>FCS320002</v>
          </cell>
          <cell r="F63">
            <v>44</v>
          </cell>
          <cell r="G63">
            <v>30</v>
          </cell>
          <cell r="H63" t="str">
            <v>OLOBOS@UTALCA.CL</v>
          </cell>
        </row>
        <row r="64">
          <cell r="B64">
            <v>8186514</v>
          </cell>
          <cell r="C64">
            <v>0</v>
          </cell>
          <cell r="D64" t="str">
            <v>ITURRA HERRERA CAROLINA</v>
          </cell>
          <cell r="E64" t="str">
            <v>FPS200001</v>
          </cell>
          <cell r="F64">
            <v>44</v>
          </cell>
          <cell r="G64">
            <v>30</v>
          </cell>
          <cell r="H64" t="str">
            <v>CITURRA@UTALCA.CL</v>
          </cell>
        </row>
        <row r="65">
          <cell r="B65">
            <v>8196589</v>
          </cell>
          <cell r="C65">
            <v>7</v>
          </cell>
          <cell r="D65" t="str">
            <v>LANDEROS LOYOLA ELIER EUSTACIO</v>
          </cell>
          <cell r="E65" t="str">
            <v>FOD350001</v>
          </cell>
          <cell r="F65">
            <v>44</v>
          </cell>
          <cell r="G65">
            <v>4</v>
          </cell>
          <cell r="H65" t="str">
            <v>ELANDEROS@UTALCA.CL</v>
          </cell>
        </row>
        <row r="66">
          <cell r="B66">
            <v>8205579</v>
          </cell>
          <cell r="C66">
            <v>7</v>
          </cell>
          <cell r="D66" t="str">
            <v>BALDI PACHECO LEONARDO SANTIAG</v>
          </cell>
          <cell r="E66" t="str">
            <v>VAC400001</v>
          </cell>
          <cell r="F66">
            <v>44</v>
          </cell>
          <cell r="G66">
            <v>30</v>
          </cell>
          <cell r="H66" t="str">
            <v>LBALDI@UTALCA.CL</v>
          </cell>
        </row>
        <row r="67">
          <cell r="B67">
            <v>8209952</v>
          </cell>
          <cell r="C67">
            <v>2</v>
          </cell>
          <cell r="D67" t="str">
            <v>TOLEDO ABARCA CARLOS PATRICIO</v>
          </cell>
          <cell r="E67" t="str">
            <v>FCI320002</v>
          </cell>
          <cell r="F67">
            <v>44</v>
          </cell>
          <cell r="G67">
            <v>30</v>
          </cell>
          <cell r="H67" t="str">
            <v>CTOLEDOA@UTALCA.CL</v>
          </cell>
        </row>
        <row r="68">
          <cell r="B68">
            <v>8306042</v>
          </cell>
          <cell r="C68">
            <v>5</v>
          </cell>
          <cell r="D68" t="str">
            <v>HERRERA FAUNDEZ RAUL SIMON</v>
          </cell>
          <cell r="E68" t="str">
            <v>ICB300001</v>
          </cell>
          <cell r="F68">
            <v>44</v>
          </cell>
          <cell r="G68">
            <v>30</v>
          </cell>
          <cell r="H68" t="str">
            <v>RAHERRE@UTALCA.CL</v>
          </cell>
        </row>
        <row r="69">
          <cell r="B69">
            <v>8317186</v>
          </cell>
          <cell r="C69">
            <v>3</v>
          </cell>
          <cell r="D69" t="str">
            <v>NANJARI ALVAREZ JUAN CARLOS</v>
          </cell>
          <cell r="E69" t="str">
            <v>VRF400009</v>
          </cell>
          <cell r="F69">
            <v>44</v>
          </cell>
          <cell r="G69">
            <v>30</v>
          </cell>
          <cell r="H69" t="str">
            <v>JNANJARI@UTALCA.CL</v>
          </cell>
        </row>
        <row r="70">
          <cell r="B70">
            <v>8326856</v>
          </cell>
          <cell r="C70">
            <v>5</v>
          </cell>
          <cell r="D70" t="str">
            <v>MENDEZ ARENAS JUDITH EUGENIA</v>
          </cell>
          <cell r="E70" t="str">
            <v>VDE400001</v>
          </cell>
          <cell r="F70">
            <v>44</v>
          </cell>
          <cell r="G70">
            <v>30</v>
          </cell>
          <cell r="H70" t="str">
            <v>JMENDEZ@UTALCA.CL</v>
          </cell>
        </row>
        <row r="71">
          <cell r="B71">
            <v>8355196</v>
          </cell>
          <cell r="C71">
            <v>8</v>
          </cell>
          <cell r="D71" t="str">
            <v>LEON ARAYA JUANITA SORAYA</v>
          </cell>
          <cell r="E71" t="str">
            <v>FOD320001</v>
          </cell>
          <cell r="F71">
            <v>44</v>
          </cell>
          <cell r="G71">
            <v>30</v>
          </cell>
          <cell r="H71" t="str">
            <v>SLEON@UTALCA.CL</v>
          </cell>
        </row>
        <row r="72">
          <cell r="B72">
            <v>8371714</v>
          </cell>
          <cell r="C72">
            <v>9</v>
          </cell>
          <cell r="D72" t="str">
            <v>ROJAS MIÑO IRENE EUGENIA</v>
          </cell>
          <cell r="E72" t="str">
            <v>FCJ320001</v>
          </cell>
          <cell r="F72">
            <v>44</v>
          </cell>
          <cell r="G72">
            <v>30</v>
          </cell>
          <cell r="H72" t="str">
            <v>IROJAS@UTALCA.CL</v>
          </cell>
        </row>
        <row r="73">
          <cell r="B73">
            <v>8449864</v>
          </cell>
          <cell r="C73">
            <v>5</v>
          </cell>
          <cell r="D73" t="str">
            <v>BRAVO BRAVO ORLANDO PATRICIO</v>
          </cell>
          <cell r="E73" t="str">
            <v>VRF400061</v>
          </cell>
          <cell r="F73">
            <v>44</v>
          </cell>
          <cell r="G73">
            <v>30</v>
          </cell>
          <cell r="H73" t="str">
            <v>PBRAVO@UTALCA.CL</v>
          </cell>
        </row>
        <row r="74">
          <cell r="B74">
            <v>8455271</v>
          </cell>
          <cell r="C74">
            <v>2</v>
          </cell>
          <cell r="D74" t="str">
            <v>CARNEVALI RODRIGUEZ RAUL ANTON</v>
          </cell>
          <cell r="E74" t="str">
            <v>FCJ320001</v>
          </cell>
          <cell r="F74">
            <v>44</v>
          </cell>
          <cell r="G74">
            <v>30</v>
          </cell>
          <cell r="H74" t="str">
            <v>RCARNEVALI@UTALCA.CL</v>
          </cell>
        </row>
        <row r="75">
          <cell r="B75">
            <v>8465038</v>
          </cell>
          <cell r="C75">
            <v>2</v>
          </cell>
          <cell r="D75" t="str">
            <v>FIGUEROA CARO ALFREDO CHRISTIA</v>
          </cell>
          <cell r="E75" t="str">
            <v>ICB300001</v>
          </cell>
          <cell r="F75">
            <v>44</v>
          </cell>
          <cell r="G75">
            <v>30</v>
          </cell>
          <cell r="H75" t="str">
            <v>ALFIGUEROA@UTALCA.CL</v>
          </cell>
        </row>
        <row r="76">
          <cell r="B76">
            <v>8498412</v>
          </cell>
          <cell r="C76">
            <v>4</v>
          </cell>
          <cell r="D76" t="str">
            <v>MELLA ROJAS LUIS ENRIQUE</v>
          </cell>
          <cell r="E76" t="str">
            <v>IQR300001</v>
          </cell>
          <cell r="F76">
            <v>44</v>
          </cell>
          <cell r="G76">
            <v>30</v>
          </cell>
          <cell r="H76" t="str">
            <v>LMELLA@UTALCA.CL</v>
          </cell>
        </row>
        <row r="77">
          <cell r="B77">
            <v>8524680</v>
          </cell>
          <cell r="C77">
            <v>1</v>
          </cell>
          <cell r="D77" t="str">
            <v>MURGAS YAÑEZ MARIA EMILIA</v>
          </cell>
          <cell r="E77" t="str">
            <v>ADC022001</v>
          </cell>
          <cell r="F77">
            <v>44</v>
          </cell>
          <cell r="G77">
            <v>30</v>
          </cell>
          <cell r="H77" t="str">
            <v>EMURGAS@UTALCA.CL</v>
          </cell>
        </row>
        <row r="78">
          <cell r="B78">
            <v>8537434</v>
          </cell>
          <cell r="C78">
            <v>6</v>
          </cell>
          <cell r="D78" t="str">
            <v>CHAMORRO MUÑOZ CHRISTIAN ALEJA</v>
          </cell>
          <cell r="E78" t="str">
            <v>VGE400056</v>
          </cell>
          <cell r="F78">
            <v>44</v>
          </cell>
          <cell r="G78">
            <v>30</v>
          </cell>
          <cell r="H78" t="str">
            <v>CCHAMORRO@UTALCA.CL</v>
          </cell>
        </row>
        <row r="79">
          <cell r="B79">
            <v>8555270</v>
          </cell>
          <cell r="C79">
            <v>8</v>
          </cell>
          <cell r="D79" t="str">
            <v>BRAVO ACEVEDO SAMUEL ANTONIO</v>
          </cell>
          <cell r="E79" t="str">
            <v>VGE400050</v>
          </cell>
          <cell r="F79">
            <v>44</v>
          </cell>
          <cell r="G79">
            <v>30</v>
          </cell>
          <cell r="H79" t="str">
            <v>SBRAVO@UTALCA.CL</v>
          </cell>
        </row>
        <row r="80">
          <cell r="B80">
            <v>8556535</v>
          </cell>
          <cell r="C80">
            <v>4</v>
          </cell>
          <cell r="D80" t="str">
            <v>CARRASCO SILVA GILDA ASTRID</v>
          </cell>
          <cell r="E80" t="str">
            <v>FCA320002</v>
          </cell>
          <cell r="F80">
            <v>44</v>
          </cell>
          <cell r="G80">
            <v>30</v>
          </cell>
          <cell r="H80" t="str">
            <v>GCARRASC@UTALCA.CL</v>
          </cell>
        </row>
        <row r="81">
          <cell r="B81">
            <v>8557201</v>
          </cell>
          <cell r="C81">
            <v>6</v>
          </cell>
          <cell r="D81" t="str">
            <v>AYLWIN OSTALE MARIA DE LA LUZ</v>
          </cell>
          <cell r="E81" t="str">
            <v>FAM320001</v>
          </cell>
          <cell r="F81">
            <v>44</v>
          </cell>
          <cell r="G81">
            <v>30</v>
          </cell>
          <cell r="H81" t="str">
            <v>MAAYLWIN@UTALCA.CL</v>
          </cell>
        </row>
        <row r="82">
          <cell r="B82">
            <v>8563512</v>
          </cell>
          <cell r="C82">
            <v>3</v>
          </cell>
          <cell r="D82" t="str">
            <v>MARAGAÑO LEVEQUE ANDRES DANIEL</v>
          </cell>
          <cell r="E82" t="str">
            <v>FAD310001</v>
          </cell>
          <cell r="F82">
            <v>44</v>
          </cell>
          <cell r="G82">
            <v>30</v>
          </cell>
          <cell r="H82" t="str">
            <v>AMARAGANO@UTALCA.CL</v>
          </cell>
        </row>
        <row r="83">
          <cell r="B83">
            <v>8612713</v>
          </cell>
          <cell r="C83" t="str">
            <v>K</v>
          </cell>
          <cell r="D83" t="str">
            <v>VITRIOL GAYSINSKY VERONICA ELI</v>
          </cell>
          <cell r="E83" t="str">
            <v>FAM320002</v>
          </cell>
          <cell r="F83">
            <v>28</v>
          </cell>
          <cell r="G83">
            <v>30</v>
          </cell>
          <cell r="H83" t="str">
            <v>VVITRIOL@UTALCA.CL</v>
          </cell>
        </row>
        <row r="84">
          <cell r="B84">
            <v>8620798</v>
          </cell>
          <cell r="C84">
            <v>2</v>
          </cell>
          <cell r="D84" t="str">
            <v>BAEZA LUDUEÑA JOSE ALCIDES</v>
          </cell>
          <cell r="E84" t="str">
            <v>ADC030140</v>
          </cell>
          <cell r="F84">
            <v>44</v>
          </cell>
          <cell r="G84">
            <v>30</v>
          </cell>
          <cell r="H84" t="str">
            <v>JBAEZA@UTALCA.CL</v>
          </cell>
        </row>
        <row r="85">
          <cell r="B85">
            <v>8628773</v>
          </cell>
          <cell r="C85">
            <v>0</v>
          </cell>
          <cell r="D85" t="str">
            <v>DEL PICO RUBIO JORGE LEONARDO</v>
          </cell>
          <cell r="E85" t="str">
            <v>FCJ320002</v>
          </cell>
          <cell r="F85">
            <v>44</v>
          </cell>
          <cell r="G85">
            <v>30</v>
          </cell>
          <cell r="H85" t="str">
            <v>JLP@UTALCA.CL</v>
          </cell>
        </row>
        <row r="86">
          <cell r="B86">
            <v>8641502</v>
          </cell>
          <cell r="C86" t="str">
            <v>K</v>
          </cell>
          <cell r="D86" t="str">
            <v>VALENZUELA VALENZUELA RUTH EST</v>
          </cell>
          <cell r="E86" t="str">
            <v>FCS340010</v>
          </cell>
          <cell r="F86">
            <v>44</v>
          </cell>
          <cell r="G86">
            <v>30</v>
          </cell>
          <cell r="H86" t="str">
            <v>RUTH.VALENZUELA@UTALCA.CL</v>
          </cell>
        </row>
        <row r="87">
          <cell r="B87">
            <v>8644834</v>
          </cell>
          <cell r="C87">
            <v>3</v>
          </cell>
          <cell r="D87" t="str">
            <v>ICAZA NOGUERA MARIA GLORIA VER</v>
          </cell>
          <cell r="E87" t="str">
            <v>IMF300001</v>
          </cell>
          <cell r="F87">
            <v>44</v>
          </cell>
          <cell r="G87">
            <v>30</v>
          </cell>
          <cell r="H87" t="str">
            <v>GICAZA@UTALCA.CL</v>
          </cell>
        </row>
        <row r="88">
          <cell r="B88">
            <v>8656541</v>
          </cell>
          <cell r="C88">
            <v>2</v>
          </cell>
          <cell r="D88" t="str">
            <v>NUÑEZ FRANZ MARIA LORETO</v>
          </cell>
          <cell r="E88" t="str">
            <v>FCS320003</v>
          </cell>
          <cell r="F88">
            <v>44</v>
          </cell>
          <cell r="G88">
            <v>30</v>
          </cell>
          <cell r="H88" t="str">
            <v>LNUNEZF@UTALCA.CL</v>
          </cell>
        </row>
        <row r="89">
          <cell r="B89">
            <v>8662084</v>
          </cell>
          <cell r="C89">
            <v>7</v>
          </cell>
          <cell r="D89" t="str">
            <v>RIADI MAHIAS GONZALO</v>
          </cell>
          <cell r="E89" t="str">
            <v>FCI320001</v>
          </cell>
          <cell r="F89">
            <v>44</v>
          </cell>
          <cell r="G89">
            <v>30</v>
          </cell>
          <cell r="H89" t="str">
            <v>GRIADI@UTALCA.CL</v>
          </cell>
        </row>
        <row r="90">
          <cell r="B90">
            <v>8688267</v>
          </cell>
          <cell r="C90">
            <v>1</v>
          </cell>
          <cell r="D90" t="str">
            <v>HERRERA ESPINOZA GERARDO GILBE</v>
          </cell>
          <cell r="E90" t="str">
            <v>FCJ200001</v>
          </cell>
          <cell r="F90">
            <v>44</v>
          </cell>
          <cell r="G90">
            <v>30</v>
          </cell>
          <cell r="H90" t="str">
            <v>GHERRERA@UTALCA.CL</v>
          </cell>
        </row>
        <row r="91">
          <cell r="B91">
            <v>8690753</v>
          </cell>
          <cell r="C91">
            <v>4</v>
          </cell>
          <cell r="D91" t="str">
            <v>VERA RAMOS LILIAN FABIOLA</v>
          </cell>
          <cell r="E91" t="str">
            <v>FCS320009</v>
          </cell>
          <cell r="F91">
            <v>44</v>
          </cell>
          <cell r="G91">
            <v>30</v>
          </cell>
          <cell r="H91" t="str">
            <v>LVERAR@UTALCA.CL</v>
          </cell>
        </row>
        <row r="92">
          <cell r="B92">
            <v>8702168</v>
          </cell>
          <cell r="C92">
            <v>8</v>
          </cell>
          <cell r="D92" t="str">
            <v>CANALES CARRASCO LUIS EDUARDO</v>
          </cell>
          <cell r="E92" t="str">
            <v>FEN310002</v>
          </cell>
          <cell r="F92">
            <v>44</v>
          </cell>
          <cell r="G92">
            <v>30</v>
          </cell>
          <cell r="H92" t="str">
            <v>LCANALES@UTALCA.CL</v>
          </cell>
        </row>
        <row r="93">
          <cell r="B93">
            <v>8723891</v>
          </cell>
          <cell r="C93">
            <v>1</v>
          </cell>
          <cell r="D93" t="str">
            <v>PINOCHET OLAVE RUPERTO ANDRES</v>
          </cell>
          <cell r="E93" t="str">
            <v>FCJ320002</v>
          </cell>
          <cell r="F93">
            <v>44</v>
          </cell>
          <cell r="G93">
            <v>30</v>
          </cell>
          <cell r="H93" t="str">
            <v>RPINOCHE@UTALCA.CL</v>
          </cell>
        </row>
        <row r="94">
          <cell r="B94">
            <v>8732221</v>
          </cell>
          <cell r="C94">
            <v>1</v>
          </cell>
          <cell r="D94" t="str">
            <v>ALBORNOZ DACHELET MARCELA ELEN</v>
          </cell>
          <cell r="E94" t="str">
            <v>ADC019005</v>
          </cell>
          <cell r="F94">
            <v>44</v>
          </cell>
          <cell r="G94">
            <v>30</v>
          </cell>
          <cell r="H94" t="str">
            <v>MALBORNO@UTALCA.CL</v>
          </cell>
        </row>
        <row r="95">
          <cell r="B95">
            <v>8742829</v>
          </cell>
          <cell r="C95" t="str">
            <v>K</v>
          </cell>
          <cell r="D95" t="str">
            <v>CERDA URRUTIA ARCADIO ALBERTO</v>
          </cell>
          <cell r="E95" t="str">
            <v>FEN310001</v>
          </cell>
          <cell r="F95">
            <v>44</v>
          </cell>
          <cell r="G95">
            <v>30</v>
          </cell>
          <cell r="H95" t="str">
            <v>ACERDA@UTALCA.CL</v>
          </cell>
        </row>
        <row r="96">
          <cell r="B96">
            <v>8753926</v>
          </cell>
          <cell r="C96">
            <v>1</v>
          </cell>
          <cell r="D96" t="str">
            <v>POBLETE CASANOVA FERNANDO ENRI</v>
          </cell>
          <cell r="E96" t="str">
            <v>ICB300001</v>
          </cell>
          <cell r="F96">
            <v>44</v>
          </cell>
          <cell r="G96">
            <v>30</v>
          </cell>
          <cell r="H96" t="str">
            <v>FPOBLETE@UTALCA.CL</v>
          </cell>
        </row>
        <row r="97">
          <cell r="B97">
            <v>8759994</v>
          </cell>
          <cell r="C97">
            <v>9</v>
          </cell>
          <cell r="D97" t="str">
            <v>VEGA SANTANDER PEDRO SEBASTIAN</v>
          </cell>
          <cell r="E97" t="str">
            <v>FAD310004</v>
          </cell>
          <cell r="F97">
            <v>44</v>
          </cell>
          <cell r="G97">
            <v>30</v>
          </cell>
          <cell r="H97" t="str">
            <v>PVEGA@UTALCA.CL</v>
          </cell>
        </row>
        <row r="98">
          <cell r="B98">
            <v>8762722</v>
          </cell>
          <cell r="C98">
            <v>5</v>
          </cell>
          <cell r="D98" t="str">
            <v>CONTRERAS PEREZ OLGA SERAFINA</v>
          </cell>
          <cell r="E98" t="str">
            <v>ICB300001</v>
          </cell>
          <cell r="F98">
            <v>44</v>
          </cell>
          <cell r="G98">
            <v>30</v>
          </cell>
          <cell r="H98" t="str">
            <v>OCONTRER@UTALCA.CL</v>
          </cell>
        </row>
        <row r="99">
          <cell r="B99">
            <v>8770126</v>
          </cell>
          <cell r="C99">
            <v>3</v>
          </cell>
          <cell r="D99" t="str">
            <v>MATUS NORERO MARIA CAROLINA</v>
          </cell>
          <cell r="E99" t="str">
            <v>VRF400008</v>
          </cell>
          <cell r="F99">
            <v>44</v>
          </cell>
          <cell r="G99">
            <v>30</v>
          </cell>
          <cell r="H99" t="str">
            <v>MMATUS@UTALCA.CL</v>
          </cell>
        </row>
        <row r="100">
          <cell r="B100">
            <v>8776906</v>
          </cell>
          <cell r="C100">
            <v>2</v>
          </cell>
          <cell r="D100" t="str">
            <v>LARENAS TAPIA MARCO ANTONIO</v>
          </cell>
          <cell r="E100" t="str">
            <v>VGE400050</v>
          </cell>
          <cell r="F100">
            <v>44</v>
          </cell>
          <cell r="G100">
            <v>30</v>
          </cell>
          <cell r="H100" t="str">
            <v>MLARENAS@UTALCA.CL</v>
          </cell>
        </row>
        <row r="101">
          <cell r="B101">
            <v>8809997</v>
          </cell>
          <cell r="C101">
            <v>4</v>
          </cell>
          <cell r="D101" t="str">
            <v>GARRIDO ORREGO RUTH MARIA BEAT</v>
          </cell>
          <cell r="E101" t="str">
            <v>FCI320003</v>
          </cell>
          <cell r="F101">
            <v>44</v>
          </cell>
          <cell r="G101">
            <v>30</v>
          </cell>
          <cell r="H101" t="str">
            <v>RGARRIDO@UTALCA.CL</v>
          </cell>
        </row>
        <row r="102">
          <cell r="B102">
            <v>8815546</v>
          </cell>
          <cell r="C102">
            <v>7</v>
          </cell>
          <cell r="D102" t="str">
            <v>JIMENEZ DEL RIO PATRICIA FRANC</v>
          </cell>
          <cell r="E102" t="str">
            <v>FOD320003</v>
          </cell>
          <cell r="F102">
            <v>33</v>
          </cell>
          <cell r="G102">
            <v>30</v>
          </cell>
          <cell r="H102" t="str">
            <v>PJIMENEZ@UTALCA.CL</v>
          </cell>
        </row>
        <row r="103">
          <cell r="B103">
            <v>8819875</v>
          </cell>
          <cell r="C103">
            <v>1</v>
          </cell>
          <cell r="D103" t="str">
            <v>LAVANDERO ICAZA BLAS EXEQUIEL</v>
          </cell>
          <cell r="E103" t="str">
            <v>ICB300001</v>
          </cell>
          <cell r="F103">
            <v>44</v>
          </cell>
          <cell r="G103">
            <v>30</v>
          </cell>
          <cell r="H103" t="str">
            <v>BLAVANDERO@UTALCA.CL</v>
          </cell>
        </row>
        <row r="104">
          <cell r="B104">
            <v>8827036</v>
          </cell>
          <cell r="C104">
            <v>3</v>
          </cell>
          <cell r="D104" t="str">
            <v>MUÑOZ SANCHEZ MARIA ESTER SOLE</v>
          </cell>
          <cell r="E104" t="str">
            <v>FCS320012</v>
          </cell>
          <cell r="F104">
            <v>44</v>
          </cell>
          <cell r="G104">
            <v>30</v>
          </cell>
          <cell r="H104" t="str">
            <v>MEMUNOZ@UTALCA.CL</v>
          </cell>
        </row>
        <row r="105">
          <cell r="B105">
            <v>8863236</v>
          </cell>
          <cell r="C105">
            <v>2</v>
          </cell>
          <cell r="D105" t="str">
            <v>COX PUGA PAULO</v>
          </cell>
          <cell r="E105" t="str">
            <v>FEN310003</v>
          </cell>
          <cell r="F105">
            <v>44</v>
          </cell>
          <cell r="G105">
            <v>30</v>
          </cell>
          <cell r="H105" t="str">
            <v>PAULOCOX@UTALCA.CL</v>
          </cell>
        </row>
        <row r="106">
          <cell r="B106">
            <v>8879757</v>
          </cell>
          <cell r="C106">
            <v>4</v>
          </cell>
          <cell r="D106" t="str">
            <v>CATALDO CATALDO ALEJANDRO JAVI</v>
          </cell>
          <cell r="E106" t="str">
            <v>FEN310002</v>
          </cell>
          <cell r="F106">
            <v>44</v>
          </cell>
          <cell r="G106">
            <v>30</v>
          </cell>
          <cell r="H106" t="str">
            <v>ACATALDO@UTALCA.CL</v>
          </cell>
        </row>
        <row r="107">
          <cell r="B107">
            <v>8885353</v>
          </cell>
          <cell r="C107">
            <v>9</v>
          </cell>
          <cell r="D107" t="str">
            <v>SOTO ROSALES VERONICA</v>
          </cell>
          <cell r="E107" t="str">
            <v>FOD310001</v>
          </cell>
          <cell r="F107">
            <v>8</v>
          </cell>
          <cell r="G107">
            <v>30</v>
          </cell>
          <cell r="H107" t="str">
            <v>VESOTO@UTALCA.CL</v>
          </cell>
        </row>
        <row r="108">
          <cell r="B108">
            <v>8887056</v>
          </cell>
          <cell r="C108">
            <v>5</v>
          </cell>
          <cell r="D108" t="str">
            <v>MORENO SIMUNOVIC YERKO MARCELO</v>
          </cell>
          <cell r="E108" t="str">
            <v>FCA320002</v>
          </cell>
          <cell r="F108">
            <v>44</v>
          </cell>
          <cell r="G108">
            <v>30</v>
          </cell>
          <cell r="H108" t="str">
            <v>YMORENO@UTALCA.CL</v>
          </cell>
        </row>
        <row r="109">
          <cell r="B109">
            <v>8910188</v>
          </cell>
          <cell r="C109">
            <v>3</v>
          </cell>
          <cell r="D109" t="str">
            <v>SCHLOSSER BURGOS ANDRES GERARD</v>
          </cell>
          <cell r="E109" t="str">
            <v>FOD320001</v>
          </cell>
          <cell r="F109">
            <v>22</v>
          </cell>
          <cell r="G109">
            <v>30</v>
          </cell>
          <cell r="H109" t="str">
            <v>ASCHLOSSER@UTALCA.CL</v>
          </cell>
        </row>
        <row r="110">
          <cell r="B110">
            <v>8911775</v>
          </cell>
          <cell r="C110">
            <v>5</v>
          </cell>
          <cell r="D110" t="str">
            <v>PAILLAN LEGUE JUAN HERNAN</v>
          </cell>
          <cell r="E110" t="str">
            <v>FCA320002</v>
          </cell>
          <cell r="F110">
            <v>44</v>
          </cell>
          <cell r="G110">
            <v>30</v>
          </cell>
          <cell r="H110" t="str">
            <v>HPAILLAN@UTALCA.CL</v>
          </cell>
        </row>
        <row r="111">
          <cell r="B111">
            <v>8912298</v>
          </cell>
          <cell r="C111">
            <v>8</v>
          </cell>
          <cell r="D111" t="str">
            <v>OBANDO CAMINO IVAN MAURICIO</v>
          </cell>
          <cell r="E111" t="str">
            <v>FCJ320003</v>
          </cell>
          <cell r="F111">
            <v>44</v>
          </cell>
          <cell r="G111">
            <v>30</v>
          </cell>
          <cell r="H111" t="str">
            <v>IOBANDOC@UTALCA.CL</v>
          </cell>
        </row>
        <row r="112">
          <cell r="B112">
            <v>8937431</v>
          </cell>
          <cell r="C112">
            <v>6</v>
          </cell>
          <cell r="D112" t="str">
            <v>MATUS FUENZALIDA SERGIO FERNAN</v>
          </cell>
          <cell r="E112" t="str">
            <v>FOD320002</v>
          </cell>
          <cell r="F112">
            <v>44</v>
          </cell>
          <cell r="G112">
            <v>30</v>
          </cell>
          <cell r="H112" t="str">
            <v>SEMATUS@UTALCA.CL</v>
          </cell>
        </row>
        <row r="113">
          <cell r="B113">
            <v>8937432</v>
          </cell>
          <cell r="C113">
            <v>4</v>
          </cell>
          <cell r="D113" t="str">
            <v>VILLENA CABRERA MARCELA ISABEL</v>
          </cell>
          <cell r="E113" t="str">
            <v>IAM300001</v>
          </cell>
          <cell r="F113">
            <v>44</v>
          </cell>
          <cell r="G113">
            <v>30</v>
          </cell>
          <cell r="H113" t="str">
            <v>MVILLENAS@UTALCA.CL</v>
          </cell>
        </row>
        <row r="114">
          <cell r="B114">
            <v>8939770</v>
          </cell>
          <cell r="C114">
            <v>7</v>
          </cell>
          <cell r="D114" t="str">
            <v>OLIVA GALLEGOS ALFONSO ANTONIO</v>
          </cell>
          <cell r="E114" t="str">
            <v>FPS200001</v>
          </cell>
          <cell r="F114">
            <v>44</v>
          </cell>
          <cell r="G114">
            <v>30</v>
          </cell>
          <cell r="H114" t="str">
            <v>AOLIVA@UTALCA.CL</v>
          </cell>
        </row>
        <row r="115">
          <cell r="B115">
            <v>8943910</v>
          </cell>
          <cell r="C115">
            <v>8</v>
          </cell>
          <cell r="D115" t="str">
            <v>SANCHEZ HENRIQUEZ JORGE ALEJAN</v>
          </cell>
          <cell r="E115" t="str">
            <v>FEN310004</v>
          </cell>
          <cell r="F115">
            <v>44</v>
          </cell>
          <cell r="G115">
            <v>30</v>
          </cell>
          <cell r="H115" t="str">
            <v>JSANCHEZ@UTALCA.CL</v>
          </cell>
        </row>
        <row r="116">
          <cell r="B116">
            <v>8972110</v>
          </cell>
          <cell r="C116">
            <v>5</v>
          </cell>
          <cell r="D116" t="str">
            <v>CANCINO ARCE ALFREDO ENRIQUE</v>
          </cell>
          <cell r="E116" t="str">
            <v>FAM310001</v>
          </cell>
          <cell r="F116">
            <v>11</v>
          </cell>
          <cell r="G116">
            <v>30</v>
          </cell>
          <cell r="H116" t="str">
            <v>ACANCINO@UTALCA.CL</v>
          </cell>
        </row>
        <row r="117">
          <cell r="B117">
            <v>9014007</v>
          </cell>
          <cell r="C117">
            <v>8</v>
          </cell>
          <cell r="D117" t="str">
            <v>REYES QUIROGA JUAN CARLOS</v>
          </cell>
          <cell r="E117" t="str">
            <v>VGE400050</v>
          </cell>
          <cell r="F117">
            <v>44</v>
          </cell>
          <cell r="G117">
            <v>30</v>
          </cell>
          <cell r="H117" t="str">
            <v>JCREYES@UTALCA.CL</v>
          </cell>
        </row>
        <row r="118">
          <cell r="B118">
            <v>9026371</v>
          </cell>
          <cell r="C118">
            <v>4</v>
          </cell>
          <cell r="D118" t="str">
            <v>PEREZ REBOLLEDO ARNALDO EDUARD</v>
          </cell>
          <cell r="E118" t="str">
            <v>FAM320003</v>
          </cell>
          <cell r="F118">
            <v>11</v>
          </cell>
          <cell r="G118">
            <v>30</v>
          </cell>
          <cell r="H118" t="str">
            <v>ARPEREZ@UTALCA.CL</v>
          </cell>
        </row>
        <row r="119">
          <cell r="B119">
            <v>9035307</v>
          </cell>
          <cell r="C119">
            <v>1</v>
          </cell>
          <cell r="D119" t="str">
            <v>FLORES GONZALEZ MARIANELLA ELE</v>
          </cell>
          <cell r="E119" t="str">
            <v>FED310002</v>
          </cell>
          <cell r="F119">
            <v>44</v>
          </cell>
          <cell r="G119">
            <v>30</v>
          </cell>
          <cell r="H119" t="str">
            <v>MARIANELLA.FLORES@UTALCA.CL</v>
          </cell>
        </row>
        <row r="120">
          <cell r="B120">
            <v>9048488</v>
          </cell>
          <cell r="C120">
            <v>5</v>
          </cell>
          <cell r="D120" t="str">
            <v>GONZALEZ ROJAS JAIME</v>
          </cell>
          <cell r="E120" t="str">
            <v>VGE400050</v>
          </cell>
          <cell r="F120">
            <v>44</v>
          </cell>
          <cell r="G120">
            <v>30</v>
          </cell>
          <cell r="H120" t="str">
            <v>JAIME.GONZALEZ@UTALCA.CL</v>
          </cell>
        </row>
        <row r="121">
          <cell r="B121">
            <v>9073385</v>
          </cell>
          <cell r="C121">
            <v>0</v>
          </cell>
          <cell r="D121" t="str">
            <v>VITALI GONZALEZ HARRIET EVELYN</v>
          </cell>
          <cell r="E121" t="str">
            <v>FAM320003</v>
          </cell>
          <cell r="F121">
            <v>6</v>
          </cell>
          <cell r="G121">
            <v>30</v>
          </cell>
          <cell r="H121" t="str">
            <v>HVITALI@UTALCA.CL</v>
          </cell>
        </row>
        <row r="122">
          <cell r="B122">
            <v>9086541</v>
          </cell>
          <cell r="C122">
            <v>2</v>
          </cell>
          <cell r="D122" t="str">
            <v>LOBOS PRATS GUSTAVO ADOLFO</v>
          </cell>
          <cell r="E122" t="str">
            <v>FCA320002</v>
          </cell>
          <cell r="F122">
            <v>44</v>
          </cell>
          <cell r="G122">
            <v>30</v>
          </cell>
          <cell r="H122" t="str">
            <v>GLOBOSP@UTALCA.CL</v>
          </cell>
        </row>
        <row r="123">
          <cell r="B123">
            <v>9087215</v>
          </cell>
          <cell r="C123" t="str">
            <v>K</v>
          </cell>
          <cell r="D123" t="str">
            <v>MENA ALBORNOZ JUAN EMILIANO</v>
          </cell>
          <cell r="E123" t="str">
            <v>ADC022001</v>
          </cell>
          <cell r="F123">
            <v>44</v>
          </cell>
          <cell r="G123">
            <v>30</v>
          </cell>
          <cell r="H123" t="str">
            <v>JMENA@UTALCA.CL</v>
          </cell>
        </row>
        <row r="124">
          <cell r="B124">
            <v>9093951</v>
          </cell>
          <cell r="C124">
            <v>3</v>
          </cell>
          <cell r="D124" t="str">
            <v>MOYA LEON MARIA ALEJANDRA</v>
          </cell>
          <cell r="E124" t="str">
            <v>ICB300001</v>
          </cell>
          <cell r="F124">
            <v>44</v>
          </cell>
          <cell r="G124">
            <v>30</v>
          </cell>
          <cell r="H124" t="str">
            <v>ALEMOYA@UTALCA.CL</v>
          </cell>
        </row>
        <row r="125">
          <cell r="B125">
            <v>9098526</v>
          </cell>
          <cell r="C125">
            <v>4</v>
          </cell>
          <cell r="D125" t="str">
            <v>LOLAS CANEO MAURICIO ALBERTO</v>
          </cell>
          <cell r="E125" t="str">
            <v>FCA320003</v>
          </cell>
          <cell r="F125">
            <v>44</v>
          </cell>
          <cell r="G125">
            <v>30</v>
          </cell>
          <cell r="H125" t="str">
            <v>MLOLAS@UTALCA.CL</v>
          </cell>
        </row>
        <row r="126">
          <cell r="B126">
            <v>9105620</v>
          </cell>
          <cell r="C126">
            <v>8</v>
          </cell>
          <cell r="D126" t="str">
            <v>FLORES AGUIRRE SUSANA ELIZABET</v>
          </cell>
          <cell r="E126" t="str">
            <v/>
          </cell>
          <cell r="F126">
            <v>44</v>
          </cell>
          <cell r="G126">
            <v>30</v>
          </cell>
          <cell r="H126" t="str">
            <v>SFLORES@UTALCA.CL</v>
          </cell>
        </row>
        <row r="127">
          <cell r="B127">
            <v>9126553</v>
          </cell>
          <cell r="C127">
            <v>2</v>
          </cell>
          <cell r="D127" t="str">
            <v>ORTEGA FARIAS SAMUEL ORLANDO</v>
          </cell>
          <cell r="E127" t="str">
            <v>FCA320003</v>
          </cell>
          <cell r="F127">
            <v>44</v>
          </cell>
          <cell r="G127">
            <v>30</v>
          </cell>
          <cell r="H127" t="str">
            <v>SORTEGA@UTALCA.CL</v>
          </cell>
        </row>
        <row r="128">
          <cell r="B128">
            <v>9138134</v>
          </cell>
          <cell r="C128">
            <v>6</v>
          </cell>
          <cell r="D128" t="str">
            <v>MUÑOZ FLORES HECTOR GASTON</v>
          </cell>
          <cell r="E128" t="str">
            <v>VGE100002</v>
          </cell>
          <cell r="F128">
            <v>44</v>
          </cell>
          <cell r="G128">
            <v>30</v>
          </cell>
          <cell r="H128" t="str">
            <v>HECTOR.MUNOZ@UTALCA.CL</v>
          </cell>
        </row>
        <row r="129">
          <cell r="B129">
            <v>9138414</v>
          </cell>
          <cell r="C129">
            <v>0</v>
          </cell>
          <cell r="D129" t="str">
            <v>ORTIZ HERNANDEZ JIMENA DEL PIL</v>
          </cell>
          <cell r="E129" t="str">
            <v>VGE400056</v>
          </cell>
          <cell r="F129">
            <v>44</v>
          </cell>
          <cell r="G129">
            <v>30</v>
          </cell>
          <cell r="H129" t="str">
            <v>JORTIZ@UTALCA.CL</v>
          </cell>
        </row>
        <row r="130">
          <cell r="B130">
            <v>9160827</v>
          </cell>
          <cell r="C130">
            <v>8</v>
          </cell>
          <cell r="D130" t="str">
            <v>CABALLERO MOYANO PAULA MACAREN</v>
          </cell>
          <cell r="E130" t="str">
            <v>FCS320009</v>
          </cell>
          <cell r="F130">
            <v>44</v>
          </cell>
          <cell r="G130">
            <v>30</v>
          </cell>
          <cell r="H130" t="str">
            <v>PCABALLERO@UTALCA.CL</v>
          </cell>
        </row>
        <row r="131">
          <cell r="B131">
            <v>9163143</v>
          </cell>
          <cell r="C131">
            <v>1</v>
          </cell>
          <cell r="D131" t="str">
            <v>CASTILLO ROJAS BERNARDITA DEL</v>
          </cell>
          <cell r="E131" t="str">
            <v>FCS310007</v>
          </cell>
          <cell r="F131">
            <v>44</v>
          </cell>
          <cell r="G131">
            <v>30</v>
          </cell>
          <cell r="H131" t="str">
            <v>BCASTILLO@UTALCA.CL</v>
          </cell>
        </row>
        <row r="132">
          <cell r="B132">
            <v>9164791</v>
          </cell>
          <cell r="C132">
            <v>5</v>
          </cell>
          <cell r="D132" t="str">
            <v>FARIAS SALAZAR JEANNETTE DEL R</v>
          </cell>
          <cell r="E132" t="str">
            <v>ADC014002</v>
          </cell>
          <cell r="F132">
            <v>44</v>
          </cell>
          <cell r="G132">
            <v>30</v>
          </cell>
          <cell r="H132" t="str">
            <v>JEFARIAS@UTALCA.CL</v>
          </cell>
        </row>
        <row r="133">
          <cell r="B133">
            <v>9169981</v>
          </cell>
          <cell r="C133">
            <v>8</v>
          </cell>
          <cell r="D133" t="str">
            <v>ALDERETE TRIVIÑOS JOEL BERNABÉ</v>
          </cell>
          <cell r="E133" t="str">
            <v>IQR300001</v>
          </cell>
          <cell r="F133">
            <v>44</v>
          </cell>
          <cell r="G133">
            <v>30</v>
          </cell>
          <cell r="H133" t="str">
            <v>JOEL.ALDERETE@UTALCA.CL</v>
          </cell>
        </row>
        <row r="134">
          <cell r="B134">
            <v>9189921</v>
          </cell>
          <cell r="C134">
            <v>3</v>
          </cell>
          <cell r="D134" t="str">
            <v>TAPIA SANHUEZA JAIME DEL CARME</v>
          </cell>
          <cell r="E134" t="str">
            <v>IQR300001</v>
          </cell>
          <cell r="F134">
            <v>44</v>
          </cell>
          <cell r="G134">
            <v>30</v>
          </cell>
          <cell r="H134" t="str">
            <v>JTAPIA@UTALCA.CL</v>
          </cell>
        </row>
        <row r="135">
          <cell r="B135">
            <v>9193027</v>
          </cell>
          <cell r="C135">
            <v>7</v>
          </cell>
          <cell r="D135" t="str">
            <v>AZOCAR CABELLO TERESA CECILIA</v>
          </cell>
          <cell r="E135" t="str">
            <v>FOD320001</v>
          </cell>
          <cell r="F135">
            <v>33</v>
          </cell>
          <cell r="G135">
            <v>30</v>
          </cell>
          <cell r="H135" t="str">
            <v>TAZOCAR@UTALCA.CL</v>
          </cell>
        </row>
        <row r="136">
          <cell r="B136">
            <v>9224606</v>
          </cell>
          <cell r="C136" t="str">
            <v>K</v>
          </cell>
          <cell r="D136" t="str">
            <v>GARRIDO MOLINA JOSE FRANCISCO</v>
          </cell>
          <cell r="E136" t="str">
            <v>ADC021005</v>
          </cell>
          <cell r="F136">
            <v>44</v>
          </cell>
          <cell r="G136">
            <v>30</v>
          </cell>
          <cell r="H136" t="str">
            <v>JGARRIDO@UTALCA.CL</v>
          </cell>
        </row>
        <row r="137">
          <cell r="B137">
            <v>9230031</v>
          </cell>
          <cell r="C137">
            <v>5</v>
          </cell>
          <cell r="D137" t="str">
            <v>VARGAS LORA MACARENA PILAR</v>
          </cell>
          <cell r="E137" t="str">
            <v/>
          </cell>
          <cell r="F137">
            <v>44</v>
          </cell>
          <cell r="G137">
            <v>30</v>
          </cell>
          <cell r="H137" t="str">
            <v>MACVARGAS@UTALCA.CL</v>
          </cell>
        </row>
        <row r="138">
          <cell r="B138">
            <v>9239143</v>
          </cell>
          <cell r="C138">
            <v>4</v>
          </cell>
          <cell r="D138" t="str">
            <v>MORAN ABACA EUGENIO ALEJANDRO</v>
          </cell>
          <cell r="E138" t="str">
            <v>VGE400050</v>
          </cell>
          <cell r="F138">
            <v>44</v>
          </cell>
          <cell r="G138">
            <v>30</v>
          </cell>
          <cell r="H138" t="str">
            <v>EMORAN@UTALCA.CL</v>
          </cell>
        </row>
        <row r="139">
          <cell r="B139">
            <v>9247718</v>
          </cell>
          <cell r="C139">
            <v>5</v>
          </cell>
          <cell r="D139" t="str">
            <v>OYARZUN CHAVEZ CLAUDIO HUMBERT</v>
          </cell>
          <cell r="E139" t="str">
            <v>VRF400009</v>
          </cell>
          <cell r="F139">
            <v>44</v>
          </cell>
          <cell r="G139">
            <v>30</v>
          </cell>
          <cell r="H139" t="str">
            <v>CLOYARZUN@UTALCA.CL</v>
          </cell>
        </row>
        <row r="140">
          <cell r="B140">
            <v>9270305</v>
          </cell>
          <cell r="C140">
            <v>3</v>
          </cell>
          <cell r="D140" t="str">
            <v>CASTRO PAREDES MOYRA MARCELA</v>
          </cell>
          <cell r="E140" t="str">
            <v>FED320001</v>
          </cell>
          <cell r="F140">
            <v>44</v>
          </cell>
          <cell r="G140">
            <v>30</v>
          </cell>
          <cell r="H140" t="str">
            <v>MOCASTRO@UTALCA.CL</v>
          </cell>
        </row>
        <row r="141">
          <cell r="B141">
            <v>9285530</v>
          </cell>
          <cell r="C141">
            <v>9</v>
          </cell>
          <cell r="D141" t="str">
            <v>LOPEZ ARANCIBIA PATRICIO ANDRE</v>
          </cell>
          <cell r="E141" t="str">
            <v>VGE400054</v>
          </cell>
          <cell r="F141">
            <v>44</v>
          </cell>
          <cell r="G141">
            <v>30</v>
          </cell>
          <cell r="H141" t="str">
            <v>PATLOPEZ@UTALCA.CL</v>
          </cell>
        </row>
        <row r="142">
          <cell r="B142">
            <v>9329018</v>
          </cell>
          <cell r="C142">
            <v>6</v>
          </cell>
          <cell r="D142" t="str">
            <v>SARABIA ACUÑA MARIA ISABEL</v>
          </cell>
          <cell r="E142" t="str">
            <v>ADC014003</v>
          </cell>
          <cell r="F142">
            <v>44</v>
          </cell>
          <cell r="G142">
            <v>30</v>
          </cell>
          <cell r="H142" t="str">
            <v>MSARABIA@UTALCA.CL</v>
          </cell>
        </row>
        <row r="143">
          <cell r="B143">
            <v>9333003</v>
          </cell>
          <cell r="C143" t="str">
            <v>K</v>
          </cell>
          <cell r="D143" t="str">
            <v>URRA MONSALVES LUIS ALBERTO</v>
          </cell>
          <cell r="E143" t="str">
            <v>VGE100001</v>
          </cell>
          <cell r="F143">
            <v>44</v>
          </cell>
          <cell r="G143">
            <v>30</v>
          </cell>
          <cell r="H143" t="str">
            <v>LURRA@UTALCA.CL</v>
          </cell>
        </row>
        <row r="144">
          <cell r="B144">
            <v>9336109</v>
          </cell>
          <cell r="C144">
            <v>1</v>
          </cell>
          <cell r="D144" t="str">
            <v>PLAZA TAUCARE EXEQUIEL</v>
          </cell>
          <cell r="E144" t="str">
            <v>FCS320010</v>
          </cell>
          <cell r="F144">
            <v>44</v>
          </cell>
          <cell r="G144">
            <v>30</v>
          </cell>
          <cell r="H144" t="str">
            <v>EPLAZA@UTALCA.CL</v>
          </cell>
        </row>
        <row r="145">
          <cell r="B145">
            <v>9371495</v>
          </cell>
          <cell r="C145">
            <v>4</v>
          </cell>
          <cell r="D145" t="str">
            <v>BARRERA ARANGUIZ JUAN FRANCISC</v>
          </cell>
          <cell r="E145" t="str">
            <v>IMF300001</v>
          </cell>
          <cell r="F145">
            <v>44</v>
          </cell>
          <cell r="G145">
            <v>30</v>
          </cell>
          <cell r="H145" t="str">
            <v>JBARRERA@UTALCA.CL</v>
          </cell>
        </row>
        <row r="146">
          <cell r="B146">
            <v>9393473</v>
          </cell>
          <cell r="C146">
            <v>3</v>
          </cell>
          <cell r="D146" t="str">
            <v>MALDONADO ROJAS MARITZA ISABEL</v>
          </cell>
          <cell r="E146" t="str">
            <v>FOD310001</v>
          </cell>
          <cell r="F146">
            <v>44</v>
          </cell>
          <cell r="G146">
            <v>30</v>
          </cell>
          <cell r="H146" t="str">
            <v>MMALDONA@UTALCA.CL</v>
          </cell>
        </row>
        <row r="147">
          <cell r="B147">
            <v>9393713</v>
          </cell>
          <cell r="C147">
            <v>9</v>
          </cell>
          <cell r="D147" t="str">
            <v>VILLAGRA SEPULVEDA MARIA CECIL</v>
          </cell>
          <cell r="E147" t="str">
            <v>ADC030140</v>
          </cell>
          <cell r="F147">
            <v>44</v>
          </cell>
          <cell r="G147">
            <v>30</v>
          </cell>
          <cell r="H147" t="str">
            <v>CVILLAGR@UTALCA.CL</v>
          </cell>
        </row>
        <row r="148">
          <cell r="B148">
            <v>9397301</v>
          </cell>
          <cell r="C148">
            <v>1</v>
          </cell>
          <cell r="D148" t="str">
            <v>SEPULVEDA SILVA MARISOL DEL CO</v>
          </cell>
          <cell r="E148" t="str">
            <v>FCI320006</v>
          </cell>
          <cell r="F148">
            <v>35</v>
          </cell>
          <cell r="G148">
            <v>30</v>
          </cell>
          <cell r="H148" t="str">
            <v>MARISEPULVEDA@UTALCA.CL</v>
          </cell>
        </row>
        <row r="149">
          <cell r="B149">
            <v>9412835</v>
          </cell>
          <cell r="C149">
            <v>8</v>
          </cell>
          <cell r="D149" t="str">
            <v>HERRERA SAZO CARLOS RODOLFO</v>
          </cell>
          <cell r="E149" t="str">
            <v>FCJ200001</v>
          </cell>
          <cell r="F149">
            <v>44</v>
          </cell>
          <cell r="G149">
            <v>30</v>
          </cell>
          <cell r="H149" t="str">
            <v>CHERRERA@UTALCA.CL</v>
          </cell>
        </row>
        <row r="150">
          <cell r="B150">
            <v>9426015</v>
          </cell>
          <cell r="C150">
            <v>9</v>
          </cell>
          <cell r="D150" t="str">
            <v>GONZALEZ LARA MARGARITA DE LAS</v>
          </cell>
          <cell r="E150" t="str">
            <v>FEN200001</v>
          </cell>
          <cell r="F150">
            <v>44</v>
          </cell>
          <cell r="G150">
            <v>30</v>
          </cell>
          <cell r="H150" t="str">
            <v>MGONZALE@UTALCA.CL</v>
          </cell>
        </row>
        <row r="151">
          <cell r="B151">
            <v>9436074</v>
          </cell>
          <cell r="C151">
            <v>9</v>
          </cell>
          <cell r="D151" t="str">
            <v>ARREDONDO DURAN SILVIA CATALIN</v>
          </cell>
          <cell r="E151" t="str">
            <v>FAM320002</v>
          </cell>
          <cell r="F151">
            <v>22</v>
          </cell>
          <cell r="G151">
            <v>30</v>
          </cell>
          <cell r="H151" t="str">
            <v>SARREDONDO@UTALCA.CL</v>
          </cell>
        </row>
        <row r="152">
          <cell r="B152">
            <v>9452078</v>
          </cell>
          <cell r="C152">
            <v>9</v>
          </cell>
          <cell r="D152" t="str">
            <v>TAPIA LLANOS LIA EVA MONSERRAT</v>
          </cell>
          <cell r="E152" t="str">
            <v>IQR300001</v>
          </cell>
          <cell r="F152">
            <v>44</v>
          </cell>
          <cell r="G152">
            <v>30</v>
          </cell>
          <cell r="H152" t="str">
            <v>LITAPIA@UTALCA.CL</v>
          </cell>
        </row>
        <row r="153">
          <cell r="B153">
            <v>9452855</v>
          </cell>
          <cell r="C153">
            <v>0</v>
          </cell>
          <cell r="D153" t="str">
            <v>VOGEL GONZALEZ EDGAR HARRY</v>
          </cell>
          <cell r="E153" t="str">
            <v>FPS200001</v>
          </cell>
          <cell r="F153">
            <v>44</v>
          </cell>
          <cell r="G153">
            <v>30</v>
          </cell>
          <cell r="H153" t="str">
            <v>EVOGEL@UTALCA.CL</v>
          </cell>
        </row>
        <row r="154">
          <cell r="B154">
            <v>9460978</v>
          </cell>
          <cell r="C154" t="str">
            <v>K</v>
          </cell>
          <cell r="D154" t="str">
            <v>ARENAS PEÑALOZA JAIME ALEJANDR</v>
          </cell>
          <cell r="E154" t="str">
            <v>FOD350001</v>
          </cell>
          <cell r="F154">
            <v>9</v>
          </cell>
          <cell r="G154">
            <v>30</v>
          </cell>
          <cell r="H154" t="str">
            <v>JARENAS@UTALCA.CL</v>
          </cell>
        </row>
        <row r="155">
          <cell r="B155">
            <v>9467630</v>
          </cell>
          <cell r="C155">
            <v>4</v>
          </cell>
          <cell r="D155" t="str">
            <v>GONZALEZ GARRIDO ERIKA CECILIA</v>
          </cell>
          <cell r="E155" t="str">
            <v>FCS310006</v>
          </cell>
          <cell r="F155">
            <v>44</v>
          </cell>
          <cell r="G155">
            <v>30</v>
          </cell>
          <cell r="H155" t="str">
            <v>ERGONZALEZ@UTALCA.CL</v>
          </cell>
        </row>
        <row r="156">
          <cell r="B156">
            <v>9475074</v>
          </cell>
          <cell r="C156">
            <v>1</v>
          </cell>
          <cell r="D156" t="str">
            <v>ARAVENA AGUILERA ORLANDO MAURI</v>
          </cell>
          <cell r="E156" t="str">
            <v>ADC017001</v>
          </cell>
          <cell r="F156">
            <v>44</v>
          </cell>
          <cell r="G156">
            <v>30</v>
          </cell>
          <cell r="H156" t="str">
            <v>ORLANDO.ARAVENA@UTALCA.CL</v>
          </cell>
        </row>
        <row r="157">
          <cell r="B157">
            <v>9517837</v>
          </cell>
          <cell r="C157">
            <v>5</v>
          </cell>
          <cell r="D157" t="str">
            <v>SANTANDER RAMIREZ VALENTIN ADO</v>
          </cell>
          <cell r="E157" t="str">
            <v>FEN310004</v>
          </cell>
          <cell r="F157">
            <v>44</v>
          </cell>
          <cell r="G157">
            <v>30</v>
          </cell>
          <cell r="H157" t="str">
            <v>VALENTIN.SANTANDER@UTALCA.CL</v>
          </cell>
        </row>
        <row r="158">
          <cell r="B158">
            <v>9530232</v>
          </cell>
          <cell r="C158">
            <v>7</v>
          </cell>
          <cell r="D158" t="str">
            <v>GALINDO ZAPATA PABLO HERNAN</v>
          </cell>
          <cell r="E158" t="str">
            <v>FOD320001</v>
          </cell>
          <cell r="F158">
            <v>14</v>
          </cell>
          <cell r="G158">
            <v>30</v>
          </cell>
          <cell r="H158" t="str">
            <v>PGALINDO@UTALCA.CL</v>
          </cell>
        </row>
        <row r="159">
          <cell r="B159">
            <v>9537477</v>
          </cell>
          <cell r="C159">
            <v>8</v>
          </cell>
          <cell r="D159" t="str">
            <v>GLEISER AVENDAÑO KENNETH MIGUE</v>
          </cell>
          <cell r="E159" t="str">
            <v>FAD310001</v>
          </cell>
          <cell r="F159">
            <v>44</v>
          </cell>
          <cell r="G159">
            <v>30</v>
          </cell>
          <cell r="H159" t="str">
            <v>KGLEISER@UTALCA.CL</v>
          </cell>
        </row>
        <row r="160">
          <cell r="B160">
            <v>9545383</v>
          </cell>
          <cell r="C160" t="str">
            <v>K</v>
          </cell>
          <cell r="D160" t="str">
            <v>CHAVEZ REBOLLEDO CARLOS ALBERT</v>
          </cell>
          <cell r="E160" t="str">
            <v>FEN310001</v>
          </cell>
          <cell r="F160">
            <v>44</v>
          </cell>
          <cell r="G160">
            <v>30</v>
          </cell>
          <cell r="H160" t="str">
            <v>CCHAVEZ@UTALCA.CL</v>
          </cell>
        </row>
        <row r="161">
          <cell r="B161">
            <v>9615393</v>
          </cell>
          <cell r="C161">
            <v>7</v>
          </cell>
          <cell r="D161" t="str">
            <v>GUTIERREZ CARRASCO JIMENA DEL</v>
          </cell>
          <cell r="E161" t="str">
            <v>FAM320002</v>
          </cell>
          <cell r="F161">
            <v>11</v>
          </cell>
          <cell r="G161">
            <v>30</v>
          </cell>
          <cell r="H161" t="str">
            <v>JIGUTIERREZ@UTALCA.CL</v>
          </cell>
        </row>
        <row r="162">
          <cell r="B162">
            <v>9629345</v>
          </cell>
          <cell r="C162">
            <v>3</v>
          </cell>
          <cell r="D162" t="str">
            <v>SEPULVEDA SEPULVEDA MARIA ANGE</v>
          </cell>
          <cell r="E162" t="str">
            <v>VAC400001</v>
          </cell>
          <cell r="F162">
            <v>44</v>
          </cell>
          <cell r="G162">
            <v>30</v>
          </cell>
          <cell r="H162" t="str">
            <v>MSEPULVE@UTALCA.CL</v>
          </cell>
        </row>
        <row r="163">
          <cell r="B163">
            <v>9655934</v>
          </cell>
          <cell r="C163">
            <v>8</v>
          </cell>
          <cell r="D163" t="str">
            <v>VASQUEZ ROJAS MARCELA PAULINA</v>
          </cell>
          <cell r="E163" t="str">
            <v>FCS320001</v>
          </cell>
          <cell r="F163">
            <v>44</v>
          </cell>
          <cell r="G163">
            <v>30</v>
          </cell>
          <cell r="H163" t="str">
            <v>MVASQURO@UTALCA.CL</v>
          </cell>
        </row>
        <row r="164">
          <cell r="B164">
            <v>9656268</v>
          </cell>
          <cell r="C164">
            <v>3</v>
          </cell>
          <cell r="D164" t="str">
            <v>MUÑOZ GONZALEZ GERMAN ENRIQUE</v>
          </cell>
          <cell r="E164" t="str">
            <v>VRF400023</v>
          </cell>
          <cell r="F164">
            <v>44</v>
          </cell>
          <cell r="G164">
            <v>30</v>
          </cell>
          <cell r="H164" t="str">
            <v>GMUNOZ@UTALCA.CL</v>
          </cell>
        </row>
        <row r="165">
          <cell r="B165">
            <v>9667982</v>
          </cell>
          <cell r="C165">
            <v>3</v>
          </cell>
          <cell r="D165" t="str">
            <v>IBARRA MUÑOZ GENOVEVA</v>
          </cell>
          <cell r="E165" t="str">
            <v>FCJ310003</v>
          </cell>
          <cell r="F165">
            <v>44</v>
          </cell>
          <cell r="G165">
            <v>30</v>
          </cell>
          <cell r="H165" t="str">
            <v>GEIBARRA@UTALCA.CL</v>
          </cell>
        </row>
        <row r="166">
          <cell r="B166">
            <v>9674389</v>
          </cell>
          <cell r="C166">
            <v>0</v>
          </cell>
          <cell r="D166" t="str">
            <v>PINTO ARAYA MARIA ELENA</v>
          </cell>
          <cell r="E166" t="str">
            <v>IMF300001</v>
          </cell>
          <cell r="F166">
            <v>44</v>
          </cell>
          <cell r="G166">
            <v>30</v>
          </cell>
          <cell r="H166" t="str">
            <v>MEPINTO@UTALCA.CL</v>
          </cell>
        </row>
        <row r="167">
          <cell r="B167">
            <v>9687967</v>
          </cell>
          <cell r="C167">
            <v>9</v>
          </cell>
          <cell r="D167" t="str">
            <v>GARRIDO CASANOVA LEANDRO BEDRE</v>
          </cell>
          <cell r="E167" t="str">
            <v>VGE400055</v>
          </cell>
          <cell r="F167">
            <v>44</v>
          </cell>
          <cell r="G167">
            <v>30</v>
          </cell>
          <cell r="H167" t="str">
            <v>LGARRIDO@UTALCA.CL</v>
          </cell>
        </row>
        <row r="168">
          <cell r="B168">
            <v>9692682</v>
          </cell>
          <cell r="C168">
            <v>0</v>
          </cell>
          <cell r="D168" t="str">
            <v>CANCINO SANDOVAL VIVIANA MARLE</v>
          </cell>
          <cell r="E168" t="str">
            <v>FPS200001</v>
          </cell>
          <cell r="F168">
            <v>44</v>
          </cell>
          <cell r="G168">
            <v>30</v>
          </cell>
          <cell r="H168" t="str">
            <v>VICANCINO@UTALCA.CL</v>
          </cell>
        </row>
        <row r="169">
          <cell r="B169">
            <v>9709855</v>
          </cell>
          <cell r="C169">
            <v>7</v>
          </cell>
          <cell r="D169" t="str">
            <v>VERGARA JACOME SANDRA ISABEL</v>
          </cell>
          <cell r="E169" t="str">
            <v>ADC011001</v>
          </cell>
          <cell r="F169">
            <v>44</v>
          </cell>
          <cell r="G169">
            <v>30</v>
          </cell>
          <cell r="H169" t="str">
            <v>SVERGARA@UTALCA.CL</v>
          </cell>
        </row>
        <row r="170">
          <cell r="B170">
            <v>9717164</v>
          </cell>
          <cell r="C170">
            <v>5</v>
          </cell>
          <cell r="D170" t="str">
            <v>POLIDORI GARRIDO VICTOR ADRIAN</v>
          </cell>
          <cell r="E170" t="str">
            <v>FOD350001</v>
          </cell>
          <cell r="F170">
            <v>44</v>
          </cell>
          <cell r="G170">
            <v>30</v>
          </cell>
          <cell r="H170" t="str">
            <v>VPOLIDORI@UTALCA.CL</v>
          </cell>
        </row>
        <row r="171">
          <cell r="B171">
            <v>9726631</v>
          </cell>
          <cell r="C171" t="str">
            <v>K</v>
          </cell>
          <cell r="D171" t="str">
            <v>ROJAS CANALES PATRICIA MARIA F</v>
          </cell>
          <cell r="E171" t="str">
            <v>VAC400061</v>
          </cell>
          <cell r="F171">
            <v>44</v>
          </cell>
          <cell r="G171">
            <v>30</v>
          </cell>
          <cell r="H171" t="str">
            <v>PATROJAS@UTALCA.CL</v>
          </cell>
        </row>
        <row r="172">
          <cell r="B172">
            <v>9757494</v>
          </cell>
          <cell r="C172">
            <v>4</v>
          </cell>
          <cell r="D172" t="str">
            <v>CACERES ALVAREZ ROSA ISABEL</v>
          </cell>
          <cell r="E172" t="str">
            <v>VGE400040</v>
          </cell>
          <cell r="F172">
            <v>44</v>
          </cell>
          <cell r="G172">
            <v>30</v>
          </cell>
          <cell r="H172" t="str">
            <v>ROCACERES@UTALCA.CL</v>
          </cell>
        </row>
        <row r="173">
          <cell r="B173">
            <v>9761714</v>
          </cell>
          <cell r="C173">
            <v>7</v>
          </cell>
          <cell r="D173" t="str">
            <v>MADARIAGA MUNOZ ALEJANDRO ENRI</v>
          </cell>
          <cell r="E173" t="str">
            <v>VGE400055</v>
          </cell>
          <cell r="F173">
            <v>44</v>
          </cell>
          <cell r="G173">
            <v>30</v>
          </cell>
          <cell r="H173" t="str">
            <v>AMADARIA@UTALCA.CL</v>
          </cell>
        </row>
        <row r="174">
          <cell r="B174">
            <v>9803981</v>
          </cell>
          <cell r="C174">
            <v>3</v>
          </cell>
          <cell r="D174" t="str">
            <v>ASTUDILLO OLIVARES MINERVA DEL</v>
          </cell>
          <cell r="E174" t="str">
            <v>FCS320012</v>
          </cell>
          <cell r="F174">
            <v>44</v>
          </cell>
          <cell r="G174">
            <v>30</v>
          </cell>
          <cell r="H174" t="str">
            <v>MASTUDILLO@UTALCA.CL</v>
          </cell>
        </row>
        <row r="175">
          <cell r="B175">
            <v>9822286</v>
          </cell>
          <cell r="C175">
            <v>3</v>
          </cell>
          <cell r="D175" t="str">
            <v>NOVOA RIOS VICTORIA DEL CARMEN</v>
          </cell>
          <cell r="E175" t="str">
            <v>FOD350001</v>
          </cell>
          <cell r="F175">
            <v>44</v>
          </cell>
          <cell r="G175">
            <v>30</v>
          </cell>
          <cell r="H175" t="str">
            <v>VNOVOA@UTALCA.CL</v>
          </cell>
        </row>
        <row r="176">
          <cell r="B176">
            <v>9832432</v>
          </cell>
          <cell r="C176">
            <v>1</v>
          </cell>
          <cell r="D176" t="str">
            <v>PEREZ VALDES VIDAL ANTONIO</v>
          </cell>
          <cell r="E176" t="str">
            <v>FOD320003</v>
          </cell>
          <cell r="F176">
            <v>44</v>
          </cell>
          <cell r="G176">
            <v>30</v>
          </cell>
          <cell r="H176" t="str">
            <v>VPEREZ@UTALCA.CL</v>
          </cell>
        </row>
        <row r="177">
          <cell r="B177">
            <v>9854838</v>
          </cell>
          <cell r="C177">
            <v>6</v>
          </cell>
          <cell r="D177" t="str">
            <v>PRATER HOLGER CAROLINE SUE</v>
          </cell>
          <cell r="E177" t="str">
            <v>FCI200001</v>
          </cell>
          <cell r="F177">
            <v>44</v>
          </cell>
          <cell r="G177">
            <v>30</v>
          </cell>
          <cell r="H177" t="str">
            <v>CPRATER@UTALCA.CL</v>
          </cell>
        </row>
        <row r="178">
          <cell r="B178">
            <v>9883274</v>
          </cell>
          <cell r="C178">
            <v>2</v>
          </cell>
          <cell r="D178" t="str">
            <v>MUÑOZ CORTES RODRIGO MAURICIO</v>
          </cell>
          <cell r="E178" t="str">
            <v>FOD320002</v>
          </cell>
          <cell r="F178">
            <v>11</v>
          </cell>
          <cell r="G178">
            <v>30</v>
          </cell>
          <cell r="H178" t="str">
            <v>RMUNOZC@UTALCA.CL</v>
          </cell>
        </row>
        <row r="179">
          <cell r="B179">
            <v>9894120</v>
          </cell>
          <cell r="C179">
            <v>7</v>
          </cell>
          <cell r="D179" t="str">
            <v>PEREZ PARRA ROXANA PILAR</v>
          </cell>
          <cell r="E179" t="str">
            <v>FAD200001</v>
          </cell>
          <cell r="F179">
            <v>44</v>
          </cell>
          <cell r="G179">
            <v>30</v>
          </cell>
          <cell r="H179" t="str">
            <v>ROXANA@UTALCA.CL</v>
          </cell>
        </row>
        <row r="180">
          <cell r="B180">
            <v>9903445</v>
          </cell>
          <cell r="C180">
            <v>9</v>
          </cell>
          <cell r="D180" t="str">
            <v>DESCOUVIERES CALLEJAS CLAUDIA</v>
          </cell>
          <cell r="E180" t="str">
            <v>FOD320002</v>
          </cell>
          <cell r="F180">
            <v>10</v>
          </cell>
          <cell r="G180">
            <v>30</v>
          </cell>
          <cell r="H180" t="str">
            <v>CDESCOUVIERES@UTALCA.CL</v>
          </cell>
        </row>
        <row r="181">
          <cell r="B181">
            <v>9919777</v>
          </cell>
          <cell r="C181">
            <v>3</v>
          </cell>
          <cell r="D181" t="str">
            <v>ESCOBAR MIRANDA MONICA INES</v>
          </cell>
          <cell r="E181" t="str">
            <v>VAC400001</v>
          </cell>
          <cell r="F181">
            <v>44</v>
          </cell>
          <cell r="G181">
            <v>30</v>
          </cell>
          <cell r="H181" t="str">
            <v>MONICA.ESCOBAR@UTALCA.CL</v>
          </cell>
        </row>
        <row r="182">
          <cell r="B182">
            <v>9933101</v>
          </cell>
          <cell r="C182">
            <v>1</v>
          </cell>
          <cell r="D182" t="str">
            <v>ROJAS CASANOVA VICTOR HUGO</v>
          </cell>
          <cell r="E182" t="str">
            <v>FCS320001</v>
          </cell>
          <cell r="F182">
            <v>44</v>
          </cell>
          <cell r="G182">
            <v>30</v>
          </cell>
          <cell r="H182" t="str">
            <v>VROJASC@UTALCA.CL</v>
          </cell>
        </row>
        <row r="183">
          <cell r="B183">
            <v>9934465</v>
          </cell>
          <cell r="C183">
            <v>2</v>
          </cell>
          <cell r="D183" t="str">
            <v>HERRERA SOTO JORGE EDUARDO</v>
          </cell>
          <cell r="E183" t="str">
            <v>VGE400031</v>
          </cell>
          <cell r="F183">
            <v>44</v>
          </cell>
          <cell r="G183">
            <v>30</v>
          </cell>
          <cell r="H183" t="str">
            <v>JHERRERA@UTALCA.CL</v>
          </cell>
        </row>
        <row r="184">
          <cell r="B184">
            <v>9946475</v>
          </cell>
          <cell r="C184">
            <v>5</v>
          </cell>
          <cell r="D184" t="str">
            <v>PEREZ ROJAS VERONICA ELIZABETH</v>
          </cell>
          <cell r="E184" t="str">
            <v>FCI310010</v>
          </cell>
          <cell r="F184">
            <v>44</v>
          </cell>
          <cell r="G184">
            <v>30</v>
          </cell>
          <cell r="H184" t="str">
            <v>VEPEREZ@UTALCA.CL</v>
          </cell>
        </row>
        <row r="185">
          <cell r="B185">
            <v>9972078</v>
          </cell>
          <cell r="C185">
            <v>6</v>
          </cell>
          <cell r="D185" t="str">
            <v>REYES LE ROY VERONICA ALICIA</v>
          </cell>
          <cell r="E185" t="str">
            <v>FED200001</v>
          </cell>
          <cell r="F185">
            <v>44</v>
          </cell>
          <cell r="G185">
            <v>30</v>
          </cell>
          <cell r="H185" t="str">
            <v>VREYES@UTALCA.CL</v>
          </cell>
        </row>
        <row r="186">
          <cell r="B186">
            <v>9997167</v>
          </cell>
          <cell r="C186">
            <v>3</v>
          </cell>
          <cell r="D186" t="str">
            <v>REYES BRAVO CRISTINA MAGDALENA</v>
          </cell>
          <cell r="E186" t="str">
            <v>VDE400001</v>
          </cell>
          <cell r="F186">
            <v>44</v>
          </cell>
          <cell r="G186">
            <v>29</v>
          </cell>
          <cell r="H186" t="str">
            <v>CRIREYES@UTALCA.CL</v>
          </cell>
        </row>
        <row r="187">
          <cell r="B187">
            <v>10008746</v>
          </cell>
          <cell r="C187">
            <v>4</v>
          </cell>
          <cell r="D187" t="str">
            <v>ALEGRIA PARADA SANDRA BALBINA</v>
          </cell>
          <cell r="E187" t="str">
            <v>VDE100001</v>
          </cell>
          <cell r="F187">
            <v>44</v>
          </cell>
          <cell r="G187">
            <v>30</v>
          </cell>
          <cell r="H187" t="str">
            <v>SALEGRIA@UTALCA.CL</v>
          </cell>
        </row>
        <row r="188">
          <cell r="B188">
            <v>10026345</v>
          </cell>
          <cell r="C188">
            <v>9</v>
          </cell>
          <cell r="D188" t="str">
            <v>BARRA HUENUL JORGE ALBERTO</v>
          </cell>
          <cell r="E188" t="str">
            <v>FAD200001</v>
          </cell>
          <cell r="F188">
            <v>44</v>
          </cell>
          <cell r="G188">
            <v>29</v>
          </cell>
          <cell r="H188" t="str">
            <v>JOBARRA@UTALCA.CL</v>
          </cell>
        </row>
        <row r="189">
          <cell r="B189">
            <v>10030300</v>
          </cell>
          <cell r="C189">
            <v>0</v>
          </cell>
          <cell r="D189" t="str">
            <v>REYES SUAREZ JOSE ANTONIO</v>
          </cell>
          <cell r="E189" t="str">
            <v>FCI320001</v>
          </cell>
          <cell r="F189">
            <v>44</v>
          </cell>
          <cell r="G189">
            <v>30</v>
          </cell>
          <cell r="H189" t="str">
            <v>JAREYES@UTALCA.CL</v>
          </cell>
        </row>
        <row r="190">
          <cell r="B190">
            <v>10035853</v>
          </cell>
          <cell r="C190">
            <v>0</v>
          </cell>
          <cell r="D190" t="str">
            <v>VILLARROEL DONOSO CARLOS MANUE</v>
          </cell>
          <cell r="E190" t="str">
            <v>VRF400008</v>
          </cell>
          <cell r="F190">
            <v>44</v>
          </cell>
          <cell r="G190">
            <v>29</v>
          </cell>
          <cell r="H190" t="str">
            <v>CVILLARROEL@UTALCA.CL</v>
          </cell>
        </row>
        <row r="191">
          <cell r="B191">
            <v>10061018</v>
          </cell>
          <cell r="C191">
            <v>3</v>
          </cell>
          <cell r="D191" t="str">
            <v>ADRIAZOLA ROJAS FRANCISCO LEAN</v>
          </cell>
          <cell r="E191" t="str">
            <v>FAD310002</v>
          </cell>
          <cell r="F191">
            <v>44</v>
          </cell>
          <cell r="G191">
            <v>30</v>
          </cell>
          <cell r="H191" t="str">
            <v>FRADRIAZOLA@UTALCA.CL</v>
          </cell>
        </row>
        <row r="192">
          <cell r="B192">
            <v>10085426</v>
          </cell>
          <cell r="C192">
            <v>0</v>
          </cell>
          <cell r="D192" t="str">
            <v>MUÑOZ OYARCE PATRICIA VICTORIA</v>
          </cell>
          <cell r="E192" t="str">
            <v>FAD310002</v>
          </cell>
          <cell r="F192">
            <v>44</v>
          </cell>
          <cell r="G192">
            <v>30</v>
          </cell>
          <cell r="H192" t="str">
            <v>PMUNOZ@UTALCA.CL</v>
          </cell>
        </row>
        <row r="193">
          <cell r="B193">
            <v>10087812</v>
          </cell>
          <cell r="C193">
            <v>7</v>
          </cell>
          <cell r="D193" t="str">
            <v>MORALES HERRERA EDITH ROXANA</v>
          </cell>
          <cell r="E193" t="str">
            <v>FCS320012</v>
          </cell>
          <cell r="F193">
            <v>44</v>
          </cell>
          <cell r="G193">
            <v>30</v>
          </cell>
          <cell r="H193" t="str">
            <v>EMORALESH@UTALCA.CL</v>
          </cell>
        </row>
        <row r="194">
          <cell r="B194">
            <v>10110737</v>
          </cell>
          <cell r="C194" t="str">
            <v>K</v>
          </cell>
          <cell r="D194" t="str">
            <v>RETAMAL CONTRERAS ERIKA ROXANA</v>
          </cell>
          <cell r="E194" t="str">
            <v>FCS320003</v>
          </cell>
          <cell r="F194">
            <v>44</v>
          </cell>
          <cell r="G194">
            <v>30</v>
          </cell>
          <cell r="H194" t="str">
            <v>ERETAMAL@UTALCA.CL</v>
          </cell>
        </row>
        <row r="195">
          <cell r="B195">
            <v>10112688</v>
          </cell>
          <cell r="C195">
            <v>9</v>
          </cell>
          <cell r="D195" t="str">
            <v>POBLETE AVENDAÑO LAURA ROSA</v>
          </cell>
          <cell r="E195" t="str">
            <v>FPS310002</v>
          </cell>
          <cell r="F195">
            <v>44</v>
          </cell>
          <cell r="G195">
            <v>30</v>
          </cell>
          <cell r="H195" t="str">
            <v>LAPOBLETE@UTALCA.CL</v>
          </cell>
        </row>
        <row r="196">
          <cell r="B196">
            <v>10118435</v>
          </cell>
          <cell r="C196">
            <v>8</v>
          </cell>
          <cell r="D196" t="str">
            <v>MAASS VENEGAS SOLEDAD ANDREA</v>
          </cell>
          <cell r="E196" t="str">
            <v>FCI320008</v>
          </cell>
          <cell r="F196">
            <v>44</v>
          </cell>
          <cell r="G196">
            <v>30</v>
          </cell>
          <cell r="H196" t="str">
            <v>SOLEDAD.MAASS@UTALCA.CL</v>
          </cell>
        </row>
        <row r="197">
          <cell r="B197">
            <v>10121878</v>
          </cell>
          <cell r="C197">
            <v>3</v>
          </cell>
          <cell r="D197" t="str">
            <v>DEL PINO ORMEÑO MAURICIO JAVIE</v>
          </cell>
          <cell r="E197" t="str">
            <v>VGE400055</v>
          </cell>
          <cell r="F197">
            <v>44</v>
          </cell>
          <cell r="G197">
            <v>30</v>
          </cell>
          <cell r="H197" t="str">
            <v>MDELPINO@UTALCA.CL</v>
          </cell>
        </row>
        <row r="198">
          <cell r="B198">
            <v>10140056</v>
          </cell>
          <cell r="C198">
            <v>5</v>
          </cell>
          <cell r="D198" t="str">
            <v>LILLO TASTETS MARCELA VERONICA</v>
          </cell>
          <cell r="E198" t="str">
            <v>FAD310004</v>
          </cell>
          <cell r="F198">
            <v>44</v>
          </cell>
          <cell r="G198">
            <v>30</v>
          </cell>
          <cell r="H198" t="str">
            <v>MALILLO@UTALCA.CL</v>
          </cell>
        </row>
        <row r="199">
          <cell r="B199">
            <v>10148120</v>
          </cell>
          <cell r="C199">
            <v>4</v>
          </cell>
          <cell r="D199" t="str">
            <v>PADILLA CHAMORRO JUAN CARLOS</v>
          </cell>
          <cell r="E199" t="str">
            <v>ADC022001</v>
          </cell>
          <cell r="F199">
            <v>44</v>
          </cell>
          <cell r="G199">
            <v>30</v>
          </cell>
          <cell r="H199" t="str">
            <v>JPADILLA@UTALCA.CL</v>
          </cell>
        </row>
        <row r="200">
          <cell r="B200">
            <v>10180931</v>
          </cell>
          <cell r="C200">
            <v>5</v>
          </cell>
          <cell r="D200" t="str">
            <v>SCHULZ LIZANA KARIN HELENE</v>
          </cell>
          <cell r="E200" t="str">
            <v>FCJ310001</v>
          </cell>
          <cell r="F200">
            <v>22</v>
          </cell>
          <cell r="G200">
            <v>30</v>
          </cell>
          <cell r="H200" t="str">
            <v>KSCHULZ@UTALCA.CL</v>
          </cell>
        </row>
        <row r="201">
          <cell r="B201">
            <v>10193178</v>
          </cell>
          <cell r="C201">
            <v>1</v>
          </cell>
          <cell r="D201" t="str">
            <v>ATAL BARRIOS PABLO ANDRES</v>
          </cell>
          <cell r="E201" t="str">
            <v>FCA200001</v>
          </cell>
          <cell r="F201">
            <v>44</v>
          </cell>
          <cell r="G201">
            <v>30</v>
          </cell>
          <cell r="H201" t="str">
            <v>PATAL@UTALCA.CL</v>
          </cell>
        </row>
        <row r="202">
          <cell r="B202">
            <v>10200375</v>
          </cell>
          <cell r="C202">
            <v>6</v>
          </cell>
          <cell r="D202" t="str">
            <v>CONTARDO CONTARDO ALVARO JAVIE</v>
          </cell>
          <cell r="E202" t="str">
            <v>VRF400043</v>
          </cell>
          <cell r="F202">
            <v>44</v>
          </cell>
          <cell r="G202">
            <v>30</v>
          </cell>
          <cell r="H202" t="str">
            <v>ACONTARD@UTALCA.CL</v>
          </cell>
        </row>
        <row r="203">
          <cell r="B203">
            <v>10210231</v>
          </cell>
          <cell r="C203">
            <v>2</v>
          </cell>
          <cell r="D203" t="str">
            <v>VERDUGO BASTIAS ISABEL ALEJAND</v>
          </cell>
          <cell r="E203" t="str">
            <v>ICB300001</v>
          </cell>
          <cell r="F203">
            <v>44</v>
          </cell>
          <cell r="G203">
            <v>30</v>
          </cell>
          <cell r="H203" t="str">
            <v>IVERDUGO@UTALCA.CL</v>
          </cell>
        </row>
        <row r="204">
          <cell r="B204">
            <v>10212771</v>
          </cell>
          <cell r="C204">
            <v>4</v>
          </cell>
          <cell r="D204" t="str">
            <v>MENDEZ CAMPOS MARIA DORIS</v>
          </cell>
          <cell r="E204" t="str">
            <v>FPS200001</v>
          </cell>
          <cell r="F204">
            <v>22</v>
          </cell>
          <cell r="G204">
            <v>30</v>
          </cell>
          <cell r="H204" t="str">
            <v>DMENDEZ@UTALCA.CL</v>
          </cell>
        </row>
        <row r="205">
          <cell r="B205">
            <v>10223124</v>
          </cell>
          <cell r="C205">
            <v>4</v>
          </cell>
          <cell r="D205" t="str">
            <v>GONZALEZ ARAYA MARCELA CECILIA</v>
          </cell>
          <cell r="E205" t="str">
            <v>FCI320002</v>
          </cell>
          <cell r="F205">
            <v>44</v>
          </cell>
          <cell r="G205">
            <v>30</v>
          </cell>
          <cell r="H205" t="str">
            <v>MGONZALEZ@UTALCA.CL</v>
          </cell>
        </row>
        <row r="206">
          <cell r="B206">
            <v>10229283</v>
          </cell>
          <cell r="C206">
            <v>9</v>
          </cell>
          <cell r="D206" t="str">
            <v>SEPULVEDA AGUILAR ROBINSON HER</v>
          </cell>
          <cell r="E206" t="str">
            <v>FED200001</v>
          </cell>
          <cell r="F206">
            <v>44</v>
          </cell>
          <cell r="G206">
            <v>30</v>
          </cell>
          <cell r="H206" t="str">
            <v>ROSEPULVEDA@UTALCA.CL</v>
          </cell>
        </row>
        <row r="207">
          <cell r="B207">
            <v>10234445</v>
          </cell>
          <cell r="C207">
            <v>6</v>
          </cell>
          <cell r="D207" t="str">
            <v>CRUZ CACERES FERNANDO JAVIER</v>
          </cell>
          <cell r="E207" t="str">
            <v>VGE400009</v>
          </cell>
          <cell r="F207">
            <v>44</v>
          </cell>
          <cell r="G207">
            <v>30</v>
          </cell>
          <cell r="H207" t="str">
            <v>FCRUZ@UTALCA.CL</v>
          </cell>
        </row>
        <row r="208">
          <cell r="B208">
            <v>10283925</v>
          </cell>
          <cell r="C208">
            <v>0</v>
          </cell>
          <cell r="D208" t="str">
            <v>CALVO CONSIGLIERI JORGE ANTONI</v>
          </cell>
          <cell r="E208" t="str">
            <v>FAM320002</v>
          </cell>
          <cell r="F208">
            <v>22</v>
          </cell>
          <cell r="G208">
            <v>30</v>
          </cell>
          <cell r="H208" t="str">
            <v>JCALVO@UTALCA.CL</v>
          </cell>
        </row>
        <row r="209">
          <cell r="B209">
            <v>10285672</v>
          </cell>
          <cell r="C209">
            <v>4</v>
          </cell>
          <cell r="D209" t="str">
            <v>CALAF MAUAD JOAN LEILA</v>
          </cell>
          <cell r="E209" t="str">
            <v>FOD200001</v>
          </cell>
          <cell r="F209">
            <v>44</v>
          </cell>
          <cell r="G209">
            <v>30</v>
          </cell>
          <cell r="H209" t="str">
            <v>JOCALAF@UTALCA.CL</v>
          </cell>
        </row>
        <row r="210">
          <cell r="B210">
            <v>10286289</v>
          </cell>
          <cell r="C210">
            <v>9</v>
          </cell>
          <cell r="D210" t="str">
            <v>LAURIE GLEISNER VICTOR FELIPE</v>
          </cell>
          <cell r="E210" t="str">
            <v>FCA320002</v>
          </cell>
          <cell r="F210">
            <v>44</v>
          </cell>
          <cell r="G210">
            <v>30</v>
          </cell>
          <cell r="H210" t="str">
            <v>FLAURIE@UTALCA.CL</v>
          </cell>
        </row>
        <row r="211">
          <cell r="B211">
            <v>10294411</v>
          </cell>
          <cell r="C211">
            <v>9</v>
          </cell>
          <cell r="D211" t="str">
            <v>GOMEZ MUÑOZ JUAN BENITO</v>
          </cell>
          <cell r="E211" t="str">
            <v>FCS340007</v>
          </cell>
          <cell r="F211">
            <v>44</v>
          </cell>
          <cell r="G211">
            <v>30</v>
          </cell>
          <cell r="H211" t="str">
            <v>JUGOMEZ@UTALCA.CL</v>
          </cell>
        </row>
        <row r="212">
          <cell r="B212">
            <v>10310634</v>
          </cell>
          <cell r="C212">
            <v>6</v>
          </cell>
          <cell r="D212" t="str">
            <v>SEPULVEDA LUARTE MARIA PAZ</v>
          </cell>
          <cell r="E212" t="str">
            <v>ADC030190</v>
          </cell>
          <cell r="F212">
            <v>44</v>
          </cell>
          <cell r="G212">
            <v>30</v>
          </cell>
          <cell r="H212" t="str">
            <v>MARSEPULVEDA@UTALCA.CL</v>
          </cell>
        </row>
        <row r="213">
          <cell r="B213">
            <v>10314388</v>
          </cell>
          <cell r="C213">
            <v>8</v>
          </cell>
          <cell r="D213" t="str">
            <v>NIEDMANN LOLAS MARIA LORENA</v>
          </cell>
          <cell r="E213" t="str">
            <v>ICB300001</v>
          </cell>
          <cell r="F213">
            <v>44</v>
          </cell>
          <cell r="G213">
            <v>30</v>
          </cell>
          <cell r="H213" t="str">
            <v>LNIEDMAN@UTALCA.CL</v>
          </cell>
        </row>
        <row r="214">
          <cell r="B214">
            <v>10350524</v>
          </cell>
          <cell r="C214">
            <v>0</v>
          </cell>
          <cell r="D214" t="str">
            <v>CANALES ESPINOZA JORGE ANDRES</v>
          </cell>
          <cell r="E214" t="str">
            <v>FOD400003</v>
          </cell>
          <cell r="F214">
            <v>22</v>
          </cell>
          <cell r="G214">
            <v>30</v>
          </cell>
          <cell r="H214" t="str">
            <v>JOCANALES@UTALCA.CL</v>
          </cell>
        </row>
        <row r="215">
          <cell r="B215">
            <v>10352930</v>
          </cell>
          <cell r="C215">
            <v>1</v>
          </cell>
          <cell r="D215" t="str">
            <v>MOLINA CABEZA OLGA MIREYA</v>
          </cell>
          <cell r="E215" t="str">
            <v>FAM320002</v>
          </cell>
          <cell r="F215">
            <v>22</v>
          </cell>
          <cell r="G215">
            <v>30</v>
          </cell>
          <cell r="H215" t="str">
            <v>OMOLINA@UTALCA.CL</v>
          </cell>
        </row>
        <row r="216">
          <cell r="B216">
            <v>10355752</v>
          </cell>
          <cell r="C216">
            <v>6</v>
          </cell>
          <cell r="D216" t="str">
            <v>MUÑOZ INOSTROZA GONZALO ELISEO</v>
          </cell>
          <cell r="E216" t="str">
            <v>FAD310002</v>
          </cell>
          <cell r="F216">
            <v>44</v>
          </cell>
          <cell r="G216">
            <v>30</v>
          </cell>
          <cell r="H216" t="str">
            <v>GOMUNOZ@UTALCA.CL</v>
          </cell>
        </row>
        <row r="217">
          <cell r="B217">
            <v>10363714</v>
          </cell>
          <cell r="C217">
            <v>7</v>
          </cell>
          <cell r="D217" t="str">
            <v>PACHECO VALDERRAMA MARCELA DEL</v>
          </cell>
          <cell r="E217" t="str">
            <v>FCI310002</v>
          </cell>
          <cell r="F217">
            <v>44</v>
          </cell>
          <cell r="G217">
            <v>30</v>
          </cell>
          <cell r="H217" t="str">
            <v>MPACHECO@UTALCA.CL</v>
          </cell>
        </row>
        <row r="218">
          <cell r="B218">
            <v>10378233</v>
          </cell>
          <cell r="C218">
            <v>3</v>
          </cell>
          <cell r="D218" t="str">
            <v>ESPINOZA CARRASCO PAULINA ELEN</v>
          </cell>
          <cell r="E218" t="str">
            <v>FAM320001</v>
          </cell>
          <cell r="F218">
            <v>44</v>
          </cell>
          <cell r="G218">
            <v>30</v>
          </cell>
          <cell r="H218" t="str">
            <v>PESPINOZA@UTALCA.CL</v>
          </cell>
        </row>
        <row r="219">
          <cell r="B219">
            <v>10402984</v>
          </cell>
          <cell r="C219">
            <v>1</v>
          </cell>
          <cell r="D219" t="str">
            <v>POBLETE NORAMBUENA LUIS ALEJAN</v>
          </cell>
          <cell r="E219" t="str">
            <v>FCS320003</v>
          </cell>
          <cell r="F219">
            <v>22</v>
          </cell>
          <cell r="G219">
            <v>30</v>
          </cell>
          <cell r="H219" t="str">
            <v>APOBLETE@UTALCA.CL</v>
          </cell>
        </row>
        <row r="220">
          <cell r="B220">
            <v>10428732</v>
          </cell>
          <cell r="C220">
            <v>8</v>
          </cell>
          <cell r="D220" t="str">
            <v>ZAPATA ARELLANO CLEMENTINA</v>
          </cell>
          <cell r="E220" t="str">
            <v>VRF400043</v>
          </cell>
          <cell r="F220">
            <v>44</v>
          </cell>
          <cell r="G220">
            <v>30</v>
          </cell>
          <cell r="H220" t="str">
            <v>CZAPATA@UTALCA.CL</v>
          </cell>
        </row>
        <row r="221">
          <cell r="B221">
            <v>10433679</v>
          </cell>
          <cell r="C221">
            <v>5</v>
          </cell>
          <cell r="D221" t="str">
            <v>OLGUIN ROJAS JACQUELINE</v>
          </cell>
          <cell r="E221" t="str">
            <v>ADC030141</v>
          </cell>
          <cell r="F221">
            <v>44</v>
          </cell>
          <cell r="G221">
            <v>30</v>
          </cell>
          <cell r="H221" t="str">
            <v>JOLGUIN@UTALCA.CL</v>
          </cell>
        </row>
        <row r="222">
          <cell r="B222">
            <v>10437327</v>
          </cell>
          <cell r="C222">
            <v>5</v>
          </cell>
          <cell r="D222" t="str">
            <v>ALBORNOZ ALBORNOZ IVONNE MARCE</v>
          </cell>
          <cell r="E222" t="str">
            <v>VGE100001</v>
          </cell>
          <cell r="F222">
            <v>44</v>
          </cell>
          <cell r="G222">
            <v>30</v>
          </cell>
          <cell r="H222" t="str">
            <v>IMALBORN@UTALCA.CL</v>
          </cell>
        </row>
        <row r="223">
          <cell r="B223">
            <v>10442291</v>
          </cell>
          <cell r="C223">
            <v>8</v>
          </cell>
          <cell r="D223" t="str">
            <v>SAENS NAVARRETE RODRIGO PABLO</v>
          </cell>
          <cell r="E223" t="str">
            <v>FEN310001</v>
          </cell>
          <cell r="F223">
            <v>44</v>
          </cell>
          <cell r="G223">
            <v>30</v>
          </cell>
          <cell r="H223" t="str">
            <v>RSAENS@UTALCA.CL</v>
          </cell>
        </row>
        <row r="224">
          <cell r="B224">
            <v>10442622</v>
          </cell>
          <cell r="C224">
            <v>0</v>
          </cell>
          <cell r="D224" t="str">
            <v>LOPEZ MARCHANT ANA MARIA</v>
          </cell>
          <cell r="E224" t="str">
            <v/>
          </cell>
          <cell r="F224">
            <v>44</v>
          </cell>
          <cell r="G224">
            <v>30</v>
          </cell>
          <cell r="H224" t="str">
            <v>ALOPEZ@UTALCA.CL</v>
          </cell>
        </row>
        <row r="225">
          <cell r="B225">
            <v>10448692</v>
          </cell>
          <cell r="C225">
            <v>4</v>
          </cell>
          <cell r="D225" t="str">
            <v>ROJAS QUINTANA PAOLA ANDREA</v>
          </cell>
          <cell r="E225" t="str">
            <v>VDE400001</v>
          </cell>
          <cell r="F225">
            <v>44</v>
          </cell>
          <cell r="G225">
            <v>30</v>
          </cell>
          <cell r="H225" t="str">
            <v>PAOLA.ROJAS@UTALCA.CL</v>
          </cell>
        </row>
        <row r="226">
          <cell r="B226">
            <v>10449947</v>
          </cell>
          <cell r="C226">
            <v>3</v>
          </cell>
          <cell r="D226" t="str">
            <v>ILLANES AREVALO MARIA ISABEL</v>
          </cell>
          <cell r="E226" t="str">
            <v>FCA200001</v>
          </cell>
          <cell r="F226">
            <v>44</v>
          </cell>
          <cell r="G226">
            <v>30</v>
          </cell>
          <cell r="H226" t="str">
            <v>ILLANES@UTALCA.CL</v>
          </cell>
        </row>
        <row r="227">
          <cell r="B227">
            <v>10455142</v>
          </cell>
          <cell r="C227">
            <v>4</v>
          </cell>
          <cell r="D227" t="str">
            <v>MOLINA VALENZUELA MAY- LEE RUT</v>
          </cell>
          <cell r="E227" t="str">
            <v>VGE400031</v>
          </cell>
          <cell r="F227">
            <v>44</v>
          </cell>
          <cell r="G227">
            <v>30</v>
          </cell>
          <cell r="H227" t="str">
            <v>MMOLINA@UTALCA.CL</v>
          </cell>
        </row>
        <row r="228">
          <cell r="B228">
            <v>10460242</v>
          </cell>
          <cell r="C228">
            <v>8</v>
          </cell>
          <cell r="D228" t="str">
            <v>HENRIQUEZ OPAZO OSVALDO ENRIQU</v>
          </cell>
          <cell r="E228" t="str">
            <v>FCJ320004</v>
          </cell>
          <cell r="F228">
            <v>44</v>
          </cell>
          <cell r="G228">
            <v>30</v>
          </cell>
          <cell r="H228" t="str">
            <v>OSVALDO.HENRIQUEZ@UTALCA.CL</v>
          </cell>
        </row>
        <row r="229">
          <cell r="B229">
            <v>10460707</v>
          </cell>
          <cell r="C229">
            <v>1</v>
          </cell>
          <cell r="D229" t="str">
            <v>BENAVIDES MORENO NIBALDO ENRIQ</v>
          </cell>
          <cell r="E229" t="str">
            <v>FED320001</v>
          </cell>
          <cell r="F229">
            <v>44</v>
          </cell>
          <cell r="G229">
            <v>30</v>
          </cell>
          <cell r="H229" t="str">
            <v>NBENAVIDES@UTALCA.CL</v>
          </cell>
        </row>
        <row r="230">
          <cell r="B230">
            <v>10483657</v>
          </cell>
          <cell r="C230">
            <v>7</v>
          </cell>
          <cell r="D230" t="str">
            <v>RAMIREZ RIVERA CLAUDIO CARLOS</v>
          </cell>
          <cell r="E230" t="str">
            <v>ICB300001</v>
          </cell>
          <cell r="F230">
            <v>44</v>
          </cell>
          <cell r="G230">
            <v>30</v>
          </cell>
          <cell r="H230" t="str">
            <v>CLRAMIREZ@UTALCA.CL</v>
          </cell>
        </row>
        <row r="231">
          <cell r="B231">
            <v>10487986</v>
          </cell>
          <cell r="C231">
            <v>1</v>
          </cell>
          <cell r="D231" t="str">
            <v>MORALES GARRIDO DARINKA INDIRA</v>
          </cell>
          <cell r="E231" t="str">
            <v>FOD320001</v>
          </cell>
          <cell r="F231">
            <v>22</v>
          </cell>
          <cell r="G231">
            <v>30</v>
          </cell>
          <cell r="H231" t="str">
            <v>DMORALES@UTALCA.CL</v>
          </cell>
        </row>
        <row r="232">
          <cell r="B232">
            <v>10493760</v>
          </cell>
          <cell r="C232">
            <v>8</v>
          </cell>
          <cell r="D232" t="str">
            <v>VASQUEZ VARGAS ALONSO ANTONIO</v>
          </cell>
          <cell r="E232" t="str">
            <v>FOD320001</v>
          </cell>
          <cell r="F232">
            <v>9</v>
          </cell>
          <cell r="G232">
            <v>30</v>
          </cell>
          <cell r="H232" t="str">
            <v>ALVASQUEZ@UTALCA.CL</v>
          </cell>
        </row>
        <row r="233">
          <cell r="B233">
            <v>10496500</v>
          </cell>
          <cell r="C233">
            <v>8</v>
          </cell>
          <cell r="D233" t="str">
            <v>PADILLA VILLOUTA GERMAN ALBERT</v>
          </cell>
          <cell r="E233" t="str">
            <v>VRF400005</v>
          </cell>
          <cell r="F233">
            <v>44</v>
          </cell>
          <cell r="G233">
            <v>30</v>
          </cell>
          <cell r="H233" t="str">
            <v>GPADILLA@UTALCA.CL</v>
          </cell>
        </row>
        <row r="234">
          <cell r="B234">
            <v>10517857</v>
          </cell>
          <cell r="C234">
            <v>3</v>
          </cell>
          <cell r="D234" t="str">
            <v>BERNALES ROJAS GERARDO FAVIO</v>
          </cell>
          <cell r="E234" t="str">
            <v>FCJ320003</v>
          </cell>
          <cell r="F234">
            <v>12</v>
          </cell>
          <cell r="G234">
            <v>30</v>
          </cell>
          <cell r="H234" t="str">
            <v>GBERNALES@UTALCA.CL</v>
          </cell>
        </row>
        <row r="235">
          <cell r="B235">
            <v>10518268</v>
          </cell>
          <cell r="C235">
            <v>6</v>
          </cell>
          <cell r="D235" t="str">
            <v>ARAYA RODRIGUEZ LUIS ALEJANDRO</v>
          </cell>
          <cell r="E235" t="str">
            <v>ICB300001</v>
          </cell>
          <cell r="F235">
            <v>44</v>
          </cell>
          <cell r="G235">
            <v>30</v>
          </cell>
          <cell r="H235" t="str">
            <v>LARAYAR@UTALCA.CL</v>
          </cell>
        </row>
        <row r="236">
          <cell r="B236">
            <v>10532803</v>
          </cell>
          <cell r="C236">
            <v>6</v>
          </cell>
          <cell r="D236" t="str">
            <v>COFRE BRAVO GABRIELA DEL CARME</v>
          </cell>
          <cell r="E236" t="str">
            <v>FCA310001</v>
          </cell>
          <cell r="F236">
            <v>44</v>
          </cell>
          <cell r="G236">
            <v>30</v>
          </cell>
          <cell r="H236" t="str">
            <v>GCOFRE@UTALCA.CL</v>
          </cell>
        </row>
        <row r="237">
          <cell r="B237">
            <v>10542304</v>
          </cell>
          <cell r="C237">
            <v>7</v>
          </cell>
          <cell r="D237" t="str">
            <v>NUÑEZ GUTIERREZ DANIEL EDMUNDO</v>
          </cell>
          <cell r="E237" t="str">
            <v>FPS200001</v>
          </cell>
          <cell r="F237">
            <v>44</v>
          </cell>
          <cell r="G237">
            <v>30</v>
          </cell>
          <cell r="H237" t="str">
            <v>DNUNEZ@UTALCA.CL</v>
          </cell>
        </row>
        <row r="238">
          <cell r="B238">
            <v>10544161</v>
          </cell>
          <cell r="C238">
            <v>4</v>
          </cell>
          <cell r="D238" t="str">
            <v>TAPIA NAVARRETE NANCY DEL PILA</v>
          </cell>
          <cell r="E238" t="str">
            <v>VRF400009</v>
          </cell>
          <cell r="F238">
            <v>22</v>
          </cell>
          <cell r="G238">
            <v>30</v>
          </cell>
          <cell r="H238" t="str">
            <v>NTAPIA@UTALCA.CL</v>
          </cell>
        </row>
        <row r="239">
          <cell r="B239">
            <v>10551733</v>
          </cell>
          <cell r="C239">
            <v>5</v>
          </cell>
          <cell r="D239" t="str">
            <v>ROJAS BARAHONA CRISTIAN ANDRES</v>
          </cell>
          <cell r="E239" t="str">
            <v>FPS200001</v>
          </cell>
          <cell r="F239">
            <v>44</v>
          </cell>
          <cell r="G239">
            <v>30</v>
          </cell>
          <cell r="H239" t="str">
            <v>C.ROJAS@UTALCA.CL</v>
          </cell>
        </row>
        <row r="240">
          <cell r="B240">
            <v>10572047</v>
          </cell>
          <cell r="C240">
            <v>5</v>
          </cell>
          <cell r="D240" t="str">
            <v>OLIVOS MONTOYA ELIZABETH</v>
          </cell>
          <cell r="E240" t="str">
            <v>FCI310004</v>
          </cell>
          <cell r="F240">
            <v>44</v>
          </cell>
          <cell r="G240">
            <v>30</v>
          </cell>
          <cell r="H240" t="str">
            <v>EOLIVOS@UTALCA.CL</v>
          </cell>
        </row>
        <row r="241">
          <cell r="B241">
            <v>10585058</v>
          </cell>
          <cell r="C241">
            <v>1</v>
          </cell>
          <cell r="D241" t="str">
            <v>JARPA MARTINEZ CARMEN FABIOLA</v>
          </cell>
          <cell r="E241" t="str">
            <v>IAM300001</v>
          </cell>
          <cell r="F241">
            <v>44</v>
          </cell>
          <cell r="G241">
            <v>30</v>
          </cell>
          <cell r="H241" t="str">
            <v>CARMEN.JARPA@UTALCA.CL</v>
          </cell>
        </row>
        <row r="242">
          <cell r="B242">
            <v>10649954</v>
          </cell>
          <cell r="C242">
            <v>3</v>
          </cell>
          <cell r="D242" t="str">
            <v>FUENTES CONTRERAS JOSE EDUARDO</v>
          </cell>
          <cell r="E242" t="str">
            <v>FCA320003</v>
          </cell>
          <cell r="F242">
            <v>44</v>
          </cell>
          <cell r="G242">
            <v>30</v>
          </cell>
          <cell r="H242" t="str">
            <v>EFUENTES@UTALCA.CL</v>
          </cell>
        </row>
        <row r="243">
          <cell r="B243">
            <v>10652875</v>
          </cell>
          <cell r="C243">
            <v>6</v>
          </cell>
          <cell r="D243" t="str">
            <v>ZAMBRA SAZO CARLOS ENRIQUE</v>
          </cell>
          <cell r="E243" t="str">
            <v>FCI320004</v>
          </cell>
          <cell r="F243">
            <v>44</v>
          </cell>
          <cell r="G243">
            <v>30</v>
          </cell>
          <cell r="H243" t="str">
            <v>CZAMBRA@UTALCA.CL</v>
          </cell>
        </row>
        <row r="244">
          <cell r="B244">
            <v>10669838</v>
          </cell>
          <cell r="C244">
            <v>4</v>
          </cell>
          <cell r="D244" t="str">
            <v>ABARCA SILVA PABLO LEONARDO</v>
          </cell>
          <cell r="E244" t="str">
            <v>VRF400008</v>
          </cell>
          <cell r="F244">
            <v>44</v>
          </cell>
          <cell r="G244">
            <v>30</v>
          </cell>
          <cell r="H244" t="str">
            <v>PABARCA@UTALCA.CL</v>
          </cell>
        </row>
        <row r="245">
          <cell r="B245">
            <v>10704624</v>
          </cell>
          <cell r="C245">
            <v>0</v>
          </cell>
          <cell r="D245" t="str">
            <v>SANCHEZ ASTORGA MARCELO RICHAR</v>
          </cell>
          <cell r="E245" t="str">
            <v>FOD320002</v>
          </cell>
          <cell r="F245">
            <v>44</v>
          </cell>
          <cell r="G245">
            <v>30</v>
          </cell>
          <cell r="H245" t="str">
            <v>MARSANCHEZ@UTALCA.CL</v>
          </cell>
        </row>
        <row r="246">
          <cell r="B246">
            <v>10711017</v>
          </cell>
          <cell r="C246">
            <v>8</v>
          </cell>
          <cell r="D246" t="str">
            <v>SUAZO DIAZ NANCY LORETO</v>
          </cell>
          <cell r="E246" t="str">
            <v>FCS320012</v>
          </cell>
          <cell r="F246">
            <v>44</v>
          </cell>
          <cell r="G246">
            <v>30</v>
          </cell>
          <cell r="H246" t="str">
            <v>NSUAZO@UTALCA.CL</v>
          </cell>
        </row>
        <row r="247">
          <cell r="B247">
            <v>10711018</v>
          </cell>
          <cell r="C247">
            <v>6</v>
          </cell>
          <cell r="D247" t="str">
            <v>MIRANDA RETAMAL ERIKA MARICEL</v>
          </cell>
          <cell r="E247" t="str">
            <v>VGE400054</v>
          </cell>
          <cell r="F247">
            <v>44</v>
          </cell>
          <cell r="G247">
            <v>30</v>
          </cell>
          <cell r="H247" t="str">
            <v>EMIRANDA@UTALCA.CL</v>
          </cell>
        </row>
        <row r="248">
          <cell r="B248">
            <v>10751848</v>
          </cell>
          <cell r="C248">
            <v>7</v>
          </cell>
          <cell r="D248" t="str">
            <v>REYES FLORES CARMEN SOFIA</v>
          </cell>
          <cell r="E248" t="str">
            <v>VRF400009</v>
          </cell>
          <cell r="F248">
            <v>44</v>
          </cell>
          <cell r="G248">
            <v>30</v>
          </cell>
          <cell r="H248" t="str">
            <v>CARREYES@UTALCA.CL</v>
          </cell>
        </row>
        <row r="249">
          <cell r="B249">
            <v>10764734</v>
          </cell>
          <cell r="C249">
            <v>1</v>
          </cell>
          <cell r="D249" t="str">
            <v>ALARCON LEIVA JORGE ALBERTO</v>
          </cell>
          <cell r="E249" t="str">
            <v>FED320001</v>
          </cell>
          <cell r="F249">
            <v>44</v>
          </cell>
          <cell r="G249">
            <v>30</v>
          </cell>
          <cell r="H249" t="str">
            <v>JOALARCON@UTALCA.CL</v>
          </cell>
        </row>
        <row r="250">
          <cell r="B250">
            <v>10765277</v>
          </cell>
          <cell r="C250">
            <v>9</v>
          </cell>
          <cell r="D250" t="str">
            <v>SANCHEZ RETAMAL GABRIEL ANTONI</v>
          </cell>
          <cell r="E250" t="str">
            <v>FPS200001</v>
          </cell>
          <cell r="F250">
            <v>44</v>
          </cell>
          <cell r="G250">
            <v>30</v>
          </cell>
          <cell r="H250" t="str">
            <v>GASANCHEZ@UTALCA.CL</v>
          </cell>
        </row>
        <row r="251">
          <cell r="B251">
            <v>10772838</v>
          </cell>
          <cell r="C251">
            <v>4</v>
          </cell>
          <cell r="D251" t="str">
            <v>BARRAGAN MARTINEZ XIMENA ANDRE</v>
          </cell>
          <cell r="E251" t="str">
            <v>FCS310005</v>
          </cell>
          <cell r="F251">
            <v>44</v>
          </cell>
          <cell r="G251">
            <v>30</v>
          </cell>
          <cell r="H251" t="str">
            <v>XBARRAGAN@UTALCA.CL</v>
          </cell>
        </row>
        <row r="252">
          <cell r="B252">
            <v>10797475</v>
          </cell>
          <cell r="C252" t="str">
            <v>K</v>
          </cell>
          <cell r="D252" t="str">
            <v>FORSTER MARIN CARLA ELVIRA</v>
          </cell>
          <cell r="E252" t="str">
            <v>VRF100002</v>
          </cell>
          <cell r="F252">
            <v>44</v>
          </cell>
          <cell r="G252">
            <v>30</v>
          </cell>
          <cell r="H252" t="str">
            <v>CARLA.FORSTER@UTALCA.CL</v>
          </cell>
        </row>
        <row r="253">
          <cell r="B253">
            <v>10801551</v>
          </cell>
          <cell r="C253">
            <v>9</v>
          </cell>
          <cell r="D253" t="str">
            <v>TELLO AVILA JOSE ANTONIO</v>
          </cell>
          <cell r="E253" t="str">
            <v>FEN310004</v>
          </cell>
          <cell r="F253">
            <v>44</v>
          </cell>
          <cell r="G253">
            <v>30</v>
          </cell>
          <cell r="H253" t="str">
            <v>JTELLO@UTALCA.CL</v>
          </cell>
        </row>
        <row r="254">
          <cell r="B254">
            <v>10816749</v>
          </cell>
          <cell r="C254">
            <v>1</v>
          </cell>
          <cell r="D254" t="str">
            <v>GUERRERO HERNANDEZ FERNANDO PA</v>
          </cell>
          <cell r="E254" t="str">
            <v>FAM200001</v>
          </cell>
          <cell r="F254">
            <v>22</v>
          </cell>
          <cell r="G254">
            <v>30</v>
          </cell>
          <cell r="H254" t="str">
            <v>FGUERRERO@UTALCA.CL</v>
          </cell>
        </row>
        <row r="255">
          <cell r="B255">
            <v>10824933</v>
          </cell>
          <cell r="C255">
            <v>1</v>
          </cell>
          <cell r="D255" t="str">
            <v>SOTO POBLETE ALEX EDUARDO</v>
          </cell>
          <cell r="E255" t="str">
            <v>IMF300001</v>
          </cell>
          <cell r="F255">
            <v>44</v>
          </cell>
          <cell r="G255">
            <v>30</v>
          </cell>
          <cell r="H255" t="str">
            <v>ALSOTO@UTALCA.CL</v>
          </cell>
        </row>
        <row r="256">
          <cell r="B256">
            <v>10832330</v>
          </cell>
          <cell r="C256">
            <v>2</v>
          </cell>
          <cell r="D256" t="str">
            <v>SAAVEDRA ROJAS JUAN GABRIEL</v>
          </cell>
          <cell r="E256" t="str">
            <v>ADC024006</v>
          </cell>
          <cell r="F256">
            <v>44</v>
          </cell>
          <cell r="G256">
            <v>30</v>
          </cell>
          <cell r="H256" t="str">
            <v>JUSAAVEDRA@UTALCA.CL</v>
          </cell>
        </row>
        <row r="257">
          <cell r="B257">
            <v>10858524</v>
          </cell>
          <cell r="C257">
            <v>2</v>
          </cell>
          <cell r="D257" t="str">
            <v>ACEVEDO OPAZO CESAR ANTONIO</v>
          </cell>
          <cell r="E257" t="str">
            <v>FCA320003</v>
          </cell>
          <cell r="F257">
            <v>44</v>
          </cell>
          <cell r="G257">
            <v>30</v>
          </cell>
          <cell r="H257" t="str">
            <v>CACEVEDO@UTALCA.CL</v>
          </cell>
        </row>
        <row r="258">
          <cell r="B258">
            <v>10858537</v>
          </cell>
          <cell r="C258">
            <v>4</v>
          </cell>
          <cell r="D258" t="str">
            <v>ACEVEDO VASQUEZ PAOLA ERMELIND</v>
          </cell>
          <cell r="E258" t="str">
            <v>VRF400004</v>
          </cell>
          <cell r="F258">
            <v>44</v>
          </cell>
          <cell r="G258">
            <v>30</v>
          </cell>
          <cell r="H258" t="str">
            <v>PAOACEVEDO@UTALCA.CL</v>
          </cell>
        </row>
        <row r="259">
          <cell r="B259">
            <v>10858734</v>
          </cell>
          <cell r="C259">
            <v>2</v>
          </cell>
          <cell r="D259" t="str">
            <v>VEGA SANTANDER ALEJANDRO MARCO</v>
          </cell>
          <cell r="E259" t="str">
            <v>ICB300001</v>
          </cell>
          <cell r="F259">
            <v>44</v>
          </cell>
          <cell r="G259">
            <v>30</v>
          </cell>
          <cell r="H259" t="str">
            <v>AVEGA@UTALCA.CL</v>
          </cell>
        </row>
        <row r="260">
          <cell r="B260">
            <v>10861746</v>
          </cell>
          <cell r="C260">
            <v>2</v>
          </cell>
          <cell r="D260" t="str">
            <v>NAVARRETE ALBORNOZ MARIA ADELA</v>
          </cell>
          <cell r="E260" t="str">
            <v/>
          </cell>
          <cell r="F260">
            <v>37</v>
          </cell>
          <cell r="G260">
            <v>30</v>
          </cell>
          <cell r="H260" t="str">
            <v>MNAVARRETE@UTALCA.CL</v>
          </cell>
        </row>
        <row r="261">
          <cell r="B261">
            <v>10868002</v>
          </cell>
          <cell r="C261">
            <v>4</v>
          </cell>
          <cell r="D261" t="str">
            <v>SEPULVEDA YEVENES CECILIA ALEJ</v>
          </cell>
          <cell r="E261" t="str">
            <v>ICB300001</v>
          </cell>
          <cell r="F261">
            <v>44</v>
          </cell>
          <cell r="G261">
            <v>30</v>
          </cell>
          <cell r="H261" t="str">
            <v>CSEPULVE@UTALCA.CL</v>
          </cell>
        </row>
        <row r="262">
          <cell r="B262">
            <v>10885251</v>
          </cell>
          <cell r="C262">
            <v>8</v>
          </cell>
          <cell r="D262" t="str">
            <v>DEL CAMPO HITSCHFELD MARIA LUI</v>
          </cell>
          <cell r="E262" t="str">
            <v>FCI320005</v>
          </cell>
          <cell r="F262">
            <v>44</v>
          </cell>
          <cell r="G262">
            <v>30</v>
          </cell>
          <cell r="H262" t="str">
            <v>MDELCAMPO@UTALCA.CL</v>
          </cell>
        </row>
        <row r="263">
          <cell r="B263">
            <v>10902914</v>
          </cell>
          <cell r="C263">
            <v>9</v>
          </cell>
          <cell r="D263" t="str">
            <v>FUENTES DIAZ OMAR FERNANDO</v>
          </cell>
          <cell r="E263" t="str">
            <v>FCS320012</v>
          </cell>
          <cell r="F263">
            <v>44</v>
          </cell>
          <cell r="G263">
            <v>30</v>
          </cell>
          <cell r="H263" t="str">
            <v>OMFUENTES@UTALCA.CL</v>
          </cell>
        </row>
        <row r="264">
          <cell r="B264">
            <v>10913451</v>
          </cell>
          <cell r="C264">
            <v>1</v>
          </cell>
          <cell r="D264" t="str">
            <v>BROWN VEGA NELSON ENRIQUE</v>
          </cell>
          <cell r="E264" t="str">
            <v>FAM320001</v>
          </cell>
          <cell r="F264">
            <v>44</v>
          </cell>
          <cell r="G264">
            <v>30</v>
          </cell>
          <cell r="H264" t="str">
            <v>NBROWN@UTALCA.CL</v>
          </cell>
        </row>
        <row r="265">
          <cell r="B265">
            <v>10918864</v>
          </cell>
          <cell r="C265">
            <v>6</v>
          </cell>
          <cell r="D265" t="str">
            <v>ORTIZ ESPINOZA PAOLA CECILIA</v>
          </cell>
          <cell r="E265" t="str">
            <v>VGE400021</v>
          </cell>
          <cell r="F265">
            <v>44</v>
          </cell>
          <cell r="G265">
            <v>30</v>
          </cell>
          <cell r="H265" t="str">
            <v>PAORTIZ@UTALCA.CL</v>
          </cell>
        </row>
        <row r="266">
          <cell r="B266">
            <v>10928155</v>
          </cell>
          <cell r="C266">
            <v>7</v>
          </cell>
          <cell r="D266" t="str">
            <v>VERDUGO ALEGRIA CLAUDIO SEBAST</v>
          </cell>
          <cell r="E266" t="str">
            <v/>
          </cell>
          <cell r="F266">
            <v>44</v>
          </cell>
          <cell r="G266">
            <v>30</v>
          </cell>
          <cell r="H266" t="str">
            <v>CVERDUGO@UTALCA.CL</v>
          </cell>
        </row>
        <row r="267">
          <cell r="B267">
            <v>10928226</v>
          </cell>
          <cell r="C267" t="str">
            <v>K</v>
          </cell>
          <cell r="D267" t="str">
            <v>ROJAS ALBORNOZ RENE IGNACIO</v>
          </cell>
          <cell r="E267" t="str">
            <v>VGE400051</v>
          </cell>
          <cell r="F267">
            <v>44</v>
          </cell>
          <cell r="G267">
            <v>30</v>
          </cell>
          <cell r="H267" t="str">
            <v>RROJAS@UTALCA.CL</v>
          </cell>
        </row>
        <row r="268">
          <cell r="B268">
            <v>10947882</v>
          </cell>
          <cell r="C268">
            <v>2</v>
          </cell>
          <cell r="D268" t="str">
            <v>POBLETE GUERRERO PAOLA ALEJAND</v>
          </cell>
          <cell r="E268" t="str">
            <v>VAC400100</v>
          </cell>
          <cell r="F268">
            <v>44</v>
          </cell>
          <cell r="G268">
            <v>30</v>
          </cell>
          <cell r="H268" t="str">
            <v>PAOLAPOBLETE@UTALCA.CL</v>
          </cell>
        </row>
        <row r="269">
          <cell r="B269">
            <v>10959102</v>
          </cell>
          <cell r="C269">
            <v>5</v>
          </cell>
          <cell r="D269" t="str">
            <v>MARTINEZ GARCIA GONZALO JAVIER</v>
          </cell>
          <cell r="E269" t="str">
            <v>FAD310004</v>
          </cell>
          <cell r="F269">
            <v>44</v>
          </cell>
          <cell r="G269">
            <v>30</v>
          </cell>
          <cell r="H269" t="str">
            <v>GMARTINEZ@UTALCA.CL</v>
          </cell>
        </row>
        <row r="270">
          <cell r="B270">
            <v>10960782</v>
          </cell>
          <cell r="C270">
            <v>7</v>
          </cell>
          <cell r="D270" t="str">
            <v>LOPEZ LASTRA LEOPOLDO PATRICIO</v>
          </cell>
          <cell r="E270" t="str">
            <v>FEN310002</v>
          </cell>
          <cell r="F270">
            <v>44</v>
          </cell>
          <cell r="G270">
            <v>30</v>
          </cell>
          <cell r="H270" t="str">
            <v>LLOPEZ@UTALCA.CL</v>
          </cell>
        </row>
        <row r="271">
          <cell r="B271">
            <v>10974718</v>
          </cell>
          <cell r="C271">
            <v>1</v>
          </cell>
          <cell r="D271" t="str">
            <v>CASTRO CORNEJO PATRICIA DEL RO</v>
          </cell>
          <cell r="E271" t="str">
            <v>FCS310004</v>
          </cell>
          <cell r="F271">
            <v>44</v>
          </cell>
          <cell r="G271">
            <v>30</v>
          </cell>
          <cell r="H271" t="str">
            <v>PCASTRO@UTALCA.CL</v>
          </cell>
        </row>
        <row r="272">
          <cell r="B272">
            <v>10983456</v>
          </cell>
          <cell r="C272">
            <v>4</v>
          </cell>
          <cell r="D272" t="str">
            <v>KREITHER OLIVARES JOHANNA MARG</v>
          </cell>
          <cell r="E272" t="str">
            <v>FPS200001</v>
          </cell>
          <cell r="F272">
            <v>44</v>
          </cell>
          <cell r="G272">
            <v>27</v>
          </cell>
          <cell r="H272" t="str">
            <v>JKREITHER@UTALCA.CL</v>
          </cell>
        </row>
        <row r="273">
          <cell r="B273">
            <v>10993378</v>
          </cell>
          <cell r="C273">
            <v>3</v>
          </cell>
          <cell r="D273" t="str">
            <v>ALARCON LOZANO MARCELO ALEJAND</v>
          </cell>
          <cell r="E273" t="str">
            <v>FCS320001</v>
          </cell>
          <cell r="F273">
            <v>44</v>
          </cell>
          <cell r="G273">
            <v>30</v>
          </cell>
          <cell r="H273" t="str">
            <v>MALARCON@UTALCA.CL</v>
          </cell>
        </row>
        <row r="274">
          <cell r="B274">
            <v>10994838</v>
          </cell>
          <cell r="C274">
            <v>1</v>
          </cell>
          <cell r="D274" t="str">
            <v>ZEPEDA RAMIREZ MARION FABIOLA</v>
          </cell>
          <cell r="E274" t="str">
            <v>VRF400008</v>
          </cell>
          <cell r="F274">
            <v>44</v>
          </cell>
          <cell r="G274">
            <v>30</v>
          </cell>
          <cell r="H274" t="str">
            <v>MARION.ZEPEDA@UTALCA.CL</v>
          </cell>
        </row>
        <row r="275">
          <cell r="B275">
            <v>10995548</v>
          </cell>
          <cell r="C275">
            <v>5</v>
          </cell>
          <cell r="D275" t="str">
            <v>FERREIRA CAMPOS ROBERTO ANDRES</v>
          </cell>
          <cell r="E275" t="str">
            <v>FED310002</v>
          </cell>
          <cell r="F275">
            <v>44</v>
          </cell>
          <cell r="G275">
            <v>30</v>
          </cell>
          <cell r="H275" t="str">
            <v>ROBERTO.FERREIRA@UTALCA.CL</v>
          </cell>
        </row>
        <row r="276">
          <cell r="B276">
            <v>10997450</v>
          </cell>
          <cell r="C276">
            <v>1</v>
          </cell>
          <cell r="D276" t="str">
            <v>ACUÑA SAN MARTIN MARCELA YANET</v>
          </cell>
          <cell r="E276" t="str">
            <v>FCJ320002</v>
          </cell>
          <cell r="F276">
            <v>44</v>
          </cell>
          <cell r="G276">
            <v>30</v>
          </cell>
          <cell r="H276" t="str">
            <v>ACUNASM@UTALCA.CL</v>
          </cell>
        </row>
        <row r="277">
          <cell r="B277">
            <v>11032140</v>
          </cell>
          <cell r="C277">
            <v>6</v>
          </cell>
          <cell r="D277" t="str">
            <v>DAVIS TOLEDO GISELLE ANDREA</v>
          </cell>
          <cell r="E277" t="str">
            <v>FCS320003</v>
          </cell>
          <cell r="F277">
            <v>44</v>
          </cell>
          <cell r="G277">
            <v>30</v>
          </cell>
          <cell r="H277" t="str">
            <v>GDAVIS@UTALCA.CL</v>
          </cell>
        </row>
        <row r="278">
          <cell r="B278">
            <v>11072025</v>
          </cell>
          <cell r="C278">
            <v>4</v>
          </cell>
          <cell r="D278" t="str">
            <v>RODRIGUEZ RODRIGUEZ MARGARITA</v>
          </cell>
          <cell r="E278" t="str">
            <v>VAC400001</v>
          </cell>
          <cell r="F278">
            <v>44</v>
          </cell>
          <cell r="G278">
            <v>30</v>
          </cell>
          <cell r="H278" t="str">
            <v>MRODRIG@UTALCA.CL</v>
          </cell>
        </row>
        <row r="279">
          <cell r="B279">
            <v>11130062</v>
          </cell>
          <cell r="C279">
            <v>3</v>
          </cell>
          <cell r="D279" t="str">
            <v>NOVOA FLORES ULISES FROMENTINO</v>
          </cell>
          <cell r="E279" t="str">
            <v>FCS320007</v>
          </cell>
          <cell r="F279">
            <v>44</v>
          </cell>
          <cell r="G279">
            <v>30</v>
          </cell>
          <cell r="H279" t="str">
            <v>UNOVOA@UTALCA.CL</v>
          </cell>
        </row>
        <row r="280">
          <cell r="B280">
            <v>11232593</v>
          </cell>
          <cell r="C280" t="str">
            <v>K</v>
          </cell>
          <cell r="D280" t="str">
            <v>SOTO PONCE JUDITH VERONICA</v>
          </cell>
          <cell r="E280" t="str">
            <v>ADC022001</v>
          </cell>
          <cell r="F280">
            <v>44</v>
          </cell>
          <cell r="G280">
            <v>30</v>
          </cell>
          <cell r="H280" t="str">
            <v>JUSOTO@UTALCA.CL</v>
          </cell>
        </row>
        <row r="281">
          <cell r="B281">
            <v>11285064</v>
          </cell>
          <cell r="C281">
            <v>3</v>
          </cell>
          <cell r="D281" t="str">
            <v>BESOAIN SALAS FLORIAN SEGUNDO</v>
          </cell>
          <cell r="E281" t="str">
            <v>VGE400012</v>
          </cell>
          <cell r="F281">
            <v>44</v>
          </cell>
          <cell r="G281">
            <v>30</v>
          </cell>
          <cell r="H281" t="str">
            <v>FLBESOAIN@UTALCA.CL</v>
          </cell>
        </row>
        <row r="282">
          <cell r="B282">
            <v>11288477</v>
          </cell>
          <cell r="C282">
            <v>7</v>
          </cell>
          <cell r="D282" t="str">
            <v>ALVEAR VEGA SANDRA JACQUELINNE</v>
          </cell>
          <cell r="E282" t="str">
            <v>FEN310004</v>
          </cell>
          <cell r="F282">
            <v>44</v>
          </cell>
          <cell r="G282">
            <v>30</v>
          </cell>
          <cell r="H282" t="str">
            <v>SALVEAR@UTALCA.CL</v>
          </cell>
        </row>
        <row r="283">
          <cell r="B283">
            <v>11312321</v>
          </cell>
          <cell r="C283">
            <v>4</v>
          </cell>
          <cell r="D283" t="str">
            <v>AMARO GAJARDO JOSE FRANCISCO</v>
          </cell>
          <cell r="E283" t="str">
            <v/>
          </cell>
          <cell r="F283">
            <v>44</v>
          </cell>
          <cell r="G283">
            <v>30</v>
          </cell>
          <cell r="H283" t="str">
            <v>JOAMARO@UTALCA.CL</v>
          </cell>
        </row>
        <row r="284">
          <cell r="B284">
            <v>11319042</v>
          </cell>
          <cell r="C284">
            <v>6</v>
          </cell>
          <cell r="D284" t="str">
            <v>IRIBARRA LOPEZ SANDRA CECILIA</v>
          </cell>
          <cell r="E284" t="str">
            <v/>
          </cell>
          <cell r="F284">
            <v>44</v>
          </cell>
          <cell r="G284">
            <v>30</v>
          </cell>
          <cell r="H284" t="str">
            <v>SANDRA.IRRIBARRA@UTALCA.CL</v>
          </cell>
        </row>
        <row r="285">
          <cell r="B285">
            <v>11320798</v>
          </cell>
          <cell r="C285">
            <v>1</v>
          </cell>
          <cell r="D285" t="str">
            <v>CABALLERO VERDUGO MARIA DE LA</v>
          </cell>
          <cell r="E285" t="str">
            <v>VRF400008</v>
          </cell>
          <cell r="F285">
            <v>44</v>
          </cell>
          <cell r="G285">
            <v>30</v>
          </cell>
          <cell r="H285" t="str">
            <v>MACABALLERO@UTALCA.CL</v>
          </cell>
        </row>
        <row r="286">
          <cell r="B286">
            <v>11321460</v>
          </cell>
          <cell r="C286">
            <v>0</v>
          </cell>
          <cell r="D286" t="str">
            <v>LOPEZ ROJAS IVONNE KARINA</v>
          </cell>
          <cell r="E286" t="str">
            <v>FOD350001</v>
          </cell>
          <cell r="F286">
            <v>44</v>
          </cell>
          <cell r="G286">
            <v>30</v>
          </cell>
          <cell r="H286" t="str">
            <v>ILOPEZ@UTALCA.CL</v>
          </cell>
        </row>
        <row r="287">
          <cell r="B287">
            <v>11321531</v>
          </cell>
          <cell r="C287">
            <v>3</v>
          </cell>
          <cell r="D287" t="str">
            <v>MUÑOZ MORALES CRISTIAN MARCELO</v>
          </cell>
          <cell r="E287" t="str">
            <v>FCA320003</v>
          </cell>
          <cell r="F287">
            <v>44</v>
          </cell>
          <cell r="G287">
            <v>30</v>
          </cell>
          <cell r="H287" t="str">
            <v>CMUNOZ@UTALCA.CL</v>
          </cell>
        </row>
        <row r="288">
          <cell r="B288">
            <v>11371109</v>
          </cell>
          <cell r="C288">
            <v>4</v>
          </cell>
          <cell r="D288" t="str">
            <v>CALDERON ACOSTA MARIANYELA PAO</v>
          </cell>
          <cell r="E288" t="str">
            <v>FAM340001</v>
          </cell>
          <cell r="F288">
            <v>44</v>
          </cell>
          <cell r="G288">
            <v>30</v>
          </cell>
          <cell r="H288" t="str">
            <v>MARIANYELA.CALDERON@UTALCA.CL</v>
          </cell>
        </row>
        <row r="289">
          <cell r="B289">
            <v>11372633</v>
          </cell>
          <cell r="C289">
            <v>4</v>
          </cell>
          <cell r="D289" t="str">
            <v>CONTRERAS PICARD CARMEN GLORIA</v>
          </cell>
          <cell r="E289" t="str">
            <v/>
          </cell>
          <cell r="F289">
            <v>44</v>
          </cell>
          <cell r="G289">
            <v>30</v>
          </cell>
          <cell r="H289" t="str">
            <v>CARMEN.CONTRERAS@UTALCA.CL</v>
          </cell>
        </row>
        <row r="290">
          <cell r="B290">
            <v>11372664</v>
          </cell>
          <cell r="C290">
            <v>4</v>
          </cell>
          <cell r="D290" t="str">
            <v>ARANEDA DIAZ JAIME EMILIO</v>
          </cell>
          <cell r="E290" t="str">
            <v>VGE400004</v>
          </cell>
          <cell r="F290">
            <v>44</v>
          </cell>
          <cell r="G290">
            <v>30</v>
          </cell>
          <cell r="H290" t="str">
            <v>JARANEDA@UTALCA.CL</v>
          </cell>
        </row>
        <row r="291">
          <cell r="B291">
            <v>11372777</v>
          </cell>
          <cell r="C291">
            <v>2</v>
          </cell>
          <cell r="D291" t="str">
            <v>LARA LARA JIMENA DE LAS MERCED</v>
          </cell>
          <cell r="E291" t="str">
            <v>FCS320002</v>
          </cell>
          <cell r="F291">
            <v>44</v>
          </cell>
          <cell r="G291">
            <v>30</v>
          </cell>
          <cell r="H291" t="str">
            <v>JILARA@UTALCA.CL</v>
          </cell>
        </row>
        <row r="292">
          <cell r="B292">
            <v>11373412</v>
          </cell>
          <cell r="C292">
            <v>4</v>
          </cell>
          <cell r="D292" t="str">
            <v>CARREÑO FLORES CARMEN LUZ</v>
          </cell>
          <cell r="E292" t="str">
            <v>FEN310001</v>
          </cell>
          <cell r="F292">
            <v>44</v>
          </cell>
          <cell r="G292">
            <v>30</v>
          </cell>
          <cell r="H292" t="str">
            <v>CCARRENO@UTALCA.CL</v>
          </cell>
        </row>
        <row r="293">
          <cell r="B293">
            <v>11438432</v>
          </cell>
          <cell r="C293">
            <v>1</v>
          </cell>
          <cell r="D293" t="str">
            <v>NUÑEZ VELIZ SALADINO DEL CARME</v>
          </cell>
          <cell r="E293" t="str">
            <v>VGE400051</v>
          </cell>
          <cell r="F293">
            <v>44</v>
          </cell>
          <cell r="G293">
            <v>30</v>
          </cell>
          <cell r="H293" t="str">
            <v>SANUNEZ@UTALCA.CL</v>
          </cell>
        </row>
        <row r="294">
          <cell r="B294">
            <v>11438449</v>
          </cell>
          <cell r="C294">
            <v>6</v>
          </cell>
          <cell r="D294" t="str">
            <v>BALMACEDA ROJAS CAROLINA DEL P</v>
          </cell>
          <cell r="E294" t="str">
            <v>FEN310001</v>
          </cell>
          <cell r="F294">
            <v>44</v>
          </cell>
          <cell r="G294">
            <v>30</v>
          </cell>
          <cell r="H294" t="str">
            <v>CBALMACEDA@UTALCA.CL</v>
          </cell>
        </row>
        <row r="295">
          <cell r="B295">
            <v>11442273</v>
          </cell>
          <cell r="C295">
            <v>8</v>
          </cell>
          <cell r="D295" t="str">
            <v>VILLALOBOS BUENO CAROLINA DEL</v>
          </cell>
          <cell r="E295" t="str">
            <v>FOD350001</v>
          </cell>
          <cell r="F295">
            <v>44</v>
          </cell>
          <cell r="G295">
            <v>30</v>
          </cell>
          <cell r="H295" t="str">
            <v>CVILLALO@UTALCA.CL</v>
          </cell>
        </row>
        <row r="296">
          <cell r="B296">
            <v>11457464</v>
          </cell>
          <cell r="C296">
            <v>3</v>
          </cell>
          <cell r="D296" t="str">
            <v>ROJAS VILLAGRA GLORIA VERONICA</v>
          </cell>
          <cell r="E296" t="str">
            <v>FOD350001</v>
          </cell>
          <cell r="F296">
            <v>44</v>
          </cell>
          <cell r="G296">
            <v>30</v>
          </cell>
          <cell r="H296" t="str">
            <v>GLOROJAS@UTALCA.CL</v>
          </cell>
        </row>
        <row r="297">
          <cell r="B297">
            <v>11469436</v>
          </cell>
          <cell r="C297">
            <v>3</v>
          </cell>
          <cell r="D297" t="str">
            <v>BLANCO OLIVARES CARMEN GLORIA</v>
          </cell>
          <cell r="E297" t="str">
            <v>FAM310001</v>
          </cell>
          <cell r="F297">
            <v>44</v>
          </cell>
          <cell r="G297">
            <v>30</v>
          </cell>
          <cell r="H297" t="str">
            <v>CBLANCO@UTALCA.CL</v>
          </cell>
        </row>
        <row r="298">
          <cell r="B298">
            <v>11506355</v>
          </cell>
          <cell r="C298">
            <v>3</v>
          </cell>
          <cell r="D298" t="str">
            <v>CASTILLO GUEVARA RAMON DANIEL</v>
          </cell>
          <cell r="E298" t="str">
            <v>FPS200001</v>
          </cell>
          <cell r="F298">
            <v>44</v>
          </cell>
          <cell r="G298">
            <v>30</v>
          </cell>
          <cell r="H298" t="str">
            <v>RACASTILLO@UTALCA.CL</v>
          </cell>
        </row>
        <row r="299">
          <cell r="B299">
            <v>11530785</v>
          </cell>
          <cell r="C299">
            <v>1</v>
          </cell>
          <cell r="D299" t="str">
            <v>OYARZUN FUENTES MARITZA ELENA</v>
          </cell>
          <cell r="E299" t="str">
            <v>ADC022001</v>
          </cell>
          <cell r="F299">
            <v>44</v>
          </cell>
          <cell r="G299">
            <v>30</v>
          </cell>
          <cell r="H299" t="str">
            <v>MARITZA.OYARZUN@UTALCA.CL</v>
          </cell>
        </row>
        <row r="300">
          <cell r="B300">
            <v>11556033</v>
          </cell>
          <cell r="C300">
            <v>6</v>
          </cell>
          <cell r="D300" t="str">
            <v>MARAMBIO SILVA ALIRO ANTONIO</v>
          </cell>
          <cell r="E300" t="str">
            <v>VGE400050</v>
          </cell>
          <cell r="F300">
            <v>44</v>
          </cell>
          <cell r="G300">
            <v>30</v>
          </cell>
          <cell r="H300" t="str">
            <v>AMARAMBIO@UTALCA.CL</v>
          </cell>
        </row>
        <row r="301">
          <cell r="B301">
            <v>11634453</v>
          </cell>
          <cell r="C301" t="str">
            <v>K</v>
          </cell>
          <cell r="D301" t="str">
            <v>VERGARA CEBALLOS FABIOLA ESTER</v>
          </cell>
          <cell r="E301" t="str">
            <v>FCJ320002</v>
          </cell>
          <cell r="F301">
            <v>44</v>
          </cell>
          <cell r="G301">
            <v>30</v>
          </cell>
          <cell r="H301" t="str">
            <v>FABVERGARA@UTALCA.CL</v>
          </cell>
        </row>
        <row r="302">
          <cell r="B302">
            <v>11641339</v>
          </cell>
          <cell r="C302">
            <v>6</v>
          </cell>
          <cell r="D302" t="str">
            <v>VON SCHULTZENDORFF HOYL BEATRI</v>
          </cell>
          <cell r="E302" t="str">
            <v>FED310003</v>
          </cell>
          <cell r="F302">
            <v>35</v>
          </cell>
          <cell r="G302">
            <v>30</v>
          </cell>
          <cell r="H302" t="str">
            <v>ANDREA.VONSCH@UTALCA.CL</v>
          </cell>
        </row>
        <row r="303">
          <cell r="B303">
            <v>11648291</v>
          </cell>
          <cell r="C303">
            <v>6</v>
          </cell>
          <cell r="D303" t="str">
            <v>PINO VASQUEZ PAULA ANDREA</v>
          </cell>
          <cell r="E303" t="str">
            <v>FOD320003</v>
          </cell>
          <cell r="F303">
            <v>8</v>
          </cell>
          <cell r="G303">
            <v>30</v>
          </cell>
          <cell r="H303" t="str">
            <v>PPINO@UTALCA.CL</v>
          </cell>
        </row>
        <row r="304">
          <cell r="B304">
            <v>11669551</v>
          </cell>
          <cell r="C304">
            <v>0</v>
          </cell>
          <cell r="D304" t="str">
            <v>ARAVENA ARANDA CLAUDIO RENE</v>
          </cell>
          <cell r="E304" t="str">
            <v>FCI320002</v>
          </cell>
          <cell r="F304">
            <v>22</v>
          </cell>
          <cell r="G304">
            <v>30</v>
          </cell>
          <cell r="H304" t="str">
            <v>CLARAVENA@UTALCA.CL</v>
          </cell>
        </row>
        <row r="305">
          <cell r="B305">
            <v>11674247</v>
          </cell>
          <cell r="C305">
            <v>0</v>
          </cell>
          <cell r="D305" t="str">
            <v>BRIONES GONZALEZ MARCELA DEL P</v>
          </cell>
          <cell r="E305" t="str">
            <v>VRF400063</v>
          </cell>
          <cell r="F305">
            <v>44</v>
          </cell>
          <cell r="G305">
            <v>30</v>
          </cell>
          <cell r="H305" t="str">
            <v>MBRIONES@UTALCA.CL</v>
          </cell>
        </row>
        <row r="306">
          <cell r="B306">
            <v>11674523</v>
          </cell>
          <cell r="C306">
            <v>2</v>
          </cell>
          <cell r="D306" t="str">
            <v>GUTIERREZ URZUA MARLENE DEL RO</v>
          </cell>
          <cell r="E306" t="str">
            <v>VRF400009</v>
          </cell>
          <cell r="F306">
            <v>44</v>
          </cell>
          <cell r="G306">
            <v>30</v>
          </cell>
          <cell r="H306" t="str">
            <v>MARLGUTIERREZ@UTALCA.CL</v>
          </cell>
        </row>
        <row r="307">
          <cell r="B307">
            <v>11674790</v>
          </cell>
          <cell r="C307">
            <v>1</v>
          </cell>
          <cell r="D307" t="str">
            <v>MORENO VEAS JORGE ARTURO</v>
          </cell>
          <cell r="E307" t="str">
            <v>ICB300001</v>
          </cell>
          <cell r="F307">
            <v>44</v>
          </cell>
          <cell r="G307">
            <v>30</v>
          </cell>
          <cell r="H307" t="str">
            <v>JMORENO@UTALCA.CL</v>
          </cell>
        </row>
        <row r="308">
          <cell r="B308">
            <v>11674824</v>
          </cell>
          <cell r="C308" t="str">
            <v>K</v>
          </cell>
          <cell r="D308" t="str">
            <v>SEPULVEDA LEON ALVARO IVAN</v>
          </cell>
          <cell r="E308" t="str">
            <v>FCA600001</v>
          </cell>
          <cell r="F308">
            <v>44</v>
          </cell>
          <cell r="G308">
            <v>30</v>
          </cell>
          <cell r="H308" t="str">
            <v>ASEPULVEDA@UTALCA.CL</v>
          </cell>
        </row>
        <row r="309">
          <cell r="B309">
            <v>11675118</v>
          </cell>
          <cell r="C309">
            <v>6</v>
          </cell>
          <cell r="D309" t="str">
            <v>SALAZAR CASTILLO ISABEL ALEJAN</v>
          </cell>
          <cell r="E309" t="str">
            <v>VAC100001</v>
          </cell>
          <cell r="F309">
            <v>44</v>
          </cell>
          <cell r="G309">
            <v>30</v>
          </cell>
          <cell r="H309" t="str">
            <v>ISALAZAR@UTALCA.CL</v>
          </cell>
        </row>
        <row r="310">
          <cell r="B310">
            <v>11675234</v>
          </cell>
          <cell r="C310">
            <v>4</v>
          </cell>
          <cell r="D310" t="str">
            <v>GONZALEZ REINOSO DANIEL EDUARD</v>
          </cell>
          <cell r="E310" t="str">
            <v>FCS320007</v>
          </cell>
          <cell r="F310">
            <v>44</v>
          </cell>
          <cell r="G310">
            <v>30</v>
          </cell>
          <cell r="H310" t="str">
            <v>DAGONZALEZ@UTALCA.CL</v>
          </cell>
        </row>
        <row r="311">
          <cell r="B311">
            <v>11675278</v>
          </cell>
          <cell r="C311">
            <v>6</v>
          </cell>
          <cell r="D311" t="str">
            <v>FERRADA ROJAS NANCY FABIOLA</v>
          </cell>
          <cell r="E311" t="str">
            <v>FCS320010</v>
          </cell>
          <cell r="F311">
            <v>22</v>
          </cell>
          <cell r="G311">
            <v>30</v>
          </cell>
          <cell r="H311" t="str">
            <v>NFERRADA@UTALCA.CL</v>
          </cell>
        </row>
        <row r="312">
          <cell r="B312">
            <v>11675456</v>
          </cell>
          <cell r="C312">
            <v>8</v>
          </cell>
          <cell r="D312" t="str">
            <v>ALBORNOZ ALBORNOZ LEONARDO JOS</v>
          </cell>
          <cell r="E312" t="str">
            <v>FCI320004</v>
          </cell>
          <cell r="F312">
            <v>44</v>
          </cell>
          <cell r="G312">
            <v>30</v>
          </cell>
          <cell r="H312" t="str">
            <v>LALBORNOZ@UTALCA.CL</v>
          </cell>
        </row>
        <row r="313">
          <cell r="B313">
            <v>11675713</v>
          </cell>
          <cell r="C313">
            <v>3</v>
          </cell>
          <cell r="D313" t="str">
            <v>PARRAGUEZ ALVAREZ MONICA CAROL</v>
          </cell>
          <cell r="E313" t="str">
            <v>VGE400031</v>
          </cell>
          <cell r="F313">
            <v>44</v>
          </cell>
          <cell r="G313">
            <v>30</v>
          </cell>
          <cell r="H313" t="str">
            <v>MPARRAGUEZ@UTALCA.CL</v>
          </cell>
        </row>
        <row r="314">
          <cell r="B314">
            <v>11675886</v>
          </cell>
          <cell r="C314">
            <v>5</v>
          </cell>
          <cell r="D314" t="str">
            <v>VALDES VERGARA JIMENA</v>
          </cell>
          <cell r="E314" t="str">
            <v>FCS200001</v>
          </cell>
          <cell r="F314">
            <v>44</v>
          </cell>
          <cell r="G314">
            <v>30</v>
          </cell>
          <cell r="H314" t="str">
            <v>JVALDES@UTALCA.CL</v>
          </cell>
        </row>
        <row r="315">
          <cell r="B315">
            <v>11729069</v>
          </cell>
          <cell r="C315">
            <v>7</v>
          </cell>
          <cell r="D315" t="str">
            <v>GARCIA MONTENEGRO PEDRO JAIME</v>
          </cell>
          <cell r="E315" t="str">
            <v>FCS320010</v>
          </cell>
          <cell r="F315">
            <v>44</v>
          </cell>
          <cell r="G315">
            <v>30</v>
          </cell>
          <cell r="H315" t="str">
            <v>PGARCIA@UTALCA.CL</v>
          </cell>
        </row>
        <row r="316">
          <cell r="B316">
            <v>11744952</v>
          </cell>
          <cell r="C316">
            <v>1</v>
          </cell>
          <cell r="D316" t="str">
            <v>MORALES GARRIDO SANDRA ELENA</v>
          </cell>
          <cell r="E316" t="str">
            <v>VGE400031</v>
          </cell>
          <cell r="F316">
            <v>44</v>
          </cell>
          <cell r="G316">
            <v>30</v>
          </cell>
          <cell r="H316" t="str">
            <v>SMGARRID@UTALCA.CL</v>
          </cell>
        </row>
        <row r="317">
          <cell r="B317">
            <v>11763533</v>
          </cell>
          <cell r="C317">
            <v>3</v>
          </cell>
          <cell r="D317" t="str">
            <v>PARADA NAVARRO ALICIA DEL CARM</v>
          </cell>
          <cell r="E317" t="str">
            <v>FCS310007</v>
          </cell>
          <cell r="F317">
            <v>44</v>
          </cell>
          <cell r="G317">
            <v>30</v>
          </cell>
          <cell r="H317" t="str">
            <v>ALICIA.PARADA@UTALCA.CL</v>
          </cell>
        </row>
        <row r="318">
          <cell r="B318">
            <v>11763825</v>
          </cell>
          <cell r="C318">
            <v>1</v>
          </cell>
          <cell r="D318" t="str">
            <v>MOISAN UBILLA RODRIGO ALBERTO</v>
          </cell>
          <cell r="E318" t="str">
            <v/>
          </cell>
          <cell r="F318">
            <v>44</v>
          </cell>
          <cell r="G318">
            <v>30</v>
          </cell>
          <cell r="H318" t="str">
            <v>RMOISAN@UTALCA.CL</v>
          </cell>
        </row>
        <row r="319">
          <cell r="B319">
            <v>11764210</v>
          </cell>
          <cell r="C319">
            <v>0</v>
          </cell>
          <cell r="D319" t="str">
            <v>MORALES HERNANDEZ WILSON ELOY</v>
          </cell>
          <cell r="E319" t="str">
            <v>FCI310009</v>
          </cell>
          <cell r="F319">
            <v>44</v>
          </cell>
          <cell r="G319">
            <v>30</v>
          </cell>
          <cell r="H319" t="str">
            <v>WMORALES@UTALCA.CL</v>
          </cell>
        </row>
        <row r="320">
          <cell r="B320">
            <v>11765427</v>
          </cell>
          <cell r="C320">
            <v>3</v>
          </cell>
          <cell r="D320" t="str">
            <v>DIAZ GUZMAN MARIA DE LAS MERCE</v>
          </cell>
          <cell r="E320" t="str">
            <v>VRF400005</v>
          </cell>
          <cell r="F320">
            <v>44</v>
          </cell>
          <cell r="G320">
            <v>30</v>
          </cell>
          <cell r="H320" t="str">
            <v>MARIA.DIAZ@UTALCA.CL</v>
          </cell>
        </row>
        <row r="321">
          <cell r="B321">
            <v>11792602</v>
          </cell>
          <cell r="C321">
            <v>8</v>
          </cell>
          <cell r="D321" t="str">
            <v>ABARZUA LOPEZ SANDRA PILAR</v>
          </cell>
          <cell r="E321" t="str">
            <v>FAD310001</v>
          </cell>
          <cell r="F321">
            <v>44</v>
          </cell>
          <cell r="G321">
            <v>30</v>
          </cell>
          <cell r="H321" t="str">
            <v>SABARZUA@UTALCA.CL</v>
          </cell>
        </row>
        <row r="322">
          <cell r="B322">
            <v>11808499</v>
          </cell>
          <cell r="C322">
            <v>3</v>
          </cell>
          <cell r="D322" t="str">
            <v>FAJARDO YAÑEZ LEICHSON ALEX</v>
          </cell>
          <cell r="E322" t="str">
            <v>VAC400024</v>
          </cell>
          <cell r="F322">
            <v>44</v>
          </cell>
          <cell r="G322">
            <v>30</v>
          </cell>
          <cell r="H322" t="str">
            <v>ALEX.FAJARDO@UTALCA.CL</v>
          </cell>
        </row>
        <row r="323">
          <cell r="B323">
            <v>11839210</v>
          </cell>
          <cell r="C323">
            <v>8</v>
          </cell>
          <cell r="D323" t="str">
            <v>RUIZ-TAGLE GUTIÉRREZ IGOR ALBE</v>
          </cell>
          <cell r="E323" t="str">
            <v>FCI320007</v>
          </cell>
          <cell r="F323">
            <v>44</v>
          </cell>
          <cell r="G323">
            <v>30</v>
          </cell>
          <cell r="H323" t="str">
            <v>IGOR.RUIZTAGLE@UTALCA.CL</v>
          </cell>
        </row>
        <row r="324">
          <cell r="B324">
            <v>11840461</v>
          </cell>
          <cell r="C324">
            <v>0</v>
          </cell>
          <cell r="D324" t="str">
            <v>LORCA ALVAREZ JAVIER ANDRES</v>
          </cell>
          <cell r="E324" t="str">
            <v>FAD310002</v>
          </cell>
          <cell r="F324">
            <v>44</v>
          </cell>
          <cell r="G324">
            <v>30</v>
          </cell>
          <cell r="H324" t="str">
            <v>JLORCA@UTALCA.CL</v>
          </cell>
        </row>
        <row r="325">
          <cell r="B325">
            <v>11844484</v>
          </cell>
          <cell r="C325">
            <v>1</v>
          </cell>
          <cell r="D325" t="str">
            <v>RIVEROS GOMEZ PAOLA ALEJANDRA</v>
          </cell>
          <cell r="E325" t="str">
            <v>ADC030141</v>
          </cell>
          <cell r="F325">
            <v>44</v>
          </cell>
          <cell r="G325">
            <v>30</v>
          </cell>
          <cell r="H325" t="str">
            <v>PRIVEROS@UTALCA.CL</v>
          </cell>
        </row>
        <row r="326">
          <cell r="B326">
            <v>11859149</v>
          </cell>
          <cell r="C326">
            <v>6</v>
          </cell>
          <cell r="D326" t="str">
            <v>GALLARDO CERDA JORGE EUGENIO</v>
          </cell>
          <cell r="E326" t="str">
            <v>ICB300001</v>
          </cell>
          <cell r="F326">
            <v>22</v>
          </cell>
          <cell r="G326">
            <v>17</v>
          </cell>
          <cell r="H326" t="str">
            <v>JORGE.GALLARDO@UTALCA.CL</v>
          </cell>
        </row>
        <row r="327">
          <cell r="B327">
            <v>11876866</v>
          </cell>
          <cell r="C327">
            <v>3</v>
          </cell>
          <cell r="D327" t="str">
            <v>YAÑEZ RIVERA XIMENA DEL PILAR</v>
          </cell>
          <cell r="E327" t="str">
            <v>VGE400053</v>
          </cell>
          <cell r="F327">
            <v>44</v>
          </cell>
          <cell r="G327">
            <v>30</v>
          </cell>
          <cell r="H327" t="str">
            <v>XYANEZ@UTALCA.CL</v>
          </cell>
        </row>
        <row r="328">
          <cell r="B328">
            <v>11892252</v>
          </cell>
          <cell r="C328">
            <v>2</v>
          </cell>
          <cell r="D328" t="str">
            <v>ROJAS GONZALEZ MIRTA LIDIA</v>
          </cell>
          <cell r="E328" t="str">
            <v>FEN310004</v>
          </cell>
          <cell r="F328">
            <v>44</v>
          </cell>
          <cell r="G328">
            <v>30</v>
          </cell>
          <cell r="H328" t="str">
            <v>MIRTAROJAS@UTALCA.CL</v>
          </cell>
        </row>
        <row r="329">
          <cell r="B329">
            <v>11893439</v>
          </cell>
          <cell r="C329">
            <v>3</v>
          </cell>
          <cell r="D329" t="str">
            <v>FUENTES ABURTO JAIME ANTONIO</v>
          </cell>
          <cell r="E329" t="str">
            <v>FCS320001</v>
          </cell>
          <cell r="F329">
            <v>44</v>
          </cell>
          <cell r="G329">
            <v>30</v>
          </cell>
          <cell r="H329" t="str">
            <v>JAFUENTES@UTALCA.CL</v>
          </cell>
        </row>
        <row r="330">
          <cell r="B330">
            <v>11894280</v>
          </cell>
          <cell r="C330">
            <v>9</v>
          </cell>
          <cell r="D330" t="str">
            <v>GUTIERREZ CABRERA MARGARITA IS</v>
          </cell>
          <cell r="E330" t="str">
            <v>IQR300001</v>
          </cell>
          <cell r="F330">
            <v>44</v>
          </cell>
          <cell r="G330">
            <v>30</v>
          </cell>
          <cell r="H330" t="str">
            <v>MGUTIERREZ@UTALCA.CL</v>
          </cell>
        </row>
        <row r="331">
          <cell r="B331">
            <v>11894496</v>
          </cell>
          <cell r="C331">
            <v>8</v>
          </cell>
          <cell r="D331" t="str">
            <v>GAJARDO LOPEZ RAMIRO ANTONIO</v>
          </cell>
          <cell r="E331" t="str">
            <v>ADC022001</v>
          </cell>
          <cell r="F331">
            <v>44</v>
          </cell>
          <cell r="G331">
            <v>30</v>
          </cell>
          <cell r="H331" t="str">
            <v>RAGAJARDO@UTALCA.CL</v>
          </cell>
        </row>
        <row r="332">
          <cell r="B332">
            <v>11895002</v>
          </cell>
          <cell r="C332" t="str">
            <v>K</v>
          </cell>
          <cell r="D332" t="str">
            <v>SALGADO ROJAS GABRIELA LUCIA</v>
          </cell>
          <cell r="E332" t="str">
            <v>VRF400043</v>
          </cell>
          <cell r="F332">
            <v>44</v>
          </cell>
          <cell r="G332">
            <v>30</v>
          </cell>
          <cell r="H332" t="str">
            <v>GABRIELA.SALGADO@UTALCA.CL</v>
          </cell>
        </row>
        <row r="333">
          <cell r="B333">
            <v>11895236</v>
          </cell>
          <cell r="C333">
            <v>7</v>
          </cell>
          <cell r="D333" t="str">
            <v>SANTELICES VERGARA PAOLA ANDRE</v>
          </cell>
          <cell r="E333" t="str">
            <v>VGE400005</v>
          </cell>
          <cell r="F333">
            <v>44</v>
          </cell>
          <cell r="G333">
            <v>30</v>
          </cell>
          <cell r="H333" t="str">
            <v>PSANTELICES@UTALCA.CL</v>
          </cell>
        </row>
        <row r="334">
          <cell r="B334">
            <v>11895325</v>
          </cell>
          <cell r="C334">
            <v>8</v>
          </cell>
          <cell r="D334" t="str">
            <v>JARA GARCES CARLOS ALFONSO</v>
          </cell>
          <cell r="E334" t="str">
            <v>ADC030114</v>
          </cell>
          <cell r="F334">
            <v>44</v>
          </cell>
          <cell r="G334">
            <v>30</v>
          </cell>
          <cell r="H334" t="str">
            <v>CJARA@UTALCA.CL</v>
          </cell>
        </row>
        <row r="335">
          <cell r="B335">
            <v>11895630</v>
          </cell>
          <cell r="C335">
            <v>3</v>
          </cell>
          <cell r="D335" t="str">
            <v>GIACAMAN SARAH RODRIGO ANDRES</v>
          </cell>
          <cell r="E335" t="str">
            <v>FOD320001</v>
          </cell>
          <cell r="F335">
            <v>44</v>
          </cell>
          <cell r="G335">
            <v>30</v>
          </cell>
          <cell r="H335" t="str">
            <v>GIACAMAN@UTALCA.CL</v>
          </cell>
        </row>
        <row r="336">
          <cell r="B336">
            <v>11919599</v>
          </cell>
          <cell r="C336">
            <v>3</v>
          </cell>
          <cell r="D336" t="str">
            <v>MANRIQUEZ NOVOA PAULA ANDREA</v>
          </cell>
          <cell r="E336" t="str">
            <v>FCA320001</v>
          </cell>
          <cell r="F336">
            <v>44</v>
          </cell>
          <cell r="G336">
            <v>30</v>
          </cell>
          <cell r="H336" t="str">
            <v>PMANRIQ@UTALCA.CL</v>
          </cell>
        </row>
        <row r="337">
          <cell r="B337">
            <v>11949076</v>
          </cell>
          <cell r="C337">
            <v>6</v>
          </cell>
          <cell r="D337" t="str">
            <v>MARQUEZ BASTIAS JENNY NATALIE</v>
          </cell>
          <cell r="E337" t="str">
            <v>VDE400002</v>
          </cell>
          <cell r="F337">
            <v>44</v>
          </cell>
          <cell r="G337">
            <v>30</v>
          </cell>
          <cell r="H337" t="str">
            <v>JENNY.MARQUEZ@UTALCA.CL</v>
          </cell>
        </row>
        <row r="338">
          <cell r="B338">
            <v>11955917</v>
          </cell>
          <cell r="C338">
            <v>0</v>
          </cell>
          <cell r="D338" t="str">
            <v>OLAVE ARAVENA ALEJANDRA HORTEN</v>
          </cell>
          <cell r="E338" t="str">
            <v>VRF400020</v>
          </cell>
          <cell r="F338">
            <v>44</v>
          </cell>
          <cell r="G338">
            <v>30</v>
          </cell>
          <cell r="H338" t="str">
            <v>ALEJANDRA.OLAVE@UTALCA.CL</v>
          </cell>
        </row>
        <row r="339">
          <cell r="B339">
            <v>11962190</v>
          </cell>
          <cell r="C339">
            <v>9</v>
          </cell>
          <cell r="D339" t="str">
            <v>GONZALEZ MEJIAS GABRIEL EDUARD</v>
          </cell>
          <cell r="E339" t="str">
            <v>FED200001</v>
          </cell>
          <cell r="F339">
            <v>44</v>
          </cell>
          <cell r="G339">
            <v>30</v>
          </cell>
          <cell r="H339" t="str">
            <v>GAGONZALEZ@UTALCA.CL</v>
          </cell>
        </row>
        <row r="340">
          <cell r="B340">
            <v>11996287</v>
          </cell>
          <cell r="C340">
            <v>0</v>
          </cell>
          <cell r="D340" t="str">
            <v>DIAZ VERGARA GLORIA ANGELICA</v>
          </cell>
          <cell r="E340" t="str">
            <v>VGE100002</v>
          </cell>
          <cell r="F340">
            <v>44</v>
          </cell>
          <cell r="G340">
            <v>30</v>
          </cell>
          <cell r="H340" t="str">
            <v>GDIAZ@UTALCA.CL</v>
          </cell>
        </row>
        <row r="341">
          <cell r="B341">
            <v>11999933</v>
          </cell>
          <cell r="C341">
            <v>2</v>
          </cell>
          <cell r="D341" t="str">
            <v>VASQUEZ PALMA CAROLINA ISABEL</v>
          </cell>
          <cell r="E341" t="str">
            <v/>
          </cell>
          <cell r="F341">
            <v>22</v>
          </cell>
          <cell r="G341">
            <v>30</v>
          </cell>
          <cell r="H341" t="str">
            <v>CAVASQUEZ@UTALCA.CL</v>
          </cell>
        </row>
        <row r="342">
          <cell r="B342">
            <v>12007389</v>
          </cell>
          <cell r="C342">
            <v>3</v>
          </cell>
          <cell r="D342" t="str">
            <v>VERGARA CARMONA MARCO ANTONIO</v>
          </cell>
          <cell r="E342" t="str">
            <v>ADC024006</v>
          </cell>
          <cell r="F342">
            <v>44</v>
          </cell>
          <cell r="G342">
            <v>30</v>
          </cell>
          <cell r="H342" t="str">
            <v>MARCO.VERGARA@UTALCA.CL</v>
          </cell>
        </row>
        <row r="343">
          <cell r="B343">
            <v>12012135</v>
          </cell>
          <cell r="C343">
            <v>9</v>
          </cell>
          <cell r="D343" t="str">
            <v>ROCHA GONZALEZ EVELYN ANNET</v>
          </cell>
          <cell r="E343" t="str">
            <v>ADC014004</v>
          </cell>
          <cell r="F343">
            <v>44</v>
          </cell>
          <cell r="G343">
            <v>30</v>
          </cell>
          <cell r="H343" t="str">
            <v>EROCHA@UTALCA.CL</v>
          </cell>
        </row>
        <row r="344">
          <cell r="B344">
            <v>12038875</v>
          </cell>
          <cell r="C344">
            <v>4</v>
          </cell>
          <cell r="D344" t="str">
            <v>BRAVO PEZOA EDUARDO ENRIQUE</v>
          </cell>
          <cell r="E344" t="str">
            <v>IAM320001</v>
          </cell>
          <cell r="F344">
            <v>44</v>
          </cell>
          <cell r="G344">
            <v>30</v>
          </cell>
          <cell r="H344" t="str">
            <v>EDBRAVO@UTALCA.CL</v>
          </cell>
        </row>
        <row r="345">
          <cell r="B345">
            <v>12061865</v>
          </cell>
          <cell r="C345">
            <v>2</v>
          </cell>
          <cell r="D345" t="str">
            <v>BARROS MORALES MARCELA PAZ</v>
          </cell>
          <cell r="E345" t="str">
            <v>ADC021001</v>
          </cell>
          <cell r="F345">
            <v>44</v>
          </cell>
          <cell r="G345">
            <v>30</v>
          </cell>
          <cell r="H345" t="str">
            <v>MARCELA.BARROS@UTALCA.CL</v>
          </cell>
        </row>
        <row r="346">
          <cell r="B346">
            <v>12093133</v>
          </cell>
          <cell r="C346">
            <v>4</v>
          </cell>
          <cell r="D346" t="str">
            <v>VERDUGO LEAL JAIME ABRAHAM</v>
          </cell>
          <cell r="E346" t="str">
            <v>FED310009</v>
          </cell>
          <cell r="F346">
            <v>44</v>
          </cell>
          <cell r="G346">
            <v>30</v>
          </cell>
          <cell r="H346" t="str">
            <v>JVERDUGO@UTALCA.CL</v>
          </cell>
        </row>
        <row r="347">
          <cell r="B347">
            <v>12097508</v>
          </cell>
          <cell r="C347">
            <v>0</v>
          </cell>
          <cell r="D347" t="str">
            <v>CALDERON CONTRERAS XIMENA ALEJ</v>
          </cell>
          <cell r="E347" t="str">
            <v>VRF400008</v>
          </cell>
          <cell r="F347">
            <v>44</v>
          </cell>
          <cell r="G347">
            <v>30</v>
          </cell>
          <cell r="H347" t="str">
            <v>XCALDERON@UTALCA.CL</v>
          </cell>
        </row>
        <row r="348">
          <cell r="B348">
            <v>12109784</v>
          </cell>
          <cell r="C348">
            <v>2</v>
          </cell>
          <cell r="D348" t="str">
            <v>CAPARROS MANOSALVA CRISTIAN AL</v>
          </cell>
          <cell r="E348" t="str">
            <v>FCS320009</v>
          </cell>
          <cell r="F348">
            <v>44</v>
          </cell>
          <cell r="G348">
            <v>30</v>
          </cell>
          <cell r="H348" t="str">
            <v>CCAPARROS@UTALCA.CL</v>
          </cell>
        </row>
        <row r="349">
          <cell r="B349">
            <v>12136227</v>
          </cell>
          <cell r="C349">
            <v>9</v>
          </cell>
          <cell r="D349" t="str">
            <v>FRESNO RODRIGUEZ ANDRES</v>
          </cell>
          <cell r="E349" t="str">
            <v>FPS200001</v>
          </cell>
          <cell r="F349">
            <v>44</v>
          </cell>
          <cell r="G349">
            <v>30</v>
          </cell>
          <cell r="H349" t="str">
            <v>AFRESNO@UTALCA.CL</v>
          </cell>
        </row>
        <row r="350">
          <cell r="B350">
            <v>12146803</v>
          </cell>
          <cell r="C350">
            <v>4</v>
          </cell>
          <cell r="D350" t="str">
            <v>RUZ SAZO VICTORIA ANDREA</v>
          </cell>
          <cell r="E350" t="str">
            <v>ICB300001</v>
          </cell>
          <cell r="F350">
            <v>44</v>
          </cell>
          <cell r="G350">
            <v>30</v>
          </cell>
          <cell r="H350" t="str">
            <v>VRUZ@UTALCA.CL</v>
          </cell>
        </row>
        <row r="351">
          <cell r="B351">
            <v>12149269</v>
          </cell>
          <cell r="C351">
            <v>5</v>
          </cell>
          <cell r="D351" t="str">
            <v>CORVALÁN MORENO CARMEN GLORIA</v>
          </cell>
          <cell r="E351" t="str">
            <v>VDE400009</v>
          </cell>
          <cell r="F351">
            <v>44</v>
          </cell>
          <cell r="G351">
            <v>30</v>
          </cell>
          <cell r="H351" t="str">
            <v>CARMEN.CORVALAN@UTALCA.CL</v>
          </cell>
        </row>
        <row r="352">
          <cell r="B352">
            <v>12157620</v>
          </cell>
          <cell r="C352">
            <v>1</v>
          </cell>
          <cell r="D352" t="str">
            <v>SCHWERMANN . MARIETTA MARIA</v>
          </cell>
          <cell r="E352" t="str">
            <v>FED310003</v>
          </cell>
          <cell r="F352">
            <v>35</v>
          </cell>
          <cell r="G352">
            <v>30</v>
          </cell>
          <cell r="H352" t="str">
            <v>MSCHWERMANN@UTALCA.CL</v>
          </cell>
        </row>
        <row r="353">
          <cell r="B353">
            <v>12159402</v>
          </cell>
          <cell r="C353">
            <v>1</v>
          </cell>
          <cell r="D353" t="str">
            <v>ZAMBRANO BRAVO CARMEN GLORIA</v>
          </cell>
          <cell r="E353" t="str">
            <v>FCS320009</v>
          </cell>
          <cell r="F353">
            <v>44</v>
          </cell>
          <cell r="G353">
            <v>30</v>
          </cell>
          <cell r="H353" t="str">
            <v>CZAMBRANO@UTALCA.CL</v>
          </cell>
        </row>
        <row r="354">
          <cell r="B354">
            <v>12184834</v>
          </cell>
          <cell r="C354">
            <v>1</v>
          </cell>
          <cell r="D354" t="str">
            <v>ARELLANO TEJOS PAMELA ERIKA</v>
          </cell>
          <cell r="E354" t="str">
            <v>FCJ340001</v>
          </cell>
          <cell r="F354">
            <v>44</v>
          </cell>
          <cell r="G354">
            <v>30</v>
          </cell>
          <cell r="H354" t="str">
            <v>PARELLANO@UTALCA.CL</v>
          </cell>
        </row>
        <row r="355">
          <cell r="B355">
            <v>12196828</v>
          </cell>
          <cell r="C355">
            <v>2</v>
          </cell>
          <cell r="D355" t="str">
            <v>PINO BECERRA MARIA ANGELICA</v>
          </cell>
          <cell r="E355" t="str">
            <v>ADC030114</v>
          </cell>
          <cell r="F355">
            <v>44</v>
          </cell>
          <cell r="G355">
            <v>30</v>
          </cell>
          <cell r="H355" t="str">
            <v>MPINO@UTALCA.CL</v>
          </cell>
        </row>
        <row r="356">
          <cell r="B356">
            <v>12231738</v>
          </cell>
          <cell r="C356">
            <v>2</v>
          </cell>
          <cell r="D356" t="str">
            <v>MALDONADO FUENTES NESTOR FRANC</v>
          </cell>
          <cell r="E356" t="str">
            <v>FCJ320001</v>
          </cell>
          <cell r="F356">
            <v>44</v>
          </cell>
          <cell r="G356">
            <v>30</v>
          </cell>
          <cell r="H356" t="str">
            <v>FRMALDONADO@UTALCA.CL</v>
          </cell>
        </row>
        <row r="357">
          <cell r="B357">
            <v>12231968</v>
          </cell>
          <cell r="C357">
            <v>7</v>
          </cell>
          <cell r="D357" t="str">
            <v>BRAVO CAVICCHIOLI DANIEL ANDRE</v>
          </cell>
          <cell r="E357" t="str">
            <v>FOD320001</v>
          </cell>
          <cell r="F357">
            <v>18</v>
          </cell>
          <cell r="G357">
            <v>30</v>
          </cell>
          <cell r="H357" t="str">
            <v>DBRAVO@UTALCA.CL</v>
          </cell>
        </row>
        <row r="358">
          <cell r="B358">
            <v>12244227</v>
          </cell>
          <cell r="C358">
            <v>6</v>
          </cell>
          <cell r="D358" t="str">
            <v>LORCA VELOSO MAURICIO</v>
          </cell>
          <cell r="E358" t="str">
            <v>IAM300001</v>
          </cell>
          <cell r="F358">
            <v>44</v>
          </cell>
          <cell r="G358">
            <v>30</v>
          </cell>
          <cell r="H358" t="str">
            <v>MAURICO.LORCA@UTALCA.CL</v>
          </cell>
        </row>
        <row r="359">
          <cell r="B359">
            <v>12261268</v>
          </cell>
          <cell r="C359">
            <v>6</v>
          </cell>
          <cell r="D359" t="str">
            <v>BRIONES TORO MANUEL ANTONIO</v>
          </cell>
          <cell r="E359" t="str">
            <v>ADC030141</v>
          </cell>
          <cell r="F359">
            <v>44</v>
          </cell>
          <cell r="G359">
            <v>30</v>
          </cell>
          <cell r="H359" t="str">
            <v>MABRIONES@UTALCA.CL</v>
          </cell>
        </row>
        <row r="360">
          <cell r="B360">
            <v>12264403</v>
          </cell>
          <cell r="C360">
            <v>0</v>
          </cell>
          <cell r="D360" t="str">
            <v>VIVANCO CEPPI KATINA</v>
          </cell>
          <cell r="E360" t="str">
            <v>IAM320001</v>
          </cell>
          <cell r="F360">
            <v>44</v>
          </cell>
          <cell r="G360">
            <v>30</v>
          </cell>
          <cell r="H360" t="str">
            <v>KVIVANCO@UTALCA.CL</v>
          </cell>
        </row>
        <row r="361">
          <cell r="B361">
            <v>12275683</v>
          </cell>
          <cell r="C361">
            <v>1</v>
          </cell>
          <cell r="D361" t="str">
            <v>YAÑEZ CHAVEZ MONICA LORETO</v>
          </cell>
          <cell r="E361" t="str">
            <v>ICB300001</v>
          </cell>
          <cell r="F361">
            <v>44</v>
          </cell>
          <cell r="G361">
            <v>30</v>
          </cell>
          <cell r="H361" t="str">
            <v>MYANEZC@UTALCA.CL</v>
          </cell>
        </row>
        <row r="362">
          <cell r="B362">
            <v>12277911</v>
          </cell>
          <cell r="C362">
            <v>4</v>
          </cell>
          <cell r="D362" t="str">
            <v>ALFARO MORALES PAULINA MARIA</v>
          </cell>
          <cell r="E362" t="str">
            <v>VDE400009</v>
          </cell>
          <cell r="F362">
            <v>33</v>
          </cell>
          <cell r="G362">
            <v>30</v>
          </cell>
          <cell r="H362" t="str">
            <v>PAULINA.ALFARO@UTALCA.CL</v>
          </cell>
        </row>
        <row r="363">
          <cell r="B363">
            <v>12279898</v>
          </cell>
          <cell r="C363">
            <v>4</v>
          </cell>
          <cell r="D363" t="str">
            <v>SOTO PEREZ MARIELA ANTONIETA</v>
          </cell>
          <cell r="E363" t="str">
            <v>ADC030140</v>
          </cell>
          <cell r="F363">
            <v>44</v>
          </cell>
          <cell r="G363">
            <v>30</v>
          </cell>
          <cell r="H363" t="str">
            <v>MARSOTO@UTALCA.CL</v>
          </cell>
        </row>
        <row r="364">
          <cell r="B364">
            <v>12296101</v>
          </cell>
          <cell r="C364" t="str">
            <v>K</v>
          </cell>
          <cell r="D364" t="str">
            <v>BENITES LEPE BERTA PILAR</v>
          </cell>
          <cell r="E364" t="str">
            <v>FOD350001</v>
          </cell>
          <cell r="F364">
            <v>44</v>
          </cell>
          <cell r="G364">
            <v>30</v>
          </cell>
          <cell r="H364" t="str">
            <v/>
          </cell>
        </row>
        <row r="365">
          <cell r="B365">
            <v>12296422</v>
          </cell>
          <cell r="C365">
            <v>1</v>
          </cell>
          <cell r="D365" t="str">
            <v>MORA POBLETE FREDDY LUIS</v>
          </cell>
          <cell r="E365" t="str">
            <v>ICB300001</v>
          </cell>
          <cell r="F365">
            <v>44</v>
          </cell>
          <cell r="G365">
            <v>30</v>
          </cell>
          <cell r="H365" t="str">
            <v>FMORA@UTALCA.CL</v>
          </cell>
        </row>
        <row r="366">
          <cell r="B366">
            <v>12296825</v>
          </cell>
          <cell r="C366">
            <v>1</v>
          </cell>
          <cell r="D366" t="str">
            <v>PINO MONSALVE INGRID VALESKA</v>
          </cell>
          <cell r="E366" t="str">
            <v>FCS320012</v>
          </cell>
          <cell r="F366">
            <v>44</v>
          </cell>
          <cell r="G366">
            <v>30</v>
          </cell>
          <cell r="H366" t="str">
            <v>IPINO@UTALCA.CL</v>
          </cell>
        </row>
        <row r="367">
          <cell r="B367">
            <v>12296839</v>
          </cell>
          <cell r="C367">
            <v>1</v>
          </cell>
          <cell r="D367" t="str">
            <v>SANCHEZ PEDRAZZINI OCTAVIO ENR</v>
          </cell>
          <cell r="E367" t="str">
            <v>IQR300001</v>
          </cell>
          <cell r="F367">
            <v>44</v>
          </cell>
          <cell r="G367">
            <v>30</v>
          </cell>
          <cell r="H367" t="str">
            <v>OSANCHEZ@UTALCA.CL</v>
          </cell>
        </row>
        <row r="368">
          <cell r="B368">
            <v>12297048</v>
          </cell>
          <cell r="C368">
            <v>5</v>
          </cell>
          <cell r="D368" t="str">
            <v>GARRIDO ROJAS CLAUDIO ESTEBAN</v>
          </cell>
          <cell r="E368" t="str">
            <v>FCA200001</v>
          </cell>
          <cell r="F368">
            <v>44</v>
          </cell>
          <cell r="G368">
            <v>30</v>
          </cell>
          <cell r="H368" t="str">
            <v>CGARRIDO@UTALCA.CL</v>
          </cell>
        </row>
        <row r="369">
          <cell r="B369">
            <v>12297176</v>
          </cell>
          <cell r="C369">
            <v>7</v>
          </cell>
          <cell r="D369" t="str">
            <v>SOTO RAMIREZ FERNANDO ADOLFO</v>
          </cell>
          <cell r="E369" t="str">
            <v>FCJ320004</v>
          </cell>
          <cell r="F369">
            <v>44</v>
          </cell>
          <cell r="G369">
            <v>30</v>
          </cell>
          <cell r="H369" t="str">
            <v>FERNANDO.SOTO@UTALCA.CL</v>
          </cell>
        </row>
        <row r="370">
          <cell r="B370">
            <v>12297501</v>
          </cell>
          <cell r="C370">
            <v>0</v>
          </cell>
          <cell r="D370" t="str">
            <v>GONZALEZ VALLEJOS MARIO ESTEBA</v>
          </cell>
          <cell r="E370" t="str">
            <v>VGE400056</v>
          </cell>
          <cell r="F370">
            <v>44</v>
          </cell>
          <cell r="G370">
            <v>30</v>
          </cell>
          <cell r="H370" t="str">
            <v>MARIO.GONZALEZ@UTALCA.CL</v>
          </cell>
        </row>
        <row r="371">
          <cell r="B371">
            <v>12297897</v>
          </cell>
          <cell r="C371">
            <v>4</v>
          </cell>
          <cell r="D371" t="str">
            <v>SEGUEL FERNANDEZ MARIO ENRIQUE</v>
          </cell>
          <cell r="E371" t="str">
            <v>VGE400056</v>
          </cell>
          <cell r="F371">
            <v>44</v>
          </cell>
          <cell r="G371">
            <v>30</v>
          </cell>
          <cell r="H371" t="str">
            <v>MSEGUEL@UTALCA.CL</v>
          </cell>
        </row>
        <row r="372">
          <cell r="B372">
            <v>12298356</v>
          </cell>
          <cell r="C372">
            <v>0</v>
          </cell>
          <cell r="D372" t="str">
            <v>REYES SALAZAR MARIA GUISELA</v>
          </cell>
          <cell r="E372" t="str">
            <v>ADC011001</v>
          </cell>
          <cell r="F372">
            <v>44</v>
          </cell>
          <cell r="G372">
            <v>30</v>
          </cell>
          <cell r="H372" t="str">
            <v>MGREYES@UTALCA.CL</v>
          </cell>
        </row>
        <row r="373">
          <cell r="B373">
            <v>12300797</v>
          </cell>
          <cell r="C373">
            <v>2</v>
          </cell>
          <cell r="D373" t="str">
            <v>MARDONES VILLANSEN JUAN MANUEL</v>
          </cell>
          <cell r="E373" t="str">
            <v>ADC014004</v>
          </cell>
          <cell r="F373">
            <v>44</v>
          </cell>
          <cell r="G373">
            <v>30</v>
          </cell>
          <cell r="H373" t="str">
            <v>JMARDONESV@UTALCA.CL</v>
          </cell>
        </row>
        <row r="374">
          <cell r="B374">
            <v>12307943</v>
          </cell>
          <cell r="C374">
            <v>4</v>
          </cell>
          <cell r="D374" t="str">
            <v>ELIZONDO GALLARDO RICHARD ANTO</v>
          </cell>
          <cell r="E374" t="str">
            <v>VAC400001</v>
          </cell>
          <cell r="F374">
            <v>44</v>
          </cell>
          <cell r="G374">
            <v>30</v>
          </cell>
          <cell r="H374" t="str">
            <v>RELIZONDO@UTALCA.CL</v>
          </cell>
        </row>
        <row r="375">
          <cell r="B375">
            <v>12317475</v>
          </cell>
          <cell r="C375">
            <v>5</v>
          </cell>
          <cell r="D375" t="str">
            <v>SANCHEZ PEÑA MAURICIO CRISTIAN</v>
          </cell>
          <cell r="E375" t="str">
            <v>FCI320004</v>
          </cell>
          <cell r="F375">
            <v>44</v>
          </cell>
          <cell r="G375">
            <v>30</v>
          </cell>
          <cell r="H375" t="str">
            <v>MAUSANCHEZ@UTALCA.CL</v>
          </cell>
        </row>
        <row r="376">
          <cell r="B376">
            <v>12359426</v>
          </cell>
          <cell r="C376">
            <v>6</v>
          </cell>
          <cell r="D376" t="str">
            <v>HENRIQUEZ BAEZA RAFAEL ALEJAND</v>
          </cell>
          <cell r="E376" t="str">
            <v>VGE400021</v>
          </cell>
          <cell r="F376">
            <v>44</v>
          </cell>
          <cell r="G376">
            <v>30</v>
          </cell>
          <cell r="H376" t="str">
            <v>RHENRIQUEZ@UTALCA.CL</v>
          </cell>
        </row>
        <row r="377">
          <cell r="B377">
            <v>12368931</v>
          </cell>
          <cell r="C377">
            <v>3</v>
          </cell>
          <cell r="D377" t="str">
            <v>URZUA HESS ROSSANA MARIA</v>
          </cell>
          <cell r="E377" t="str">
            <v>ADC040001</v>
          </cell>
          <cell r="F377">
            <v>22</v>
          </cell>
          <cell r="G377">
            <v>30</v>
          </cell>
          <cell r="H377" t="str">
            <v>RURZUA@UTALCA.CL</v>
          </cell>
        </row>
        <row r="378">
          <cell r="B378">
            <v>12370218</v>
          </cell>
          <cell r="C378">
            <v>2</v>
          </cell>
          <cell r="D378" t="str">
            <v>RAHMER BASS RICARDO ANTONIO</v>
          </cell>
          <cell r="E378" t="str">
            <v>VGE400006</v>
          </cell>
          <cell r="F378">
            <v>44</v>
          </cell>
          <cell r="G378">
            <v>30</v>
          </cell>
          <cell r="H378" t="str">
            <v>RRAHMER@UTALCA.CL</v>
          </cell>
        </row>
        <row r="379">
          <cell r="B379">
            <v>12370955</v>
          </cell>
          <cell r="C379">
            <v>1</v>
          </cell>
          <cell r="D379" t="str">
            <v>GUERRA GUERRERO FERNANDO PATRI</v>
          </cell>
          <cell r="E379" t="str">
            <v>ICB300001</v>
          </cell>
          <cell r="F379">
            <v>44</v>
          </cell>
          <cell r="G379">
            <v>30</v>
          </cell>
          <cell r="H379" t="str">
            <v>FGUERRA@UTALCA.CL</v>
          </cell>
        </row>
        <row r="380">
          <cell r="B380">
            <v>12371126</v>
          </cell>
          <cell r="C380">
            <v>2</v>
          </cell>
          <cell r="D380" t="str">
            <v>REYES ALBORNOZ LUIS ALEJANDRO</v>
          </cell>
          <cell r="E380" t="str">
            <v>ADC024006</v>
          </cell>
          <cell r="F380">
            <v>44</v>
          </cell>
          <cell r="G380">
            <v>30</v>
          </cell>
          <cell r="H380" t="str">
            <v>LUREYES@UTALCA.CL</v>
          </cell>
        </row>
        <row r="381">
          <cell r="B381">
            <v>12373209</v>
          </cell>
          <cell r="C381" t="str">
            <v>K</v>
          </cell>
          <cell r="D381" t="str">
            <v>JACQUES BRAVO JAIME ANDRES</v>
          </cell>
          <cell r="E381" t="str">
            <v>FOD320002</v>
          </cell>
          <cell r="F381">
            <v>22</v>
          </cell>
          <cell r="G381">
            <v>30</v>
          </cell>
          <cell r="H381" t="str">
            <v>JJACQUES@UTALCA.CL</v>
          </cell>
        </row>
        <row r="382">
          <cell r="B382">
            <v>12376597</v>
          </cell>
          <cell r="C382">
            <v>4</v>
          </cell>
          <cell r="D382" t="str">
            <v>AGUILERA PEREZ MIRNA CAROLA  I</v>
          </cell>
          <cell r="E382" t="str">
            <v>VAC400001</v>
          </cell>
          <cell r="F382">
            <v>44</v>
          </cell>
          <cell r="G382">
            <v>30</v>
          </cell>
          <cell r="H382" t="str">
            <v>MAGUILERA@UTALCA.CL</v>
          </cell>
        </row>
        <row r="383">
          <cell r="B383">
            <v>12413387</v>
          </cell>
          <cell r="C383">
            <v>4</v>
          </cell>
          <cell r="D383" t="str">
            <v>DONOSO TORRES WENDY KARINA</v>
          </cell>
          <cell r="E383" t="str">
            <v>FCS320001</v>
          </cell>
          <cell r="F383">
            <v>33</v>
          </cell>
          <cell r="G383">
            <v>30</v>
          </cell>
          <cell r="H383" t="str">
            <v>WDONOSO@UTALCA.CL</v>
          </cell>
        </row>
        <row r="384">
          <cell r="B384">
            <v>12456200</v>
          </cell>
          <cell r="C384">
            <v>7</v>
          </cell>
          <cell r="D384" t="str">
            <v>HERRERA TASCON RICARDO ANTONIO</v>
          </cell>
          <cell r="E384" t="str">
            <v/>
          </cell>
          <cell r="F384">
            <v>44</v>
          </cell>
          <cell r="G384">
            <v>30</v>
          </cell>
          <cell r="H384" t="str">
            <v>RIHERRERA@UTALCA.CL</v>
          </cell>
        </row>
        <row r="385">
          <cell r="B385">
            <v>12474466</v>
          </cell>
          <cell r="C385">
            <v>0</v>
          </cell>
          <cell r="D385" t="str">
            <v>CONTRERAS BARRA MARICEL ANTONI</v>
          </cell>
          <cell r="E385" t="str">
            <v>ADC021006</v>
          </cell>
          <cell r="F385">
            <v>44</v>
          </cell>
          <cell r="G385">
            <v>30</v>
          </cell>
          <cell r="H385" t="str">
            <v>MARICELCONTRERAS@UTALCA.CL</v>
          </cell>
        </row>
        <row r="386">
          <cell r="B386">
            <v>12486894</v>
          </cell>
          <cell r="C386">
            <v>7</v>
          </cell>
          <cell r="D386" t="str">
            <v>HIDALGO RIVAS JOSE ALEJANDRO</v>
          </cell>
          <cell r="E386" t="str">
            <v>FOD320002</v>
          </cell>
          <cell r="F386">
            <v>44</v>
          </cell>
          <cell r="G386">
            <v>30</v>
          </cell>
          <cell r="H386" t="str">
            <v>AHIDALGO@UTALCA.CL</v>
          </cell>
        </row>
        <row r="387">
          <cell r="B387">
            <v>12489176</v>
          </cell>
          <cell r="C387">
            <v>0</v>
          </cell>
          <cell r="D387" t="str">
            <v>ARANEDA GALLARDO PATRICIO ALEJ</v>
          </cell>
          <cell r="E387" t="str">
            <v>VAC400001</v>
          </cell>
          <cell r="F387">
            <v>44</v>
          </cell>
          <cell r="G387">
            <v>30</v>
          </cell>
          <cell r="H387" t="str">
            <v>PATRICIO.ARANEDAG@UTALCA.CL</v>
          </cell>
        </row>
        <row r="388">
          <cell r="B388">
            <v>12497597</v>
          </cell>
          <cell r="C388">
            <v>2</v>
          </cell>
          <cell r="D388" t="str">
            <v>RODRIGUEZ SALFATE GUSTAVO ANDR</v>
          </cell>
          <cell r="E388" t="str">
            <v>IAM320001</v>
          </cell>
          <cell r="F388">
            <v>44</v>
          </cell>
          <cell r="G388">
            <v>30</v>
          </cell>
          <cell r="H388" t="str">
            <v>GUSTAVO.RODRIGUEZ@UTALCA.CL</v>
          </cell>
        </row>
        <row r="389">
          <cell r="B389">
            <v>12507146</v>
          </cell>
          <cell r="C389">
            <v>5</v>
          </cell>
          <cell r="D389" t="str">
            <v>VELIZ CAMPOS MAURICIO ENRIQUE</v>
          </cell>
          <cell r="E389" t="str">
            <v>FED310002</v>
          </cell>
          <cell r="F389">
            <v>44</v>
          </cell>
          <cell r="G389">
            <v>30</v>
          </cell>
          <cell r="H389" t="str">
            <v>MAURICIO.VELIZ@UTALCA.CL</v>
          </cell>
        </row>
        <row r="390">
          <cell r="B390">
            <v>12513135</v>
          </cell>
          <cell r="C390">
            <v>2</v>
          </cell>
          <cell r="D390" t="str">
            <v>ORREGO CASTILLO ROXANA ISABEL</v>
          </cell>
          <cell r="E390" t="str">
            <v>FCS320001</v>
          </cell>
          <cell r="F390">
            <v>44</v>
          </cell>
          <cell r="G390">
            <v>30</v>
          </cell>
          <cell r="H390" t="str">
            <v>RORREGO@UTALCA.CL</v>
          </cell>
        </row>
        <row r="391">
          <cell r="B391">
            <v>12520028</v>
          </cell>
          <cell r="C391">
            <v>1</v>
          </cell>
          <cell r="D391" t="str">
            <v>ARENAS CONCHA SAMUEL EDUARDO</v>
          </cell>
          <cell r="E391" t="str">
            <v>FAD310004</v>
          </cell>
          <cell r="F391">
            <v>44</v>
          </cell>
          <cell r="G391">
            <v>30</v>
          </cell>
          <cell r="H391" t="str">
            <v>SAARENAS@UTALCA.CL</v>
          </cell>
        </row>
        <row r="392">
          <cell r="B392">
            <v>12520805</v>
          </cell>
          <cell r="C392">
            <v>3</v>
          </cell>
          <cell r="D392" t="str">
            <v>POZO OLMEDO CECILIA ALEJANDRA</v>
          </cell>
          <cell r="E392" t="str">
            <v>VGE400020</v>
          </cell>
          <cell r="F392">
            <v>44</v>
          </cell>
          <cell r="G392">
            <v>30</v>
          </cell>
          <cell r="H392" t="str">
            <v>CPOZO@UTALCA.CL</v>
          </cell>
        </row>
        <row r="393">
          <cell r="B393">
            <v>12520838</v>
          </cell>
          <cell r="C393" t="str">
            <v>K</v>
          </cell>
          <cell r="D393" t="str">
            <v>ESPINOZA ALBORNOZ JESSICA IVON</v>
          </cell>
          <cell r="E393" t="str">
            <v>VAC400001</v>
          </cell>
          <cell r="F393">
            <v>44</v>
          </cell>
          <cell r="G393">
            <v>30</v>
          </cell>
          <cell r="H393" t="str">
            <v>JESSICA.ESPINOZA@UTALCA.CL</v>
          </cell>
        </row>
        <row r="394">
          <cell r="B394">
            <v>12520855</v>
          </cell>
          <cell r="C394" t="str">
            <v>K</v>
          </cell>
          <cell r="D394" t="str">
            <v>TRONCOSO TIRAPEGUI JUAN JOSE</v>
          </cell>
          <cell r="E394" t="str">
            <v>FCI320002</v>
          </cell>
          <cell r="F394">
            <v>22</v>
          </cell>
          <cell r="G394">
            <v>30</v>
          </cell>
          <cell r="H394" t="str">
            <v>JTRONCOSO@UTALCA.CL</v>
          </cell>
        </row>
        <row r="395">
          <cell r="B395">
            <v>12521219</v>
          </cell>
          <cell r="C395">
            <v>0</v>
          </cell>
          <cell r="D395" t="str">
            <v>GAJARDO AMIGO MONICA IRIS</v>
          </cell>
          <cell r="E395" t="str">
            <v>IQR300001</v>
          </cell>
          <cell r="F395">
            <v>44</v>
          </cell>
          <cell r="G395">
            <v>30</v>
          </cell>
          <cell r="H395" t="str">
            <v>MONICA.GAJARDO@UTALCA.CL</v>
          </cell>
        </row>
        <row r="396">
          <cell r="B396">
            <v>12521543</v>
          </cell>
          <cell r="C396">
            <v>2</v>
          </cell>
          <cell r="D396" t="str">
            <v>GONZALEZ DONOSO LUZ MARIA GRAC</v>
          </cell>
          <cell r="E396" t="str">
            <v>FAD310002</v>
          </cell>
          <cell r="F396">
            <v>44</v>
          </cell>
          <cell r="G396">
            <v>30</v>
          </cell>
          <cell r="H396" t="str">
            <v>LGONZALEZ@UTALCA.CL</v>
          </cell>
        </row>
        <row r="397">
          <cell r="B397">
            <v>12521924</v>
          </cell>
          <cell r="C397">
            <v>1</v>
          </cell>
          <cell r="D397" t="str">
            <v>MUÑOZ ALBORNOZ CLAUDIA ALEJAND</v>
          </cell>
          <cell r="E397" t="str">
            <v>ADC030184</v>
          </cell>
          <cell r="F397">
            <v>44</v>
          </cell>
          <cell r="G397">
            <v>30</v>
          </cell>
          <cell r="H397" t="str">
            <v>CLMUNOZ@UTALCA.CL</v>
          </cell>
        </row>
        <row r="398">
          <cell r="B398">
            <v>12522141</v>
          </cell>
          <cell r="C398">
            <v>6</v>
          </cell>
          <cell r="D398" t="str">
            <v>LOBOS VALLADARES MARIA LUISA</v>
          </cell>
          <cell r="E398" t="str">
            <v>VRF400043</v>
          </cell>
          <cell r="F398">
            <v>44</v>
          </cell>
          <cell r="G398">
            <v>30</v>
          </cell>
          <cell r="H398" t="str">
            <v>MLOBOS@UTALCA.CL</v>
          </cell>
        </row>
        <row r="399">
          <cell r="B399">
            <v>12523100</v>
          </cell>
          <cell r="C399">
            <v>4</v>
          </cell>
          <cell r="D399" t="str">
            <v>RAMIREZ VERGARA MARIA INES</v>
          </cell>
          <cell r="E399" t="str">
            <v>FCS320012</v>
          </cell>
          <cell r="F399">
            <v>44</v>
          </cell>
          <cell r="G399">
            <v>30</v>
          </cell>
          <cell r="H399" t="str">
            <v>MARRAMIREZ@UTALCA.CL</v>
          </cell>
        </row>
        <row r="400">
          <cell r="B400">
            <v>12558686</v>
          </cell>
          <cell r="C400">
            <v>4</v>
          </cell>
          <cell r="D400" t="str">
            <v>SEPULVEDA BARRERA PAOLA ANDREA</v>
          </cell>
          <cell r="E400" t="str">
            <v>FAM310001</v>
          </cell>
          <cell r="F400">
            <v>44</v>
          </cell>
          <cell r="G400">
            <v>30</v>
          </cell>
          <cell r="H400" t="str">
            <v>PAOLA.SEPULVEDA@UTALCA.CL</v>
          </cell>
        </row>
        <row r="401">
          <cell r="B401">
            <v>12581656</v>
          </cell>
          <cell r="C401">
            <v>8</v>
          </cell>
          <cell r="D401" t="str">
            <v>FIGUEROA GONZALEZ CESAR ALEJAN</v>
          </cell>
          <cell r="E401" t="str">
            <v/>
          </cell>
          <cell r="F401">
            <v>44</v>
          </cell>
          <cell r="G401">
            <v>30</v>
          </cell>
          <cell r="H401" t="str">
            <v/>
          </cell>
        </row>
        <row r="402">
          <cell r="B402">
            <v>12584643</v>
          </cell>
          <cell r="C402">
            <v>2</v>
          </cell>
          <cell r="D402" t="str">
            <v>SANHUEZA VASQUEZ CARLOS RODRIG</v>
          </cell>
          <cell r="E402" t="str">
            <v>VAC400082</v>
          </cell>
          <cell r="F402">
            <v>44</v>
          </cell>
          <cell r="G402">
            <v>30</v>
          </cell>
          <cell r="H402" t="str">
            <v>CSANHUEZ@UTALCA.CL</v>
          </cell>
        </row>
        <row r="403">
          <cell r="B403">
            <v>12587965</v>
          </cell>
          <cell r="C403">
            <v>9</v>
          </cell>
          <cell r="D403" t="str">
            <v>RAMOS ZARATE ROXANA DEL PILAR</v>
          </cell>
          <cell r="E403" t="str">
            <v>VDE400009</v>
          </cell>
          <cell r="F403">
            <v>44</v>
          </cell>
          <cell r="G403">
            <v>30</v>
          </cell>
          <cell r="H403" t="str">
            <v>RORAMOS@UTALCA.CL</v>
          </cell>
        </row>
        <row r="404">
          <cell r="B404">
            <v>12588466</v>
          </cell>
          <cell r="C404">
            <v>0</v>
          </cell>
          <cell r="D404" t="str">
            <v>SAN MARTIN FARIAS XIMENA ALEJA</v>
          </cell>
          <cell r="E404" t="str">
            <v>ADC014001</v>
          </cell>
          <cell r="F404">
            <v>44</v>
          </cell>
          <cell r="G404">
            <v>30</v>
          </cell>
          <cell r="H404" t="str">
            <v>XSANMART@UTALCA.CL</v>
          </cell>
        </row>
        <row r="405">
          <cell r="B405">
            <v>12588877</v>
          </cell>
          <cell r="C405">
            <v>1</v>
          </cell>
          <cell r="D405" t="str">
            <v>BARRIENTOS NEIRA CRISTIAN RENA</v>
          </cell>
          <cell r="E405" t="str">
            <v>FEN200001</v>
          </cell>
          <cell r="F405">
            <v>44</v>
          </cell>
          <cell r="G405">
            <v>30</v>
          </cell>
          <cell r="H405" t="str">
            <v>CRISTIAN.BARRIENTOS@UTALCA.CL</v>
          </cell>
        </row>
        <row r="406">
          <cell r="B406">
            <v>12589370</v>
          </cell>
          <cell r="C406">
            <v>8</v>
          </cell>
          <cell r="D406" t="str">
            <v>VASQUEZ VENEGAS EDUARDO ANTONI</v>
          </cell>
          <cell r="E406" t="str">
            <v>VGE400003</v>
          </cell>
          <cell r="F406">
            <v>44</v>
          </cell>
          <cell r="G406">
            <v>30</v>
          </cell>
          <cell r="H406" t="str">
            <v>EDVASQUEZ@UTALCA.CL</v>
          </cell>
        </row>
        <row r="407">
          <cell r="B407">
            <v>12589497</v>
          </cell>
          <cell r="C407">
            <v>6</v>
          </cell>
          <cell r="D407" t="str">
            <v>HILLMER GATICA VANIA DEL CARME</v>
          </cell>
          <cell r="E407" t="str">
            <v>FCS320003</v>
          </cell>
          <cell r="F407">
            <v>44</v>
          </cell>
          <cell r="G407">
            <v>30</v>
          </cell>
          <cell r="H407" t="str">
            <v>VHILLMER@UTALCA.CL</v>
          </cell>
        </row>
        <row r="408">
          <cell r="B408">
            <v>12589524</v>
          </cell>
          <cell r="C408">
            <v>7</v>
          </cell>
          <cell r="D408" t="str">
            <v>SAN MARTIN MENDOZA ANA LUCIA</v>
          </cell>
          <cell r="E408" t="str">
            <v>ADC014002</v>
          </cell>
          <cell r="F408">
            <v>44</v>
          </cell>
          <cell r="G408">
            <v>30</v>
          </cell>
          <cell r="H408" t="str">
            <v>ASANMART@UTALCA.CL</v>
          </cell>
        </row>
        <row r="409">
          <cell r="B409">
            <v>12589966</v>
          </cell>
          <cell r="C409">
            <v>8</v>
          </cell>
          <cell r="D409" t="str">
            <v>ROJAS ROJAS ROSA ANDREA</v>
          </cell>
          <cell r="E409" t="str">
            <v>ADC014002</v>
          </cell>
          <cell r="F409">
            <v>44</v>
          </cell>
          <cell r="G409">
            <v>30</v>
          </cell>
          <cell r="H409" t="str">
            <v>RROJASR@UTALCA.CL</v>
          </cell>
        </row>
        <row r="410">
          <cell r="B410">
            <v>12592691</v>
          </cell>
          <cell r="C410">
            <v>6</v>
          </cell>
          <cell r="D410" t="str">
            <v>HINOSTROZA PAREDES YENNY ALEJA</v>
          </cell>
          <cell r="E410" t="str">
            <v>FED310002</v>
          </cell>
          <cell r="F410">
            <v>44</v>
          </cell>
          <cell r="G410">
            <v>30</v>
          </cell>
          <cell r="H410" t="str">
            <v>YENNY.HINOSTROZA@UTALCA.CL</v>
          </cell>
        </row>
        <row r="411">
          <cell r="B411">
            <v>12606451</v>
          </cell>
          <cell r="C411">
            <v>9</v>
          </cell>
          <cell r="D411" t="str">
            <v>ORMAZABAL ROJAS YONY MAURICIO</v>
          </cell>
          <cell r="E411" t="str">
            <v>FEN310002</v>
          </cell>
          <cell r="F411">
            <v>22</v>
          </cell>
          <cell r="G411">
            <v>30</v>
          </cell>
          <cell r="H411" t="str">
            <v>YORMAZABAL@UTALCA.CL</v>
          </cell>
        </row>
        <row r="412">
          <cell r="B412">
            <v>12633490</v>
          </cell>
          <cell r="C412">
            <v>7</v>
          </cell>
          <cell r="D412" t="str">
            <v>GUTIERREZ BRAVO SANDRA LORENA</v>
          </cell>
          <cell r="E412" t="str">
            <v>VRF400041</v>
          </cell>
          <cell r="F412">
            <v>44</v>
          </cell>
          <cell r="G412">
            <v>30</v>
          </cell>
          <cell r="H412" t="str">
            <v>SGUTIERR@UTALCA.CL</v>
          </cell>
        </row>
        <row r="413">
          <cell r="B413">
            <v>12642886</v>
          </cell>
          <cell r="C413">
            <v>3</v>
          </cell>
          <cell r="D413" t="str">
            <v>DURAN JARA ANDRES ANTONIO</v>
          </cell>
          <cell r="E413" t="str">
            <v>FPS310002</v>
          </cell>
          <cell r="F413">
            <v>44</v>
          </cell>
          <cell r="G413">
            <v>30</v>
          </cell>
          <cell r="H413" t="str">
            <v>ANDRES.DURAN@UTALCA.CL</v>
          </cell>
        </row>
        <row r="414">
          <cell r="B414">
            <v>12646371</v>
          </cell>
          <cell r="C414">
            <v>5</v>
          </cell>
          <cell r="D414" t="str">
            <v>AGUIRRE LEON EDUARDO ALBERTO</v>
          </cell>
          <cell r="E414" t="str">
            <v>FAD310001</v>
          </cell>
          <cell r="F414">
            <v>44</v>
          </cell>
          <cell r="G414">
            <v>30</v>
          </cell>
          <cell r="H414" t="str">
            <v>EAGUIRRE@UTALCA.CL</v>
          </cell>
        </row>
        <row r="415">
          <cell r="B415">
            <v>12671962</v>
          </cell>
          <cell r="C415">
            <v>0</v>
          </cell>
          <cell r="D415" t="str">
            <v>SOTO MOGOLLONES CECILIA ANDREA</v>
          </cell>
          <cell r="E415" t="str">
            <v>FED310003</v>
          </cell>
          <cell r="F415">
            <v>35</v>
          </cell>
          <cell r="G415">
            <v>30</v>
          </cell>
          <cell r="H415" t="str">
            <v>CESOTO@UTALCA.CL</v>
          </cell>
        </row>
        <row r="416">
          <cell r="B416">
            <v>12684156</v>
          </cell>
          <cell r="C416">
            <v>6</v>
          </cell>
          <cell r="D416" t="str">
            <v>VARGAS GARRIDO HECTOR ANDRES</v>
          </cell>
          <cell r="E416" t="str">
            <v>FPS200001</v>
          </cell>
          <cell r="F416">
            <v>33</v>
          </cell>
          <cell r="G416">
            <v>30</v>
          </cell>
          <cell r="H416" t="str">
            <v>HVARGAS@UTALCA.CL</v>
          </cell>
        </row>
        <row r="417">
          <cell r="B417">
            <v>12712310</v>
          </cell>
          <cell r="C417">
            <v>1</v>
          </cell>
          <cell r="D417" t="str">
            <v>CELIS DANZINGER GABRIEL  ENRIQ</v>
          </cell>
          <cell r="E417" t="str">
            <v>FCJ320003</v>
          </cell>
          <cell r="F417">
            <v>44</v>
          </cell>
          <cell r="G417">
            <v>30</v>
          </cell>
          <cell r="H417" t="str">
            <v>GCELIS@UTALCA.CL</v>
          </cell>
        </row>
        <row r="418">
          <cell r="B418">
            <v>12721498</v>
          </cell>
          <cell r="C418">
            <v>0</v>
          </cell>
          <cell r="D418" t="str">
            <v>CARDENAS CASTRO JOSE MANUEL</v>
          </cell>
          <cell r="E418" t="str">
            <v>FPS200001</v>
          </cell>
          <cell r="F418">
            <v>44</v>
          </cell>
          <cell r="G418">
            <v>30</v>
          </cell>
          <cell r="H418" t="str">
            <v>JOSE.CARDENAS@UTALCA.CL</v>
          </cell>
        </row>
        <row r="419">
          <cell r="B419">
            <v>12722727</v>
          </cell>
          <cell r="C419">
            <v>6</v>
          </cell>
          <cell r="D419" t="str">
            <v>GARRIDO SALGADO STEPHANIE ANDR</v>
          </cell>
          <cell r="E419" t="str">
            <v/>
          </cell>
          <cell r="F419">
            <v>44</v>
          </cell>
          <cell r="G419">
            <v>30</v>
          </cell>
          <cell r="H419" t="str">
            <v>STGARRIDO@UTALCA.CL</v>
          </cell>
        </row>
        <row r="420">
          <cell r="B420">
            <v>12728100</v>
          </cell>
          <cell r="C420">
            <v>9</v>
          </cell>
          <cell r="D420" t="str">
            <v>GARRIDO AVENDAÑO ALEJANDRA IVO</v>
          </cell>
          <cell r="E420" t="str">
            <v>VAC400001</v>
          </cell>
          <cell r="F420">
            <v>44</v>
          </cell>
          <cell r="G420">
            <v>30</v>
          </cell>
          <cell r="H420" t="str">
            <v>AGARRIDO@UTALCA.CL</v>
          </cell>
        </row>
        <row r="421">
          <cell r="B421">
            <v>12783487</v>
          </cell>
          <cell r="C421">
            <v>3</v>
          </cell>
          <cell r="D421" t="str">
            <v>PALOMO VELEZ DIEGO IVAN</v>
          </cell>
          <cell r="E421" t="str">
            <v>FCJ320001</v>
          </cell>
          <cell r="F421">
            <v>44</v>
          </cell>
          <cell r="G421">
            <v>30</v>
          </cell>
          <cell r="H421" t="str">
            <v>DPALOMO@UTALCA.CL</v>
          </cell>
        </row>
        <row r="422">
          <cell r="B422">
            <v>12785101</v>
          </cell>
          <cell r="C422">
            <v>8</v>
          </cell>
          <cell r="D422" t="str">
            <v>LEIVA CACERES CLAUDIA SOFIA</v>
          </cell>
          <cell r="E422" t="str">
            <v>ADC022001</v>
          </cell>
          <cell r="F422">
            <v>44</v>
          </cell>
          <cell r="G422">
            <v>30</v>
          </cell>
          <cell r="H422" t="str">
            <v>CLAUDIA.LEIVA@UTALCA.CL</v>
          </cell>
        </row>
        <row r="423">
          <cell r="B423">
            <v>12785453</v>
          </cell>
          <cell r="C423" t="str">
            <v>K</v>
          </cell>
          <cell r="D423" t="str">
            <v>FUENTEALBA CORDERO CAROLINA EL</v>
          </cell>
          <cell r="E423" t="str">
            <v>VRF400009</v>
          </cell>
          <cell r="F423">
            <v>44</v>
          </cell>
          <cell r="G423">
            <v>30</v>
          </cell>
          <cell r="H423" t="str">
            <v>CAROLINA.FUENTEALBA@UTALCA.CL</v>
          </cell>
        </row>
        <row r="424">
          <cell r="B424">
            <v>12790825</v>
          </cell>
          <cell r="C424">
            <v>7</v>
          </cell>
          <cell r="D424" t="str">
            <v>FUENTEALBA OLAVE YASNA AURORA</v>
          </cell>
          <cell r="E424" t="str">
            <v>VRF400007</v>
          </cell>
          <cell r="F424">
            <v>44</v>
          </cell>
          <cell r="G424">
            <v>30</v>
          </cell>
          <cell r="H424" t="str">
            <v>YASNA.FUENTEALBA@UTALCA.CL</v>
          </cell>
        </row>
        <row r="425">
          <cell r="B425">
            <v>12791140</v>
          </cell>
          <cell r="C425">
            <v>1</v>
          </cell>
          <cell r="D425" t="str">
            <v>BASOALTO RIVEROS JULY ANDREA</v>
          </cell>
          <cell r="E425" t="str">
            <v>FEN360001</v>
          </cell>
          <cell r="F425">
            <v>44</v>
          </cell>
          <cell r="G425">
            <v>30</v>
          </cell>
          <cell r="H425" t="str">
            <v>JBASOALTO@UTALCA.CL</v>
          </cell>
        </row>
        <row r="426">
          <cell r="B426">
            <v>12832845</v>
          </cell>
          <cell r="C426">
            <v>9</v>
          </cell>
          <cell r="D426" t="str">
            <v>VILLAR MIRANDA MAGALY CAROLINA</v>
          </cell>
          <cell r="E426" t="str">
            <v>FCA200001</v>
          </cell>
          <cell r="F426">
            <v>37</v>
          </cell>
          <cell r="G426">
            <v>30</v>
          </cell>
          <cell r="H426" t="str">
            <v>MAVILLAR@UTALCA.CL</v>
          </cell>
        </row>
        <row r="427">
          <cell r="B427">
            <v>12839966</v>
          </cell>
          <cell r="C427">
            <v>6</v>
          </cell>
          <cell r="D427" t="str">
            <v>BORQUEZ AVILA MARIA CRISTINA</v>
          </cell>
          <cell r="E427" t="str">
            <v>VAC100002</v>
          </cell>
          <cell r="F427">
            <v>44</v>
          </cell>
          <cell r="G427">
            <v>30</v>
          </cell>
          <cell r="H427" t="str">
            <v>MBORQUEZ@UTALCA.CL</v>
          </cell>
        </row>
        <row r="428">
          <cell r="B428">
            <v>12846900</v>
          </cell>
          <cell r="C428">
            <v>1</v>
          </cell>
          <cell r="D428" t="str">
            <v>CARRIZO CAMPOS SANDRA ANDREA</v>
          </cell>
          <cell r="E428" t="str">
            <v>VAC400001</v>
          </cell>
          <cell r="F428">
            <v>44</v>
          </cell>
          <cell r="G428">
            <v>30</v>
          </cell>
          <cell r="H428" t="str">
            <v>SCARRIZO@UTALCA.CL</v>
          </cell>
        </row>
        <row r="429">
          <cell r="B429">
            <v>12862275</v>
          </cell>
          <cell r="C429">
            <v>6</v>
          </cell>
          <cell r="D429" t="str">
            <v>CUEVAS ALCAYAGA PAMELA LORENA</v>
          </cell>
          <cell r="E429" t="str">
            <v>FCS320003</v>
          </cell>
          <cell r="F429">
            <v>44</v>
          </cell>
          <cell r="G429">
            <v>30</v>
          </cell>
          <cell r="H429" t="str">
            <v>PAMELA.CUEVAS@UTALCA.CL</v>
          </cell>
        </row>
        <row r="430">
          <cell r="B430">
            <v>12873187</v>
          </cell>
          <cell r="C430">
            <v>3</v>
          </cell>
          <cell r="D430" t="str">
            <v>MORALES QUIROGA MAURICIO JOSE</v>
          </cell>
          <cell r="E430" t="str">
            <v>FCJ320004</v>
          </cell>
          <cell r="F430">
            <v>44</v>
          </cell>
          <cell r="G430">
            <v>30</v>
          </cell>
          <cell r="H430" t="str">
            <v>MMORALESQ@UTALCA.CL</v>
          </cell>
        </row>
        <row r="431">
          <cell r="B431">
            <v>12873198</v>
          </cell>
          <cell r="C431">
            <v>9</v>
          </cell>
          <cell r="D431" t="str">
            <v>TORO VALENCIA VICTOR HUGO</v>
          </cell>
          <cell r="E431" t="str">
            <v>FAD310004</v>
          </cell>
          <cell r="F431">
            <v>44</v>
          </cell>
          <cell r="G431">
            <v>30</v>
          </cell>
          <cell r="H431" t="str">
            <v>VICTOR.TORO@UTALCA.CL</v>
          </cell>
        </row>
        <row r="432">
          <cell r="B432">
            <v>12874481</v>
          </cell>
          <cell r="C432">
            <v>9</v>
          </cell>
          <cell r="D432" t="str">
            <v>LOPEZ INOSTROZA CLARA NATHALIE</v>
          </cell>
          <cell r="E432" t="str">
            <v>VRF400008</v>
          </cell>
          <cell r="F432">
            <v>44</v>
          </cell>
          <cell r="G432">
            <v>30</v>
          </cell>
          <cell r="H432" t="str">
            <v>CLOPEZI@UTALCA.CL</v>
          </cell>
        </row>
        <row r="433">
          <cell r="B433">
            <v>12882372</v>
          </cell>
          <cell r="C433">
            <v>7</v>
          </cell>
          <cell r="D433" t="str">
            <v>COYDAN TAPIA IVAN RODOLFO</v>
          </cell>
          <cell r="E433" t="str">
            <v>FEN310001</v>
          </cell>
          <cell r="F433">
            <v>44</v>
          </cell>
          <cell r="G433">
            <v>30</v>
          </cell>
          <cell r="H433" t="str">
            <v>IVANCOYDAN@UTALCA.CL</v>
          </cell>
        </row>
        <row r="434">
          <cell r="B434">
            <v>12884508</v>
          </cell>
          <cell r="C434">
            <v>9</v>
          </cell>
          <cell r="D434" t="str">
            <v>FIGUEROA LAMAS CARLOS RODRIGO</v>
          </cell>
          <cell r="E434" t="str">
            <v>ICB300001</v>
          </cell>
          <cell r="F434">
            <v>44</v>
          </cell>
          <cell r="G434">
            <v>30</v>
          </cell>
          <cell r="H434" t="str">
            <v>CFIGUEROA@UTALCA.CL</v>
          </cell>
        </row>
        <row r="435">
          <cell r="B435">
            <v>12899066</v>
          </cell>
          <cell r="C435">
            <v>6</v>
          </cell>
          <cell r="D435" t="str">
            <v>MALLEA MUÑOZ HUGO JOSE</v>
          </cell>
          <cell r="E435" t="str">
            <v>VRF400009</v>
          </cell>
          <cell r="F435">
            <v>33</v>
          </cell>
          <cell r="G435">
            <v>30</v>
          </cell>
          <cell r="H435" t="str">
            <v>HMALLEA@UTALCA.CL</v>
          </cell>
        </row>
        <row r="436">
          <cell r="B436">
            <v>12913849</v>
          </cell>
          <cell r="C436">
            <v>1</v>
          </cell>
          <cell r="D436" t="str">
            <v>CABEZA PEREZ RICARDO ALFONSO</v>
          </cell>
          <cell r="E436" t="str">
            <v>FCA320003</v>
          </cell>
          <cell r="F436">
            <v>44</v>
          </cell>
          <cell r="G436">
            <v>30</v>
          </cell>
          <cell r="H436" t="str">
            <v>RCABEZA@UTALCA.CL</v>
          </cell>
        </row>
        <row r="437">
          <cell r="B437">
            <v>12916503</v>
          </cell>
          <cell r="C437">
            <v>0</v>
          </cell>
          <cell r="D437" t="str">
            <v>ROJAS HENRIQUEZ GREGORIO MAURI</v>
          </cell>
          <cell r="E437" t="str">
            <v>VGE400056</v>
          </cell>
          <cell r="F437">
            <v>44</v>
          </cell>
          <cell r="G437">
            <v>30</v>
          </cell>
          <cell r="H437" t="str">
            <v>GREROJAS@UTALCA.CL</v>
          </cell>
        </row>
        <row r="438">
          <cell r="B438">
            <v>12916564</v>
          </cell>
          <cell r="C438">
            <v>2</v>
          </cell>
          <cell r="D438" t="str">
            <v>HERNANDEZ FERNANDEZ ISABEL NOE</v>
          </cell>
          <cell r="E438" t="str">
            <v>ADC014001</v>
          </cell>
          <cell r="F438">
            <v>44</v>
          </cell>
          <cell r="G438">
            <v>30</v>
          </cell>
          <cell r="H438" t="str">
            <v>I.HERNANDEZ@UTALCA.CL</v>
          </cell>
        </row>
        <row r="439">
          <cell r="B439">
            <v>12916620</v>
          </cell>
          <cell r="C439">
            <v>7</v>
          </cell>
          <cell r="D439" t="str">
            <v>VERDUGO AVILA ROXANA PAOLA</v>
          </cell>
          <cell r="E439" t="str">
            <v>VDE400001</v>
          </cell>
          <cell r="F439">
            <v>44</v>
          </cell>
          <cell r="G439">
            <v>30</v>
          </cell>
          <cell r="H439" t="str">
            <v>RVERDUGO@UTALCA.CL</v>
          </cell>
        </row>
        <row r="440">
          <cell r="B440">
            <v>12920799</v>
          </cell>
          <cell r="C440" t="str">
            <v>K</v>
          </cell>
          <cell r="D440" t="str">
            <v>SAAVEDRA GOMEZ CECILIA PAOLA</v>
          </cell>
          <cell r="E440" t="str">
            <v>FOD310001</v>
          </cell>
          <cell r="F440">
            <v>25</v>
          </cell>
          <cell r="G440">
            <v>30</v>
          </cell>
          <cell r="H440" t="str">
            <v>CESAAVEDRA@UTALCA.CL</v>
          </cell>
        </row>
        <row r="441">
          <cell r="B441">
            <v>12932634</v>
          </cell>
          <cell r="C441">
            <v>4</v>
          </cell>
          <cell r="D441" t="str">
            <v>MONTOYA MACIAS MAGLENY ANDREA</v>
          </cell>
          <cell r="E441" t="str">
            <v>ADC021005</v>
          </cell>
          <cell r="F441">
            <v>44</v>
          </cell>
          <cell r="G441">
            <v>30</v>
          </cell>
          <cell r="H441" t="str">
            <v>AMONTOYA@UTALCA.CL</v>
          </cell>
        </row>
        <row r="442">
          <cell r="B442">
            <v>12936609</v>
          </cell>
          <cell r="C442">
            <v>5</v>
          </cell>
          <cell r="D442" t="str">
            <v>RIOS SALAS NICOLAS FELIPE</v>
          </cell>
          <cell r="E442" t="str">
            <v>FOD320001</v>
          </cell>
          <cell r="F442">
            <v>18</v>
          </cell>
          <cell r="G442">
            <v>30</v>
          </cell>
          <cell r="H442" t="str">
            <v>NIRIOS@UTALCA.CL</v>
          </cell>
        </row>
        <row r="443">
          <cell r="B443">
            <v>12962362</v>
          </cell>
          <cell r="C443">
            <v>4</v>
          </cell>
          <cell r="D443" t="str">
            <v>REBOLLEDO ORTEGA MARÍA YEANNET</v>
          </cell>
          <cell r="E443" t="str">
            <v>ADC013001</v>
          </cell>
          <cell r="F443">
            <v>44</v>
          </cell>
          <cell r="G443">
            <v>30</v>
          </cell>
          <cell r="H443" t="str">
            <v>MARIA.REBOLLEDO@UTALCA.CL</v>
          </cell>
        </row>
        <row r="444">
          <cell r="B444">
            <v>12963021</v>
          </cell>
          <cell r="C444">
            <v>3</v>
          </cell>
          <cell r="D444" t="str">
            <v>RAMOS CAMPOS PATRICIO EUGENIO</v>
          </cell>
          <cell r="E444" t="str">
            <v>ICB300001</v>
          </cell>
          <cell r="F444">
            <v>44</v>
          </cell>
          <cell r="G444">
            <v>30</v>
          </cell>
          <cell r="H444" t="str">
            <v>PRAMOS@UTALCA.CL</v>
          </cell>
        </row>
        <row r="445">
          <cell r="B445">
            <v>12963119</v>
          </cell>
          <cell r="C445">
            <v>8</v>
          </cell>
          <cell r="D445" t="str">
            <v>OROSTICA DORADO XIMENA FRANCIS</v>
          </cell>
          <cell r="E445" t="str">
            <v>ADC022001</v>
          </cell>
          <cell r="F445">
            <v>44</v>
          </cell>
          <cell r="G445">
            <v>30</v>
          </cell>
          <cell r="H445" t="str">
            <v>FOROSTICA@UTALCA.CL</v>
          </cell>
        </row>
        <row r="446">
          <cell r="B446">
            <v>12963124</v>
          </cell>
          <cell r="C446">
            <v>4</v>
          </cell>
          <cell r="D446" t="str">
            <v>RETAMAL CASTILLO CAMILA ROSA</v>
          </cell>
          <cell r="E446" t="str">
            <v>FED310008</v>
          </cell>
          <cell r="F446">
            <v>44</v>
          </cell>
          <cell r="G446">
            <v>30</v>
          </cell>
          <cell r="H446" t="str">
            <v>CAMILA.RETAMAL@UTALCA.CL</v>
          </cell>
        </row>
        <row r="447">
          <cell r="B447">
            <v>12963495</v>
          </cell>
          <cell r="C447">
            <v>2</v>
          </cell>
          <cell r="D447" t="str">
            <v>ARAVENA CASTILLO ELIAS PHILLIP</v>
          </cell>
          <cell r="E447" t="str">
            <v>FCA200001</v>
          </cell>
          <cell r="F447">
            <v>44</v>
          </cell>
          <cell r="G447">
            <v>30</v>
          </cell>
          <cell r="H447" t="str">
            <v>EARAVENA@UTALCA.CL</v>
          </cell>
        </row>
        <row r="448">
          <cell r="B448">
            <v>12963815</v>
          </cell>
          <cell r="C448" t="str">
            <v>K</v>
          </cell>
          <cell r="D448" t="str">
            <v>VASQUEZ PALMA MARIA FERNANDA</v>
          </cell>
          <cell r="E448" t="str">
            <v>FCJ320002</v>
          </cell>
          <cell r="F448">
            <v>44</v>
          </cell>
          <cell r="G448">
            <v>30</v>
          </cell>
          <cell r="H448" t="str">
            <v>MFVASQUEZ@UTALCA.CL</v>
          </cell>
        </row>
        <row r="449">
          <cell r="B449">
            <v>12966566</v>
          </cell>
          <cell r="C449">
            <v>1</v>
          </cell>
          <cell r="D449" t="str">
            <v>DURAN BUSTAMANTE ARMANDO ISAIA</v>
          </cell>
          <cell r="E449" t="str">
            <v>FCI320005</v>
          </cell>
          <cell r="F449">
            <v>44</v>
          </cell>
          <cell r="G449">
            <v>30</v>
          </cell>
          <cell r="H449" t="str">
            <v>ADURAN@UTALCA.CL</v>
          </cell>
        </row>
        <row r="450">
          <cell r="B450">
            <v>12968261</v>
          </cell>
          <cell r="C450">
            <v>2</v>
          </cell>
          <cell r="D450" t="str">
            <v>FICA GALLARDO JUAN HUMBERTO</v>
          </cell>
          <cell r="E450" t="str">
            <v>VGE100003</v>
          </cell>
          <cell r="F450">
            <v>44</v>
          </cell>
          <cell r="G450">
            <v>30</v>
          </cell>
          <cell r="H450" t="str">
            <v>JFICA@UTALCA.CL</v>
          </cell>
        </row>
        <row r="451">
          <cell r="B451">
            <v>12968360</v>
          </cell>
          <cell r="C451">
            <v>0</v>
          </cell>
          <cell r="D451" t="str">
            <v>BUSTOS BUSTOS JORGE EDUARDO</v>
          </cell>
          <cell r="E451" t="str">
            <v>VGE400055</v>
          </cell>
          <cell r="F451">
            <v>44</v>
          </cell>
          <cell r="G451">
            <v>30</v>
          </cell>
          <cell r="H451" t="str">
            <v>JBUSTOS@UTALCA.CL</v>
          </cell>
        </row>
        <row r="452">
          <cell r="B452">
            <v>12984932</v>
          </cell>
          <cell r="C452">
            <v>0</v>
          </cell>
          <cell r="D452" t="str">
            <v>PEZO VALENCIA CARLA IVETT</v>
          </cell>
          <cell r="E452" t="str">
            <v>VGE400020</v>
          </cell>
          <cell r="F452">
            <v>44</v>
          </cell>
          <cell r="G452">
            <v>30</v>
          </cell>
          <cell r="H452" t="str">
            <v>CPEZO@UTALCA.CL</v>
          </cell>
        </row>
        <row r="453">
          <cell r="B453">
            <v>13001148</v>
          </cell>
          <cell r="C453">
            <v>9</v>
          </cell>
          <cell r="D453" t="str">
            <v>TORRES FUCHSLOCHER CARLOS FERN</v>
          </cell>
          <cell r="E453" t="str">
            <v>FCI320002</v>
          </cell>
          <cell r="F453">
            <v>44</v>
          </cell>
          <cell r="G453">
            <v>30</v>
          </cell>
          <cell r="H453" t="str">
            <v>CTORRES@UTALCA.CL</v>
          </cell>
        </row>
        <row r="454">
          <cell r="B454">
            <v>13019884</v>
          </cell>
          <cell r="C454">
            <v>8</v>
          </cell>
          <cell r="D454" t="str">
            <v>ALLESCH PEÑAILILLO JOHANN STEF</v>
          </cell>
          <cell r="E454" t="str">
            <v>ADC013001</v>
          </cell>
          <cell r="F454">
            <v>44</v>
          </cell>
          <cell r="G454">
            <v>30</v>
          </cell>
          <cell r="H454" t="str">
            <v>JALLESCH@UTALCA.CL</v>
          </cell>
        </row>
        <row r="455">
          <cell r="B455">
            <v>13028560</v>
          </cell>
          <cell r="C455">
            <v>0</v>
          </cell>
          <cell r="D455" t="str">
            <v>ROCK FUENZALIDA RAFAEL ROBERTO</v>
          </cell>
          <cell r="E455" t="str">
            <v/>
          </cell>
          <cell r="F455">
            <v>44</v>
          </cell>
          <cell r="G455">
            <v>30</v>
          </cell>
          <cell r="H455" t="str">
            <v>RAROCK@UTALCA.CL</v>
          </cell>
        </row>
        <row r="456">
          <cell r="B456">
            <v>13030683</v>
          </cell>
          <cell r="C456">
            <v>7</v>
          </cell>
          <cell r="D456" t="str">
            <v>JIMENEZ PAVEZ JUAN PAULO</v>
          </cell>
          <cell r="E456" t="str">
            <v>FED310009</v>
          </cell>
          <cell r="F456">
            <v>44</v>
          </cell>
          <cell r="G456">
            <v>30</v>
          </cell>
          <cell r="H456" t="str">
            <v>JUAN.JIMENEZ@UTALCA.CL</v>
          </cell>
        </row>
        <row r="457">
          <cell r="B457">
            <v>13033592</v>
          </cell>
          <cell r="C457">
            <v>6</v>
          </cell>
          <cell r="D457" t="str">
            <v>RAMOS ALVARADO NADIA AMIRA</v>
          </cell>
          <cell r="E457" t="str">
            <v>FPS200001</v>
          </cell>
          <cell r="F457">
            <v>44</v>
          </cell>
          <cell r="G457">
            <v>30</v>
          </cell>
          <cell r="H457" t="str">
            <v>NRAMOS@UTALCA.CL</v>
          </cell>
        </row>
        <row r="458">
          <cell r="B458">
            <v>13048453</v>
          </cell>
          <cell r="C458">
            <v>0</v>
          </cell>
          <cell r="D458" t="str">
            <v>ACOSTA ANTOGNONI HEDY CAROLINA</v>
          </cell>
          <cell r="E458" t="str">
            <v>FPS200001</v>
          </cell>
          <cell r="F458">
            <v>44</v>
          </cell>
          <cell r="G458">
            <v>30</v>
          </cell>
          <cell r="H458" t="str">
            <v>HACOSTA@UTALCA.CL</v>
          </cell>
        </row>
        <row r="459">
          <cell r="B459">
            <v>13059096</v>
          </cell>
          <cell r="C459">
            <v>9</v>
          </cell>
          <cell r="D459" t="str">
            <v>GAETE EASTMAN CARLOS FELIPE</v>
          </cell>
          <cell r="E459" t="str">
            <v>ICB300001</v>
          </cell>
          <cell r="F459">
            <v>44</v>
          </cell>
          <cell r="G459">
            <v>30</v>
          </cell>
          <cell r="H459" t="str">
            <v>CGAETE@UTALCA.CL</v>
          </cell>
        </row>
        <row r="460">
          <cell r="B460">
            <v>13069157</v>
          </cell>
          <cell r="C460">
            <v>9</v>
          </cell>
          <cell r="D460" t="str">
            <v>REYES CORNEJO ANDRES DARIO</v>
          </cell>
          <cell r="E460" t="str">
            <v>VGE400056</v>
          </cell>
          <cell r="F460">
            <v>44</v>
          </cell>
          <cell r="G460">
            <v>30</v>
          </cell>
          <cell r="H460" t="str">
            <v>AREYES@UTALCA.CL</v>
          </cell>
        </row>
        <row r="461">
          <cell r="B461">
            <v>13077406</v>
          </cell>
          <cell r="C461">
            <v>7</v>
          </cell>
          <cell r="D461" t="str">
            <v>ABACA CASTILLO ELSA PAULINA</v>
          </cell>
          <cell r="E461" t="str">
            <v>FCS320002</v>
          </cell>
          <cell r="F461">
            <v>44</v>
          </cell>
          <cell r="G461">
            <v>30</v>
          </cell>
          <cell r="H461" t="str">
            <v>PABACA@UTALCA.CL</v>
          </cell>
        </row>
        <row r="462">
          <cell r="B462">
            <v>13089547</v>
          </cell>
          <cell r="C462">
            <v>6</v>
          </cell>
          <cell r="D462" t="str">
            <v>ROJAS ROBLES MAURICIO ANDRES</v>
          </cell>
          <cell r="E462" t="str">
            <v>VRF400006</v>
          </cell>
          <cell r="F462">
            <v>44</v>
          </cell>
          <cell r="G462">
            <v>30</v>
          </cell>
          <cell r="H462" t="str">
            <v>MAURICIO.ROJASR@UTALCA.CL</v>
          </cell>
        </row>
        <row r="463">
          <cell r="B463">
            <v>13101242</v>
          </cell>
          <cell r="C463" t="str">
            <v>K</v>
          </cell>
          <cell r="D463" t="str">
            <v>AVACA ROJAS CLAUDIA FRANCISCA</v>
          </cell>
          <cell r="E463" t="str">
            <v>ADC014002</v>
          </cell>
          <cell r="F463">
            <v>44</v>
          </cell>
          <cell r="G463">
            <v>30</v>
          </cell>
          <cell r="H463" t="str">
            <v>CAVACA@UTALCA.CL</v>
          </cell>
        </row>
        <row r="464">
          <cell r="B464">
            <v>13101304</v>
          </cell>
          <cell r="C464">
            <v>3</v>
          </cell>
          <cell r="D464" t="str">
            <v>PEREZ HERRERA PATRICIA IVONNE</v>
          </cell>
          <cell r="E464" t="str">
            <v>FCJ200001</v>
          </cell>
          <cell r="F464">
            <v>44</v>
          </cell>
          <cell r="G464">
            <v>30</v>
          </cell>
          <cell r="H464" t="str">
            <v>PPEREZ@UTALCA.CL</v>
          </cell>
        </row>
        <row r="465">
          <cell r="B465">
            <v>13101435</v>
          </cell>
          <cell r="C465" t="str">
            <v>K</v>
          </cell>
          <cell r="D465" t="str">
            <v>MUÑOZ BECERRA JEANNETTE CRISTI</v>
          </cell>
          <cell r="E465" t="str">
            <v>VGE400020</v>
          </cell>
          <cell r="F465">
            <v>44</v>
          </cell>
          <cell r="G465">
            <v>30</v>
          </cell>
          <cell r="H465" t="str">
            <v>JEAMUNOZ@UTALCA.CL</v>
          </cell>
        </row>
        <row r="466">
          <cell r="B466">
            <v>13101802</v>
          </cell>
          <cell r="C466">
            <v>9</v>
          </cell>
          <cell r="D466" t="str">
            <v>OSORIO NEIRA GUSTAVO ANDRES</v>
          </cell>
          <cell r="E466" t="str">
            <v>VGE400009</v>
          </cell>
          <cell r="F466">
            <v>44</v>
          </cell>
          <cell r="G466">
            <v>30</v>
          </cell>
          <cell r="H466" t="str">
            <v>GOSORIO@UTALCA.CL</v>
          </cell>
        </row>
        <row r="467">
          <cell r="B467">
            <v>13122439</v>
          </cell>
          <cell r="C467">
            <v>7</v>
          </cell>
          <cell r="D467" t="str">
            <v>GOMEZ ARISMENDI PATRICIO RODRI</v>
          </cell>
          <cell r="E467" t="str">
            <v>ADC040001</v>
          </cell>
          <cell r="F467">
            <v>44</v>
          </cell>
          <cell r="G467">
            <v>30</v>
          </cell>
          <cell r="H467" t="str">
            <v>PGOMEZ@UTALCA.CL</v>
          </cell>
        </row>
        <row r="468">
          <cell r="B468">
            <v>13137660</v>
          </cell>
          <cell r="C468" t="str">
            <v>K</v>
          </cell>
          <cell r="D468" t="str">
            <v>ASTUDILLO HERNANDEZ CESAR ALEJ</v>
          </cell>
          <cell r="E468" t="str">
            <v>FCI320003</v>
          </cell>
          <cell r="F468">
            <v>44</v>
          </cell>
          <cell r="G468">
            <v>30</v>
          </cell>
          <cell r="H468" t="str">
            <v>CASTUDILLO@UTALCA.CL</v>
          </cell>
        </row>
        <row r="469">
          <cell r="B469">
            <v>13143572</v>
          </cell>
          <cell r="C469" t="str">
            <v>K</v>
          </cell>
          <cell r="D469" t="str">
            <v>SANTOS SANTANA CRISTIAN ROBERT</v>
          </cell>
          <cell r="E469" t="str">
            <v>VRF400004</v>
          </cell>
          <cell r="F469">
            <v>44</v>
          </cell>
          <cell r="G469">
            <v>30</v>
          </cell>
          <cell r="H469" t="str">
            <v>CSANTOS@UTALCA.CL</v>
          </cell>
        </row>
        <row r="470">
          <cell r="B470">
            <v>13143626</v>
          </cell>
          <cell r="C470">
            <v>2</v>
          </cell>
          <cell r="D470" t="str">
            <v>FLORES GARCIA MARCOS ALEXIS</v>
          </cell>
          <cell r="E470" t="str">
            <v>FCA320002</v>
          </cell>
          <cell r="F470">
            <v>44</v>
          </cell>
          <cell r="G470">
            <v>30</v>
          </cell>
          <cell r="H470" t="str">
            <v>MARCOS.FLORES@UTALCA.CL</v>
          </cell>
        </row>
        <row r="471">
          <cell r="B471">
            <v>13151816</v>
          </cell>
          <cell r="C471">
            <v>1</v>
          </cell>
          <cell r="D471" t="str">
            <v>SAN MARTIN MELLA ALEJANDRO ENR</v>
          </cell>
          <cell r="E471" t="str">
            <v>VRF400043</v>
          </cell>
          <cell r="F471">
            <v>44</v>
          </cell>
          <cell r="G471">
            <v>30</v>
          </cell>
          <cell r="H471" t="str">
            <v>ALSANMARTIN@UTALCA.CL</v>
          </cell>
        </row>
        <row r="472">
          <cell r="B472">
            <v>13191306</v>
          </cell>
          <cell r="C472">
            <v>0</v>
          </cell>
          <cell r="D472" t="str">
            <v>RIVEROS FERRADA CLAUDIO JAVIER</v>
          </cell>
          <cell r="E472" t="str">
            <v>FCJ320004</v>
          </cell>
          <cell r="F472">
            <v>44</v>
          </cell>
          <cell r="G472">
            <v>30</v>
          </cell>
          <cell r="H472" t="str">
            <v>CLRIVEROS@UTALCA.CL</v>
          </cell>
        </row>
        <row r="473">
          <cell r="B473">
            <v>13204962</v>
          </cell>
          <cell r="C473">
            <v>9</v>
          </cell>
          <cell r="D473" t="str">
            <v>ROJAS ARROYO MARIBEL ANDREA</v>
          </cell>
          <cell r="E473" t="str">
            <v/>
          </cell>
          <cell r="F473">
            <v>44</v>
          </cell>
          <cell r="G473">
            <v>30</v>
          </cell>
          <cell r="H473" t="str">
            <v>MAROJAS@UTALCA.CL</v>
          </cell>
        </row>
        <row r="474">
          <cell r="B474">
            <v>13206803</v>
          </cell>
          <cell r="C474">
            <v>8</v>
          </cell>
          <cell r="D474" t="str">
            <v>DOIZI SAN MARTIN BEATRIZ ALEJA</v>
          </cell>
          <cell r="E474" t="str">
            <v>VRF400009</v>
          </cell>
          <cell r="F474">
            <v>22</v>
          </cell>
          <cell r="G474">
            <v>30</v>
          </cell>
          <cell r="H474" t="str">
            <v>BDOIZI@UTALCA.CL</v>
          </cell>
        </row>
        <row r="475">
          <cell r="B475">
            <v>13207851</v>
          </cell>
          <cell r="C475">
            <v>3</v>
          </cell>
          <cell r="D475" t="str">
            <v>HERNANDEZ ESPINOZA DIOGENES AN</v>
          </cell>
          <cell r="E475" t="str">
            <v>FCI320004</v>
          </cell>
          <cell r="F475">
            <v>44</v>
          </cell>
          <cell r="G475">
            <v>30</v>
          </cell>
          <cell r="H475" t="str">
            <v>DHERNANDEZ@UTALCA.CL</v>
          </cell>
        </row>
        <row r="476">
          <cell r="B476">
            <v>13227265</v>
          </cell>
          <cell r="C476">
            <v>4</v>
          </cell>
          <cell r="D476" t="str">
            <v>GALLARDO CUADRA ISMAEL ENRIQUE</v>
          </cell>
          <cell r="E476" t="str">
            <v>FPS200001</v>
          </cell>
          <cell r="F476">
            <v>44</v>
          </cell>
          <cell r="G476">
            <v>30</v>
          </cell>
          <cell r="H476" t="str">
            <v>IGALLARDO@UTALCA.CL</v>
          </cell>
        </row>
        <row r="477">
          <cell r="B477">
            <v>13235099</v>
          </cell>
          <cell r="C477" t="str">
            <v>K</v>
          </cell>
          <cell r="D477" t="str">
            <v>CAMPOS URIBE VICTOR ANTONIO</v>
          </cell>
          <cell r="E477" t="str">
            <v>VRF400005</v>
          </cell>
          <cell r="F477">
            <v>44</v>
          </cell>
          <cell r="G477">
            <v>30</v>
          </cell>
          <cell r="H477" t="str">
            <v>VICAMPOS@UTALCA.CL</v>
          </cell>
        </row>
        <row r="478">
          <cell r="B478">
            <v>13252480</v>
          </cell>
          <cell r="C478">
            <v>7</v>
          </cell>
          <cell r="D478" t="str">
            <v>ZUÑIGA ALEGRIA BLANCA MARIA LU</v>
          </cell>
          <cell r="E478" t="str">
            <v>FAD310001</v>
          </cell>
          <cell r="F478">
            <v>44</v>
          </cell>
          <cell r="G478">
            <v>30</v>
          </cell>
          <cell r="H478" t="str">
            <v>BZUNIGA@UTALCA.CL</v>
          </cell>
        </row>
        <row r="479">
          <cell r="B479">
            <v>13273034</v>
          </cell>
          <cell r="C479">
            <v>2</v>
          </cell>
          <cell r="D479" t="str">
            <v>VALDIVIESO CLEN PEDRO PABLO</v>
          </cell>
          <cell r="E479" t="str">
            <v>ADC021001</v>
          </cell>
          <cell r="F479">
            <v>44</v>
          </cell>
          <cell r="G479">
            <v>30</v>
          </cell>
          <cell r="H479" t="str">
            <v>PVALDIVIESO@UTALCA.CL</v>
          </cell>
        </row>
        <row r="480">
          <cell r="B480">
            <v>13278731</v>
          </cell>
          <cell r="C480" t="str">
            <v>K</v>
          </cell>
          <cell r="D480" t="str">
            <v>ROBLEROS MENESES CAROLINA ALEJ</v>
          </cell>
          <cell r="E480" t="str">
            <v>FAD310004</v>
          </cell>
          <cell r="F480">
            <v>44</v>
          </cell>
          <cell r="G480">
            <v>30</v>
          </cell>
          <cell r="H480" t="str">
            <v>CROBLEROS@UTALCA.CL</v>
          </cell>
        </row>
        <row r="481">
          <cell r="B481">
            <v>13289648</v>
          </cell>
          <cell r="C481">
            <v>8</v>
          </cell>
          <cell r="D481" t="str">
            <v>BRIONES MARTINEZ LUCIA MAGDALE</v>
          </cell>
          <cell r="E481" t="str">
            <v>ICB300001</v>
          </cell>
          <cell r="F481">
            <v>44</v>
          </cell>
          <cell r="G481">
            <v>30</v>
          </cell>
          <cell r="H481" t="str">
            <v>LBRIONES@UTALCA.CL</v>
          </cell>
        </row>
        <row r="482">
          <cell r="B482">
            <v>13304000</v>
          </cell>
          <cell r="C482">
            <v>5</v>
          </cell>
          <cell r="D482" t="str">
            <v>LAGOS SALVATIERRA DIEGO EDUARD</v>
          </cell>
          <cell r="E482" t="str">
            <v>FCI320002</v>
          </cell>
          <cell r="F482">
            <v>44</v>
          </cell>
          <cell r="G482">
            <v>30</v>
          </cell>
          <cell r="H482" t="str">
            <v>DLAGOS@UTALCA.CL</v>
          </cell>
        </row>
        <row r="483">
          <cell r="B483">
            <v>13304478</v>
          </cell>
          <cell r="C483">
            <v>7</v>
          </cell>
          <cell r="D483" t="str">
            <v>PAREDES MONTECINO DANIEL</v>
          </cell>
          <cell r="E483" t="str">
            <v>VGE400020</v>
          </cell>
          <cell r="F483">
            <v>44</v>
          </cell>
          <cell r="G483">
            <v>30</v>
          </cell>
          <cell r="H483" t="str">
            <v>DANIEL.PAREDES@UTALCA.CL</v>
          </cell>
        </row>
        <row r="484">
          <cell r="B484">
            <v>13304573</v>
          </cell>
          <cell r="C484">
            <v>2</v>
          </cell>
          <cell r="D484" t="str">
            <v>ROJAS HERRERA JOSE MANUEL</v>
          </cell>
          <cell r="E484" t="str">
            <v>FCI320004</v>
          </cell>
          <cell r="F484">
            <v>44</v>
          </cell>
          <cell r="G484">
            <v>30</v>
          </cell>
          <cell r="H484" t="str">
            <v>JOROJAS@UTALCA.CL</v>
          </cell>
        </row>
        <row r="485">
          <cell r="B485">
            <v>13304935</v>
          </cell>
          <cell r="C485">
            <v>5</v>
          </cell>
          <cell r="D485" t="str">
            <v>CONTARDO JARA MARIA SUSANA</v>
          </cell>
          <cell r="E485" t="str">
            <v>FOD320001</v>
          </cell>
          <cell r="F485">
            <v>16</v>
          </cell>
          <cell r="G485">
            <v>30</v>
          </cell>
          <cell r="H485" t="str">
            <v>MCONTARDO@UTALCA.CL</v>
          </cell>
        </row>
        <row r="486">
          <cell r="B486">
            <v>13305261</v>
          </cell>
          <cell r="C486">
            <v>5</v>
          </cell>
          <cell r="D486" t="str">
            <v>ROJAS SALAMANCA CLAUDIO ALBERT</v>
          </cell>
          <cell r="E486" t="str">
            <v>VGE400020</v>
          </cell>
          <cell r="F486">
            <v>44</v>
          </cell>
          <cell r="G486">
            <v>30</v>
          </cell>
          <cell r="H486" t="str">
            <v>CAROJAS@UTALCA.CL</v>
          </cell>
        </row>
        <row r="487">
          <cell r="B487">
            <v>13305460</v>
          </cell>
          <cell r="C487" t="str">
            <v>K</v>
          </cell>
          <cell r="D487" t="str">
            <v>TORO OPAZO CARLA VALESKA</v>
          </cell>
          <cell r="E487" t="str">
            <v>FCS320001</v>
          </cell>
          <cell r="F487">
            <v>44</v>
          </cell>
          <cell r="G487">
            <v>30</v>
          </cell>
          <cell r="H487" t="str">
            <v>CTORO@UTALCA.CL</v>
          </cell>
        </row>
        <row r="488">
          <cell r="B488">
            <v>13305519</v>
          </cell>
          <cell r="C488">
            <v>3</v>
          </cell>
          <cell r="D488" t="str">
            <v>POBLETE ROJAS CARLA ELENA</v>
          </cell>
          <cell r="E488" t="str">
            <v>VGE400021</v>
          </cell>
          <cell r="F488">
            <v>44</v>
          </cell>
          <cell r="G488">
            <v>30</v>
          </cell>
          <cell r="H488" t="str">
            <v>CAPOBLETE@UTALCA.CL</v>
          </cell>
        </row>
        <row r="489">
          <cell r="B489">
            <v>13306128</v>
          </cell>
          <cell r="C489">
            <v>2</v>
          </cell>
          <cell r="D489" t="str">
            <v>BRANGIER PEÑAILILLO VICTOR MAU</v>
          </cell>
          <cell r="E489" t="str">
            <v>IAM300001</v>
          </cell>
          <cell r="F489">
            <v>44</v>
          </cell>
          <cell r="G489">
            <v>30</v>
          </cell>
          <cell r="H489" t="str">
            <v>VICTOR.BRANGIER@UTALCA.CL</v>
          </cell>
        </row>
        <row r="490">
          <cell r="B490">
            <v>13313407</v>
          </cell>
          <cell r="C490">
            <v>7</v>
          </cell>
          <cell r="D490" t="str">
            <v>RUIZ RODRIGUEZ ANDREA PAULINA</v>
          </cell>
          <cell r="E490" t="str">
            <v>FOD320001</v>
          </cell>
          <cell r="F490">
            <v>17</v>
          </cell>
          <cell r="G490">
            <v>30</v>
          </cell>
          <cell r="H490" t="str">
            <v>ARUIZ@UTALCA.CL</v>
          </cell>
        </row>
        <row r="491">
          <cell r="B491">
            <v>13328472</v>
          </cell>
          <cell r="C491">
            <v>9</v>
          </cell>
          <cell r="D491" t="str">
            <v>LEYTON ALVAREZ MAXIMILIANO ALE</v>
          </cell>
          <cell r="E491" t="str">
            <v>IMF300001</v>
          </cell>
          <cell r="F491">
            <v>44</v>
          </cell>
          <cell r="G491">
            <v>30</v>
          </cell>
          <cell r="H491" t="str">
            <v>MLEYTON@UTALCA.CL</v>
          </cell>
        </row>
        <row r="492">
          <cell r="B492">
            <v>13335727</v>
          </cell>
          <cell r="C492">
            <v>0</v>
          </cell>
          <cell r="D492" t="str">
            <v>SPENCER CONTRERAS ROSARIO ELEN</v>
          </cell>
          <cell r="E492" t="str">
            <v>FPS200001</v>
          </cell>
          <cell r="F492">
            <v>44</v>
          </cell>
          <cell r="G492">
            <v>30</v>
          </cell>
          <cell r="H492" t="str">
            <v>RSPENCER@UTALCA.CL</v>
          </cell>
        </row>
        <row r="493">
          <cell r="B493">
            <v>13350400</v>
          </cell>
          <cell r="C493">
            <v>1</v>
          </cell>
          <cell r="D493" t="str">
            <v>BECERRA NARVAEZ VERONICA ADELI</v>
          </cell>
          <cell r="E493" t="str">
            <v>FCI310007</v>
          </cell>
          <cell r="F493">
            <v>44</v>
          </cell>
          <cell r="G493">
            <v>30</v>
          </cell>
          <cell r="H493" t="str">
            <v>VERONICA.BECERRA@UTALCA.CL</v>
          </cell>
        </row>
        <row r="494">
          <cell r="B494">
            <v>13351755</v>
          </cell>
          <cell r="C494">
            <v>3</v>
          </cell>
          <cell r="D494" t="str">
            <v>ROJAS RAMIREZ SANDRA GRICEL</v>
          </cell>
          <cell r="E494" t="str">
            <v>FCI310001</v>
          </cell>
          <cell r="F494">
            <v>44</v>
          </cell>
          <cell r="G494">
            <v>30</v>
          </cell>
          <cell r="H494" t="str">
            <v>SANROJAS@UTALCA.CL</v>
          </cell>
        </row>
        <row r="495">
          <cell r="B495">
            <v>13351794</v>
          </cell>
          <cell r="C495">
            <v>4</v>
          </cell>
          <cell r="D495" t="str">
            <v>GAJARDO BETANCOUR MARISELLA PA</v>
          </cell>
          <cell r="E495" t="str">
            <v>VGE400052</v>
          </cell>
          <cell r="F495">
            <v>44</v>
          </cell>
          <cell r="G495">
            <v>30</v>
          </cell>
          <cell r="H495" t="str">
            <v>MARISELLA.GAJARDO@UTALCA.CL</v>
          </cell>
        </row>
        <row r="496">
          <cell r="B496">
            <v>13369361</v>
          </cell>
          <cell r="C496">
            <v>0</v>
          </cell>
          <cell r="D496" t="str">
            <v>DONOSO MARTINEZ FRANCISCO ANTO</v>
          </cell>
          <cell r="E496" t="str">
            <v>FOD320003</v>
          </cell>
          <cell r="F496">
            <v>22</v>
          </cell>
          <cell r="G496">
            <v>30</v>
          </cell>
          <cell r="H496" t="str">
            <v>FDONOSO@UTALCA.CL</v>
          </cell>
        </row>
        <row r="497">
          <cell r="B497">
            <v>13370626</v>
          </cell>
          <cell r="C497">
            <v>7</v>
          </cell>
          <cell r="D497" t="str">
            <v>VILLAR FAUNDES CECILIA DEL CAR</v>
          </cell>
          <cell r="E497" t="str">
            <v>VRF400009</v>
          </cell>
          <cell r="F497">
            <v>44</v>
          </cell>
          <cell r="G497">
            <v>30</v>
          </cell>
          <cell r="H497" t="str">
            <v>CEVILLAR@UTALCA.CL</v>
          </cell>
        </row>
        <row r="498">
          <cell r="B498">
            <v>13371939</v>
          </cell>
          <cell r="C498">
            <v>3</v>
          </cell>
          <cell r="D498" t="str">
            <v>ALBORNOZ VERDUGO MARIA ELIANA</v>
          </cell>
          <cell r="E498" t="str">
            <v>FCS320007</v>
          </cell>
          <cell r="F498">
            <v>44</v>
          </cell>
          <cell r="G498">
            <v>30</v>
          </cell>
          <cell r="H498" t="str">
            <v>MEALBORNOZ@UTALCA.CL</v>
          </cell>
        </row>
        <row r="499">
          <cell r="B499">
            <v>13377307</v>
          </cell>
          <cell r="C499" t="str">
            <v>K</v>
          </cell>
          <cell r="D499" t="str">
            <v>RODRIGUEZ JAQUE CLAUDIA PAMELA</v>
          </cell>
          <cell r="E499" t="str">
            <v>FOD320001</v>
          </cell>
          <cell r="F499">
            <v>33</v>
          </cell>
          <cell r="G499">
            <v>30</v>
          </cell>
          <cell r="H499" t="str">
            <v>CRODRIGUEZ@UTALCA.CL</v>
          </cell>
        </row>
        <row r="500">
          <cell r="B500">
            <v>13385423</v>
          </cell>
          <cell r="C500">
            <v>1</v>
          </cell>
          <cell r="D500" t="str">
            <v>YAÑEZ STEGMAIER LISBET ANDREA</v>
          </cell>
          <cell r="E500" t="str">
            <v>VAC400062</v>
          </cell>
          <cell r="F500">
            <v>44</v>
          </cell>
          <cell r="G500">
            <v>30</v>
          </cell>
          <cell r="H500" t="str">
            <v>LYANEZ@UTALCA.CL</v>
          </cell>
        </row>
        <row r="501">
          <cell r="B501">
            <v>13389579</v>
          </cell>
          <cell r="C501">
            <v>5</v>
          </cell>
          <cell r="D501" t="str">
            <v>TORRES BRAVO LEYLA DANAE</v>
          </cell>
          <cell r="E501" t="str">
            <v>IAM300001</v>
          </cell>
          <cell r="F501">
            <v>44</v>
          </cell>
          <cell r="G501">
            <v>30</v>
          </cell>
          <cell r="H501" t="str">
            <v>LTORRES@UTALCA.CL</v>
          </cell>
        </row>
        <row r="502">
          <cell r="B502">
            <v>13406156</v>
          </cell>
          <cell r="C502">
            <v>1</v>
          </cell>
          <cell r="D502" t="str">
            <v>BALLESTEROS TEUBER MARIA SOLED</v>
          </cell>
          <cell r="E502" t="str">
            <v>FAM310001</v>
          </cell>
          <cell r="F502">
            <v>11</v>
          </cell>
          <cell r="G502">
            <v>30</v>
          </cell>
          <cell r="H502" t="str">
            <v>SBALLESTEROS17@HOTMAIL.COM</v>
          </cell>
        </row>
        <row r="503">
          <cell r="B503">
            <v>13422276</v>
          </cell>
          <cell r="C503" t="str">
            <v>K</v>
          </cell>
          <cell r="D503" t="str">
            <v>SABANDO VARAS CAROLINA ALEJAND</v>
          </cell>
          <cell r="E503" t="str">
            <v>FOD320002</v>
          </cell>
          <cell r="F503">
            <v>22</v>
          </cell>
          <cell r="G503">
            <v>30</v>
          </cell>
          <cell r="H503" t="str">
            <v>CSABANDO@UTALCA.CL</v>
          </cell>
        </row>
        <row r="504">
          <cell r="B504">
            <v>13438434</v>
          </cell>
          <cell r="C504">
            <v>4</v>
          </cell>
          <cell r="D504" t="str">
            <v>VERGARA LOPEZ MONICA JOHANNA</v>
          </cell>
          <cell r="E504" t="str">
            <v>ADC310002</v>
          </cell>
          <cell r="F504">
            <v>44</v>
          </cell>
          <cell r="G504">
            <v>30</v>
          </cell>
          <cell r="H504" t="str">
            <v>MOVERGARA@UTALCA.CL</v>
          </cell>
        </row>
        <row r="505">
          <cell r="B505">
            <v>13441280</v>
          </cell>
          <cell r="C505">
            <v>1</v>
          </cell>
          <cell r="D505" t="str">
            <v>HAMILTON CRUCHAGA RAIMUNDO</v>
          </cell>
          <cell r="E505" t="str">
            <v>FAD310002</v>
          </cell>
          <cell r="F505">
            <v>44</v>
          </cell>
          <cell r="G505">
            <v>30</v>
          </cell>
          <cell r="H505" t="str">
            <v>RHAMILTON@UTALCA.CL</v>
          </cell>
        </row>
        <row r="506">
          <cell r="B506">
            <v>13443487</v>
          </cell>
          <cell r="C506">
            <v>2</v>
          </cell>
          <cell r="D506" t="str">
            <v>GARCIA ARAVENA SILVIA MARCELA</v>
          </cell>
          <cell r="E506" t="str">
            <v>FED310002</v>
          </cell>
          <cell r="F506">
            <v>44</v>
          </cell>
          <cell r="G506">
            <v>30</v>
          </cell>
          <cell r="H506" t="str">
            <v>SIGARCIA@UTALCA.CL</v>
          </cell>
        </row>
        <row r="507">
          <cell r="B507">
            <v>13450842</v>
          </cell>
          <cell r="C507">
            <v>6</v>
          </cell>
          <cell r="D507" t="str">
            <v>VILLARROEL BLOOMFIELD ALEJANDR</v>
          </cell>
          <cell r="E507" t="str">
            <v>VRF400009</v>
          </cell>
          <cell r="F507">
            <v>44</v>
          </cell>
          <cell r="G507">
            <v>30</v>
          </cell>
          <cell r="H507" t="str">
            <v>AVILLARROEL@UTALCA.CL</v>
          </cell>
        </row>
        <row r="508">
          <cell r="B508">
            <v>13454341</v>
          </cell>
          <cell r="C508">
            <v>8</v>
          </cell>
          <cell r="D508" t="str">
            <v>ARAYA ILUFIZ CLAUDIA LOURDES</v>
          </cell>
          <cell r="E508" t="str">
            <v>FCS320001</v>
          </cell>
          <cell r="F508">
            <v>44</v>
          </cell>
          <cell r="G508">
            <v>30</v>
          </cell>
          <cell r="H508" t="str">
            <v>CLARAYA@UTALCA.CL</v>
          </cell>
        </row>
        <row r="509">
          <cell r="B509">
            <v>13454344</v>
          </cell>
          <cell r="C509">
            <v>2</v>
          </cell>
          <cell r="D509" t="str">
            <v>LEIVA BIANCHI MARCELO CRISTIAN</v>
          </cell>
          <cell r="E509" t="str">
            <v>FPS200001</v>
          </cell>
          <cell r="F509">
            <v>44</v>
          </cell>
          <cell r="G509">
            <v>30</v>
          </cell>
          <cell r="H509" t="str">
            <v>MARCLEIVA@UTALCA.CL</v>
          </cell>
        </row>
        <row r="510">
          <cell r="B510">
            <v>13454767</v>
          </cell>
          <cell r="C510">
            <v>7</v>
          </cell>
          <cell r="D510" t="str">
            <v>SOTO GONZALEZ CESAR ESTEBAN</v>
          </cell>
          <cell r="E510" t="str">
            <v>ADC021001</v>
          </cell>
          <cell r="F510">
            <v>44</v>
          </cell>
          <cell r="G510">
            <v>30</v>
          </cell>
          <cell r="H510" t="str">
            <v>CESAR.SOTO@UTALCA.CL</v>
          </cell>
        </row>
        <row r="511">
          <cell r="B511">
            <v>13458926</v>
          </cell>
          <cell r="C511">
            <v>4</v>
          </cell>
          <cell r="D511" t="str">
            <v>MARICAN RIQUELME ADOLFO ANDRES</v>
          </cell>
          <cell r="E511" t="str">
            <v>IQR300001</v>
          </cell>
          <cell r="F511">
            <v>44</v>
          </cell>
          <cell r="G511">
            <v>30</v>
          </cell>
          <cell r="H511" t="str">
            <v>AMARICAN@UTALCA.CL</v>
          </cell>
        </row>
        <row r="512">
          <cell r="B512">
            <v>13459074</v>
          </cell>
          <cell r="C512">
            <v>2</v>
          </cell>
          <cell r="D512" t="str">
            <v>ESPINOZA ARANEDA JESSICA ANDRE</v>
          </cell>
          <cell r="E512" t="str">
            <v>FCS320009</v>
          </cell>
          <cell r="F512">
            <v>44</v>
          </cell>
          <cell r="G512">
            <v>30</v>
          </cell>
          <cell r="H512" t="str">
            <v>JEESPINOZA@UTALCA.CL</v>
          </cell>
        </row>
        <row r="513">
          <cell r="B513">
            <v>13483861</v>
          </cell>
          <cell r="C513">
            <v>2</v>
          </cell>
          <cell r="D513" t="str">
            <v>DIAZ ULLOA GONZALO ALBERTO</v>
          </cell>
          <cell r="E513" t="str">
            <v>FCA320003</v>
          </cell>
          <cell r="F513">
            <v>44</v>
          </cell>
          <cell r="G513">
            <v>30</v>
          </cell>
          <cell r="H513" t="str">
            <v>G.DIAZ@UTALCA.CL</v>
          </cell>
        </row>
        <row r="514">
          <cell r="B514">
            <v>13505167</v>
          </cell>
          <cell r="C514">
            <v>5</v>
          </cell>
          <cell r="D514" t="str">
            <v>DEL PINO ACUÑA FABIOLA ALEJAND</v>
          </cell>
          <cell r="E514" t="str">
            <v>ADC030184</v>
          </cell>
          <cell r="F514">
            <v>44</v>
          </cell>
          <cell r="G514">
            <v>30</v>
          </cell>
          <cell r="H514" t="str">
            <v>FDELPINO@UTALCA.CL</v>
          </cell>
        </row>
        <row r="515">
          <cell r="B515">
            <v>13505248</v>
          </cell>
          <cell r="C515">
            <v>5</v>
          </cell>
          <cell r="D515" t="str">
            <v>HERRERA LEIVA RODRIGO SEBASTIA</v>
          </cell>
          <cell r="E515" t="str">
            <v>FEN310001</v>
          </cell>
          <cell r="F515">
            <v>44</v>
          </cell>
          <cell r="G515">
            <v>30</v>
          </cell>
          <cell r="H515" t="str">
            <v>RODRIGO.HERRERA@UTALCA.CL</v>
          </cell>
        </row>
        <row r="516">
          <cell r="B516">
            <v>13505468</v>
          </cell>
          <cell r="C516">
            <v>2</v>
          </cell>
          <cell r="D516" t="str">
            <v>OJEDA DETHLEFFSEN FELIPE IGNAC</v>
          </cell>
          <cell r="E516" t="str">
            <v>ADC015001</v>
          </cell>
          <cell r="F516">
            <v>44</v>
          </cell>
          <cell r="G516">
            <v>30</v>
          </cell>
          <cell r="H516" t="str">
            <v>FELIPE.OJEDA@UTALCA.CL</v>
          </cell>
        </row>
        <row r="517">
          <cell r="B517">
            <v>13505511</v>
          </cell>
          <cell r="C517">
            <v>5</v>
          </cell>
          <cell r="D517" t="str">
            <v>GATICA ROJAS VALESKA FABIOLA</v>
          </cell>
          <cell r="E517" t="str">
            <v>FCS320009</v>
          </cell>
          <cell r="F517">
            <v>44</v>
          </cell>
          <cell r="G517">
            <v>30</v>
          </cell>
          <cell r="H517" t="str">
            <v>VGATICA@UTALCA.CL</v>
          </cell>
        </row>
        <row r="518">
          <cell r="B518">
            <v>13505789</v>
          </cell>
          <cell r="C518">
            <v>4</v>
          </cell>
          <cell r="D518" t="str">
            <v>RODRIGUEZ CONTRERAS JESSICA JA</v>
          </cell>
          <cell r="E518" t="str">
            <v>VAC100001</v>
          </cell>
          <cell r="F518">
            <v>44</v>
          </cell>
          <cell r="G518">
            <v>30</v>
          </cell>
          <cell r="H518" t="str">
            <v>JERODRIGUEZ@UTALCA.CL</v>
          </cell>
        </row>
        <row r="519">
          <cell r="B519">
            <v>13505889</v>
          </cell>
          <cell r="C519">
            <v>0</v>
          </cell>
          <cell r="D519" t="str">
            <v>MORA DOUGLAS CAROLINA BEATRIZ</v>
          </cell>
          <cell r="E519" t="str">
            <v>VRF400008</v>
          </cell>
          <cell r="F519">
            <v>44</v>
          </cell>
          <cell r="G519">
            <v>30</v>
          </cell>
          <cell r="H519" t="str">
            <v>CAMORA@UTALCA.CL</v>
          </cell>
        </row>
        <row r="520">
          <cell r="B520">
            <v>13505938</v>
          </cell>
          <cell r="C520">
            <v>2</v>
          </cell>
          <cell r="D520" t="str">
            <v>MALDONADO BURGOS MELISSA ROSE</v>
          </cell>
          <cell r="E520" t="str">
            <v>VRF400009</v>
          </cell>
          <cell r="F520">
            <v>44</v>
          </cell>
          <cell r="G520">
            <v>30</v>
          </cell>
          <cell r="H520" t="str">
            <v>MELISSA.MALDONADO@UTALCA.CL</v>
          </cell>
        </row>
        <row r="521">
          <cell r="B521">
            <v>13506125</v>
          </cell>
          <cell r="C521">
            <v>5</v>
          </cell>
          <cell r="D521" t="str">
            <v>LOYOLA CORDERO MARCELA ANDREA</v>
          </cell>
          <cell r="E521" t="str">
            <v>ADC011001</v>
          </cell>
          <cell r="F521">
            <v>44</v>
          </cell>
          <cell r="G521">
            <v>30</v>
          </cell>
          <cell r="H521" t="str">
            <v>MLOYOLA@UTALCA.CL</v>
          </cell>
        </row>
        <row r="522">
          <cell r="B522">
            <v>13506242</v>
          </cell>
          <cell r="C522">
            <v>1</v>
          </cell>
          <cell r="D522" t="str">
            <v>ALBORNOZ FAUNDEZ RODRIGO JAVIE</v>
          </cell>
          <cell r="E522" t="str">
            <v>ADC021005</v>
          </cell>
          <cell r="F522">
            <v>44</v>
          </cell>
          <cell r="G522">
            <v>30</v>
          </cell>
          <cell r="H522" t="str">
            <v>RALBORNOZ@UTALCA.CL</v>
          </cell>
        </row>
        <row r="523">
          <cell r="B523">
            <v>13550942</v>
          </cell>
          <cell r="C523">
            <v>6</v>
          </cell>
          <cell r="D523" t="str">
            <v>MOLINA MONTENEGRO MARCO ANTONI</v>
          </cell>
          <cell r="E523" t="str">
            <v>ICB300001</v>
          </cell>
          <cell r="F523">
            <v>44</v>
          </cell>
          <cell r="G523">
            <v>30</v>
          </cell>
          <cell r="H523" t="str">
            <v>MARCO.MOLINA@UTALCA.CL</v>
          </cell>
        </row>
        <row r="524">
          <cell r="B524">
            <v>13551549</v>
          </cell>
          <cell r="C524">
            <v>3</v>
          </cell>
          <cell r="D524" t="str">
            <v>ALALUF GONZALEZ LORENA ESTER</v>
          </cell>
          <cell r="E524" t="str">
            <v>FED310002</v>
          </cell>
          <cell r="F524">
            <v>44</v>
          </cell>
          <cell r="G524">
            <v>30</v>
          </cell>
          <cell r="H524" t="str">
            <v>LORENA.ALALUF@UTALCA.CL</v>
          </cell>
        </row>
        <row r="525">
          <cell r="B525">
            <v>13571177</v>
          </cell>
          <cell r="C525">
            <v>2</v>
          </cell>
          <cell r="D525" t="str">
            <v>MUÑOZ AVENDAÑO INGRID CECILIA</v>
          </cell>
          <cell r="E525" t="str">
            <v>FOD320003</v>
          </cell>
          <cell r="F525">
            <v>11</v>
          </cell>
          <cell r="G525">
            <v>30</v>
          </cell>
          <cell r="H525" t="str">
            <v>INMUNOZ@UTALCA.CL</v>
          </cell>
        </row>
        <row r="526">
          <cell r="B526">
            <v>13572240</v>
          </cell>
          <cell r="C526">
            <v>5</v>
          </cell>
          <cell r="D526" t="str">
            <v>LOPEZ FARIAS BERNARDA ANDREA</v>
          </cell>
          <cell r="E526" t="str">
            <v>FCS320007</v>
          </cell>
          <cell r="F526">
            <v>44</v>
          </cell>
          <cell r="G526">
            <v>30</v>
          </cell>
          <cell r="H526" t="str">
            <v>BLOPEZ@UTALCA.CL</v>
          </cell>
        </row>
        <row r="527">
          <cell r="B527">
            <v>13574348</v>
          </cell>
          <cell r="C527">
            <v>8</v>
          </cell>
          <cell r="D527" t="str">
            <v>MUÑOZ SAN MARTIN MARIA LORETO</v>
          </cell>
          <cell r="E527" t="str">
            <v>FCI200001</v>
          </cell>
          <cell r="F527">
            <v>44</v>
          </cell>
          <cell r="G527">
            <v>30</v>
          </cell>
          <cell r="H527" t="str">
            <v>MARIA.MUNOZS@UTALCA.CL</v>
          </cell>
        </row>
        <row r="528">
          <cell r="B528">
            <v>13575946</v>
          </cell>
          <cell r="C528">
            <v>5</v>
          </cell>
          <cell r="D528" t="str">
            <v>GONZALEZ LOPEZ BENITA BEATRIZ</v>
          </cell>
          <cell r="E528" t="str">
            <v>ICB300001</v>
          </cell>
          <cell r="F528">
            <v>30</v>
          </cell>
          <cell r="G528">
            <v>30</v>
          </cell>
          <cell r="H528" t="str">
            <v>BGONZALEZ@UTALCA.CL</v>
          </cell>
        </row>
        <row r="529">
          <cell r="B529">
            <v>13600403</v>
          </cell>
          <cell r="C529">
            <v>4</v>
          </cell>
          <cell r="D529" t="str">
            <v>GUERRERO ARAVENA CAROLINA ANDR</v>
          </cell>
          <cell r="E529" t="str">
            <v>FCA600001</v>
          </cell>
          <cell r="F529">
            <v>44</v>
          </cell>
          <cell r="G529">
            <v>30</v>
          </cell>
          <cell r="H529" t="str">
            <v>CGUERRERO@UTALCA.CL</v>
          </cell>
        </row>
        <row r="530">
          <cell r="B530">
            <v>13601833</v>
          </cell>
          <cell r="C530">
            <v>7</v>
          </cell>
          <cell r="D530" t="str">
            <v>SALAZAR VERGARA JUAN CARLOS AU</v>
          </cell>
          <cell r="E530" t="str">
            <v>ADC013001</v>
          </cell>
          <cell r="F530">
            <v>44</v>
          </cell>
          <cell r="G530">
            <v>30</v>
          </cell>
          <cell r="H530" t="str">
            <v>JUSALAZAR@UTALCA.CL</v>
          </cell>
        </row>
        <row r="531">
          <cell r="B531">
            <v>13601841</v>
          </cell>
          <cell r="C531">
            <v>8</v>
          </cell>
          <cell r="D531" t="str">
            <v>RAMOS FUENTES JOSE MIGUEL</v>
          </cell>
          <cell r="E531" t="str">
            <v>FAD310004</v>
          </cell>
          <cell r="F531">
            <v>44</v>
          </cell>
          <cell r="G531">
            <v>30</v>
          </cell>
          <cell r="H531" t="str">
            <v>JRAMOS@UTALCA.CL</v>
          </cell>
        </row>
        <row r="532">
          <cell r="B532">
            <v>13602075</v>
          </cell>
          <cell r="C532">
            <v>7</v>
          </cell>
          <cell r="D532" t="str">
            <v>CELIS CONTRERAS CESAR EDUARDO</v>
          </cell>
          <cell r="E532" t="str">
            <v>FOD320002</v>
          </cell>
          <cell r="F532">
            <v>22</v>
          </cell>
          <cell r="G532">
            <v>30</v>
          </cell>
          <cell r="H532" t="str">
            <v>CCELIS@UTALCA.CL</v>
          </cell>
        </row>
        <row r="533">
          <cell r="B533">
            <v>13602083</v>
          </cell>
          <cell r="C533">
            <v>8</v>
          </cell>
          <cell r="D533" t="str">
            <v>CASTRO VIDAL FRANCISCA RITA</v>
          </cell>
          <cell r="E533" t="str">
            <v>VRF100002</v>
          </cell>
          <cell r="F533">
            <v>33</v>
          </cell>
          <cell r="G533">
            <v>30</v>
          </cell>
          <cell r="H533" t="str">
            <v>FRCASTRO@UTALCA.CL</v>
          </cell>
        </row>
        <row r="534">
          <cell r="B534">
            <v>13611141</v>
          </cell>
          <cell r="C534">
            <v>8</v>
          </cell>
          <cell r="D534" t="str">
            <v>FARIAS FLORES PATRICIA GABRIEL</v>
          </cell>
          <cell r="E534" t="str">
            <v>ADC014001</v>
          </cell>
          <cell r="F534">
            <v>44</v>
          </cell>
          <cell r="G534">
            <v>30</v>
          </cell>
          <cell r="H534" t="str">
            <v>PFARIAS@UTALCA.CL</v>
          </cell>
        </row>
        <row r="535">
          <cell r="B535">
            <v>13611187</v>
          </cell>
          <cell r="C535">
            <v>6</v>
          </cell>
          <cell r="D535" t="str">
            <v>MOORE CARRASCO RODRIGO ERNESTO</v>
          </cell>
          <cell r="E535" t="str">
            <v>FCS320001</v>
          </cell>
          <cell r="F535">
            <v>44</v>
          </cell>
          <cell r="G535">
            <v>30</v>
          </cell>
          <cell r="H535" t="str">
            <v>RMOORE@UTALCA.CL</v>
          </cell>
        </row>
        <row r="536">
          <cell r="B536">
            <v>13611334</v>
          </cell>
          <cell r="C536">
            <v>8</v>
          </cell>
          <cell r="D536" t="str">
            <v>MAUREIRA ORELLANA MACARENA ELI</v>
          </cell>
          <cell r="E536" t="str">
            <v>VGE400050</v>
          </cell>
          <cell r="F536">
            <v>44</v>
          </cell>
          <cell r="G536">
            <v>30</v>
          </cell>
          <cell r="H536" t="str">
            <v>M.MAUREIRA@UTALCA.CL</v>
          </cell>
        </row>
        <row r="537">
          <cell r="B537">
            <v>13611821</v>
          </cell>
          <cell r="C537">
            <v>8</v>
          </cell>
          <cell r="D537" t="str">
            <v>ARTEAGA MUÑOZ DIEGO ALEJANDRO</v>
          </cell>
          <cell r="E537" t="str">
            <v>FAM350001</v>
          </cell>
          <cell r="F537">
            <v>44</v>
          </cell>
          <cell r="G537">
            <v>30</v>
          </cell>
          <cell r="H537" t="str">
            <v>DIMUNOZ@UTALCA.CL</v>
          </cell>
        </row>
        <row r="538">
          <cell r="B538">
            <v>13611909</v>
          </cell>
          <cell r="C538">
            <v>5</v>
          </cell>
          <cell r="D538" t="str">
            <v>LABBE VASQUEZ ERIKA JOHANNA</v>
          </cell>
          <cell r="E538" t="str">
            <v>ADC022001</v>
          </cell>
          <cell r="F538">
            <v>44</v>
          </cell>
          <cell r="G538">
            <v>30</v>
          </cell>
          <cell r="H538" t="str">
            <v>ERIKA.VASQUEZL@UTALCA.CL</v>
          </cell>
        </row>
        <row r="539">
          <cell r="B539">
            <v>13612039</v>
          </cell>
          <cell r="C539">
            <v>5</v>
          </cell>
          <cell r="D539" t="str">
            <v>AMIGO ROJAS CLAUDIA PAMELA</v>
          </cell>
          <cell r="E539" t="str">
            <v>FCS320012</v>
          </cell>
          <cell r="F539">
            <v>44</v>
          </cell>
          <cell r="G539">
            <v>30</v>
          </cell>
          <cell r="H539" t="str">
            <v>CAMIGO@UTALCA.CL</v>
          </cell>
        </row>
        <row r="540">
          <cell r="B540">
            <v>13612639</v>
          </cell>
          <cell r="C540">
            <v>3</v>
          </cell>
          <cell r="D540" t="str">
            <v>OYARCE FERNANDEZ NANCY DE LA P</v>
          </cell>
          <cell r="E540" t="str">
            <v>ADC022001</v>
          </cell>
          <cell r="F540">
            <v>44</v>
          </cell>
          <cell r="G540">
            <v>30</v>
          </cell>
          <cell r="H540" t="str">
            <v>NANCY.OYARCE@UTALCA.CL</v>
          </cell>
        </row>
        <row r="541">
          <cell r="B541">
            <v>13612712</v>
          </cell>
          <cell r="C541">
            <v>8</v>
          </cell>
          <cell r="D541" t="str">
            <v>FUENTES PALMA BERNARDITA VALES</v>
          </cell>
          <cell r="E541" t="str">
            <v>FOD320002</v>
          </cell>
          <cell r="F541">
            <v>33</v>
          </cell>
          <cell r="G541">
            <v>30</v>
          </cell>
          <cell r="H541" t="str">
            <v>BFUENTES@UTALCA.CL</v>
          </cell>
        </row>
        <row r="542">
          <cell r="B542">
            <v>13612849</v>
          </cell>
          <cell r="C542">
            <v>3</v>
          </cell>
          <cell r="D542" t="str">
            <v>GONZALEZ VILLALOBOS ALVARO FEL</v>
          </cell>
          <cell r="E542" t="str">
            <v>FOD320001</v>
          </cell>
          <cell r="F542">
            <v>11</v>
          </cell>
          <cell r="G542">
            <v>30</v>
          </cell>
          <cell r="H542" t="str">
            <v>AGONZALEZ@UTALCA.CL</v>
          </cell>
        </row>
        <row r="543">
          <cell r="B543">
            <v>13612968</v>
          </cell>
          <cell r="C543">
            <v>6</v>
          </cell>
          <cell r="D543" t="str">
            <v>URIBE ORTIZ JOSE LUIS</v>
          </cell>
          <cell r="E543" t="str">
            <v>FAD310001</v>
          </cell>
          <cell r="F543">
            <v>44</v>
          </cell>
          <cell r="G543">
            <v>30</v>
          </cell>
          <cell r="H543" t="str">
            <v>JURIBE@UTALCA.CL</v>
          </cell>
        </row>
        <row r="544">
          <cell r="B544">
            <v>13624042</v>
          </cell>
          <cell r="C544">
            <v>0</v>
          </cell>
          <cell r="D544" t="str">
            <v>RIQUELME WON JUAN ANDRES</v>
          </cell>
          <cell r="E544" t="str">
            <v>FEN310001</v>
          </cell>
          <cell r="F544">
            <v>44</v>
          </cell>
          <cell r="G544">
            <v>30</v>
          </cell>
          <cell r="H544" t="str">
            <v>JURIQUELME@UTALCA.CL</v>
          </cell>
        </row>
        <row r="545">
          <cell r="B545">
            <v>13634323</v>
          </cell>
          <cell r="C545">
            <v>8</v>
          </cell>
          <cell r="D545" t="str">
            <v>MARTINEZ RAMIREZ CARLOS IGNACI</v>
          </cell>
          <cell r="E545" t="str">
            <v>ADC021005</v>
          </cell>
          <cell r="F545">
            <v>44</v>
          </cell>
          <cell r="G545">
            <v>30</v>
          </cell>
          <cell r="H545" t="str">
            <v>CARLOS.MARTINEZ@UTALCA.CL</v>
          </cell>
        </row>
        <row r="546">
          <cell r="B546">
            <v>13657174</v>
          </cell>
          <cell r="C546">
            <v>5</v>
          </cell>
          <cell r="D546" t="str">
            <v>JAIMOVICH BUSEL DANY ELIAS</v>
          </cell>
          <cell r="E546" t="str">
            <v>FEN310004</v>
          </cell>
          <cell r="F546">
            <v>44</v>
          </cell>
          <cell r="G546">
            <v>30</v>
          </cell>
          <cell r="H546" t="str">
            <v>DANY.JAIMOVICH@UTALCA.CL</v>
          </cell>
        </row>
        <row r="547">
          <cell r="B547">
            <v>13657706</v>
          </cell>
          <cell r="C547">
            <v>9</v>
          </cell>
          <cell r="D547" t="str">
            <v>POLANCO RUBIO MARCELA PAULINA</v>
          </cell>
          <cell r="E547" t="str">
            <v>VGE400004</v>
          </cell>
          <cell r="F547">
            <v>44</v>
          </cell>
          <cell r="G547">
            <v>30</v>
          </cell>
          <cell r="H547" t="str">
            <v>MPOLANCO@UTALCA.CL</v>
          </cell>
        </row>
        <row r="548">
          <cell r="B548">
            <v>13661626</v>
          </cell>
          <cell r="C548">
            <v>9</v>
          </cell>
          <cell r="D548" t="str">
            <v>URBINA ALVEAR DANIELA CECILIA</v>
          </cell>
          <cell r="E548" t="str">
            <v>ICB300001</v>
          </cell>
          <cell r="F548">
            <v>44</v>
          </cell>
          <cell r="G548">
            <v>30</v>
          </cell>
          <cell r="H548" t="str">
            <v>DURBINA@UTALCA.CL</v>
          </cell>
        </row>
        <row r="549">
          <cell r="B549">
            <v>13662102</v>
          </cell>
          <cell r="C549">
            <v>5</v>
          </cell>
          <cell r="D549" t="str">
            <v>CORTES GALLARDO PEDRO PABLO</v>
          </cell>
          <cell r="E549" t="str">
            <v>VAC400001</v>
          </cell>
          <cell r="F549">
            <v>44</v>
          </cell>
          <cell r="G549">
            <v>30</v>
          </cell>
          <cell r="H549" t="str">
            <v>PECORTES@UTALCA.CL</v>
          </cell>
        </row>
        <row r="550">
          <cell r="B550">
            <v>13664735</v>
          </cell>
          <cell r="C550">
            <v>0</v>
          </cell>
          <cell r="D550" t="str">
            <v>MONTOYA SEPULVEDA CLAUDIA LORE</v>
          </cell>
          <cell r="E550" t="str">
            <v>FCS320010</v>
          </cell>
          <cell r="F550">
            <v>33</v>
          </cell>
          <cell r="G550">
            <v>30</v>
          </cell>
          <cell r="H550" t="str">
            <v>CMONTOYA@UTALCA.CL</v>
          </cell>
        </row>
        <row r="551">
          <cell r="B551">
            <v>13668458</v>
          </cell>
          <cell r="C551">
            <v>2</v>
          </cell>
          <cell r="D551" t="str">
            <v>ZAVALA LAGOS PAMELA CLAUDIA</v>
          </cell>
          <cell r="E551" t="str">
            <v>ADC024006</v>
          </cell>
          <cell r="F551">
            <v>44</v>
          </cell>
          <cell r="G551">
            <v>30</v>
          </cell>
          <cell r="H551" t="str">
            <v>PAMELA.ZAVALA@UTALCA.CL</v>
          </cell>
        </row>
        <row r="552">
          <cell r="B552">
            <v>13675901</v>
          </cell>
          <cell r="C552">
            <v>9</v>
          </cell>
          <cell r="D552" t="str">
            <v>SUBIABRE UBILLA PAULINA BEATRI</v>
          </cell>
          <cell r="E552" t="str">
            <v>FED310002</v>
          </cell>
          <cell r="F552">
            <v>44</v>
          </cell>
          <cell r="G552">
            <v>30</v>
          </cell>
          <cell r="H552" t="str">
            <v>PAULINA.SUBIABRE@UTALCA.CL</v>
          </cell>
        </row>
        <row r="553">
          <cell r="B553">
            <v>13687898</v>
          </cell>
          <cell r="C553">
            <v>0</v>
          </cell>
          <cell r="D553" t="str">
            <v>DUNIVICHER CURUTCHET BERNARDO</v>
          </cell>
          <cell r="E553" t="str">
            <v>VGE400031</v>
          </cell>
          <cell r="F553">
            <v>44</v>
          </cell>
          <cell r="G553">
            <v>30</v>
          </cell>
          <cell r="H553" t="str">
            <v>BERNARDO.DUNIVICHER@UTALCA.CL</v>
          </cell>
        </row>
        <row r="554">
          <cell r="B554">
            <v>13699261</v>
          </cell>
          <cell r="C554">
            <v>9</v>
          </cell>
          <cell r="D554" t="str">
            <v>AVILA AZOCAR NICOLE ANDREA</v>
          </cell>
          <cell r="E554" t="str">
            <v>FOD320002</v>
          </cell>
          <cell r="F554">
            <v>14</v>
          </cell>
          <cell r="G554">
            <v>30</v>
          </cell>
          <cell r="H554" t="str">
            <v>NAVILA@UTALCA.CL</v>
          </cell>
        </row>
        <row r="555">
          <cell r="B555">
            <v>13717797</v>
          </cell>
          <cell r="C555">
            <v>8</v>
          </cell>
          <cell r="D555" t="str">
            <v>SAMUR PIRACES PATRICIA VICTORI</v>
          </cell>
          <cell r="E555" t="str">
            <v>VGE400020</v>
          </cell>
          <cell r="F555">
            <v>44</v>
          </cell>
          <cell r="G555">
            <v>30</v>
          </cell>
          <cell r="H555" t="str">
            <v>PSAMUR@UTALCA.CL</v>
          </cell>
        </row>
        <row r="556">
          <cell r="B556">
            <v>13721867</v>
          </cell>
          <cell r="C556">
            <v>4</v>
          </cell>
          <cell r="D556" t="str">
            <v>RIVAS DIAZ LAURA</v>
          </cell>
          <cell r="E556" t="str">
            <v>FAM200001</v>
          </cell>
          <cell r="F556">
            <v>44</v>
          </cell>
          <cell r="G556">
            <v>30</v>
          </cell>
          <cell r="H556" t="str">
            <v>LRIVAS@UTALCA.CL</v>
          </cell>
        </row>
        <row r="557">
          <cell r="B557">
            <v>13722287</v>
          </cell>
          <cell r="C557">
            <v>6</v>
          </cell>
          <cell r="D557" t="str">
            <v>ESPINOSA SAEZ MAGNA VIRGINIA</v>
          </cell>
          <cell r="E557" t="str">
            <v>VGE400032</v>
          </cell>
          <cell r="F557">
            <v>44</v>
          </cell>
          <cell r="G557">
            <v>30</v>
          </cell>
          <cell r="H557" t="str">
            <v>MESPINOSA@UTALCA.CL</v>
          </cell>
        </row>
        <row r="558">
          <cell r="B558">
            <v>13722352</v>
          </cell>
          <cell r="C558" t="str">
            <v>K</v>
          </cell>
          <cell r="D558" t="str">
            <v>SEPÚLVEDA VASQUÉZ RENATO ANDRÉ</v>
          </cell>
          <cell r="E558" t="str">
            <v>ADC021005</v>
          </cell>
          <cell r="F558">
            <v>44</v>
          </cell>
          <cell r="G558">
            <v>30</v>
          </cell>
          <cell r="H558" t="str">
            <v>RENATOSEPULVEDA@UTALCA.CL</v>
          </cell>
        </row>
        <row r="559">
          <cell r="B559">
            <v>13722396</v>
          </cell>
          <cell r="C559">
            <v>1</v>
          </cell>
          <cell r="D559" t="str">
            <v>FUENZALIDA CORREA DARIO ALEJAN</v>
          </cell>
          <cell r="E559" t="str">
            <v>ADC013004</v>
          </cell>
          <cell r="F559">
            <v>44</v>
          </cell>
          <cell r="G559">
            <v>30</v>
          </cell>
          <cell r="H559" t="str">
            <v>DFUENZALIDA@UTALCA.CL</v>
          </cell>
        </row>
        <row r="560">
          <cell r="B560">
            <v>13722486</v>
          </cell>
          <cell r="C560">
            <v>0</v>
          </cell>
          <cell r="D560" t="str">
            <v>BARRAGAN MARTINEZ ALICIA SOLED</v>
          </cell>
          <cell r="E560" t="str">
            <v>ADC019005</v>
          </cell>
          <cell r="F560">
            <v>44</v>
          </cell>
          <cell r="G560">
            <v>30</v>
          </cell>
          <cell r="H560" t="str">
            <v>ABARRAGAN@UTALCA.CL</v>
          </cell>
        </row>
        <row r="561">
          <cell r="B561">
            <v>13722736</v>
          </cell>
          <cell r="C561">
            <v>3</v>
          </cell>
          <cell r="D561" t="str">
            <v>YAÑEZ PALACIOS PAMELA VERONICA</v>
          </cell>
          <cell r="E561" t="str">
            <v>FOD400003</v>
          </cell>
          <cell r="F561">
            <v>44</v>
          </cell>
          <cell r="G561">
            <v>30</v>
          </cell>
          <cell r="H561" t="str">
            <v>PAMELA.YANEZ@UTALCA.CL</v>
          </cell>
        </row>
        <row r="562">
          <cell r="B562">
            <v>13722879</v>
          </cell>
          <cell r="C562">
            <v>3</v>
          </cell>
          <cell r="D562" t="str">
            <v>OSES ORELLANA MACARENA DEL CAR</v>
          </cell>
          <cell r="E562" t="str">
            <v>ADC019005</v>
          </cell>
          <cell r="F562">
            <v>44</v>
          </cell>
          <cell r="G562">
            <v>30</v>
          </cell>
          <cell r="H562" t="str">
            <v>MACARENA.OSEES@UTALCA.CL</v>
          </cell>
        </row>
        <row r="563">
          <cell r="B563">
            <v>13722908</v>
          </cell>
          <cell r="C563">
            <v>0</v>
          </cell>
          <cell r="D563" t="str">
            <v>PACHECO ESPINOZA ANA CAROLINA</v>
          </cell>
          <cell r="E563" t="str">
            <v>FCS320009</v>
          </cell>
          <cell r="F563">
            <v>33</v>
          </cell>
          <cell r="G563">
            <v>30</v>
          </cell>
          <cell r="H563" t="str">
            <v>APACHECO@UTALCA.CL</v>
          </cell>
        </row>
        <row r="564">
          <cell r="B564">
            <v>13723107</v>
          </cell>
          <cell r="C564">
            <v>7</v>
          </cell>
          <cell r="D564" t="str">
            <v>VILLAR RODRIGUEZ KAREN XIMENA</v>
          </cell>
          <cell r="E564" t="str">
            <v>VGE400004</v>
          </cell>
          <cell r="F564">
            <v>44</v>
          </cell>
          <cell r="G564">
            <v>30</v>
          </cell>
          <cell r="H564" t="str">
            <v>KVILLAR@UTALCA.CL</v>
          </cell>
        </row>
        <row r="565">
          <cell r="B565">
            <v>13725804</v>
          </cell>
          <cell r="C565">
            <v>8</v>
          </cell>
          <cell r="D565" t="str">
            <v>GUIÑEZ MOLINOS SERGIO ALEJANDR</v>
          </cell>
          <cell r="E565" t="str">
            <v>FAM320001</v>
          </cell>
          <cell r="F565">
            <v>44</v>
          </cell>
          <cell r="G565">
            <v>30</v>
          </cell>
          <cell r="H565" t="str">
            <v>SGUINEZ@UTALCA.CL</v>
          </cell>
        </row>
        <row r="566">
          <cell r="B566">
            <v>13730434</v>
          </cell>
          <cell r="C566">
            <v>1</v>
          </cell>
          <cell r="D566" t="str">
            <v>BAIER FUENTES CARLOS RODRIGO</v>
          </cell>
          <cell r="E566" t="str">
            <v>FCI320007</v>
          </cell>
          <cell r="F566">
            <v>44</v>
          </cell>
          <cell r="G566">
            <v>30</v>
          </cell>
          <cell r="H566" t="str">
            <v>CBAIER@UTALCA.CL</v>
          </cell>
        </row>
        <row r="567">
          <cell r="B567">
            <v>13756490</v>
          </cell>
          <cell r="C567">
            <v>4</v>
          </cell>
          <cell r="D567" t="str">
            <v>NORAMBUENA SEPULVEDA KAREN MAR</v>
          </cell>
          <cell r="E567" t="str">
            <v>FPS200001</v>
          </cell>
          <cell r="F567">
            <v>44</v>
          </cell>
          <cell r="G567">
            <v>30</v>
          </cell>
          <cell r="H567" t="str">
            <v>KNORAMBUENA@UTALCA.CL</v>
          </cell>
        </row>
        <row r="568">
          <cell r="B568">
            <v>13756786</v>
          </cell>
          <cell r="C568">
            <v>5</v>
          </cell>
          <cell r="D568" t="str">
            <v>CARRASCO VERA VANESSA LISETTE</v>
          </cell>
          <cell r="E568" t="str">
            <v>FCJ200001</v>
          </cell>
          <cell r="F568">
            <v>44</v>
          </cell>
          <cell r="G568">
            <v>30</v>
          </cell>
          <cell r="H568" t="str">
            <v>VCARRASCO@UTALCA.CL</v>
          </cell>
        </row>
        <row r="569">
          <cell r="B569">
            <v>13756844</v>
          </cell>
          <cell r="C569">
            <v>6</v>
          </cell>
          <cell r="D569" t="str">
            <v>CARRILLO CHACANO ROBINSON FRED</v>
          </cell>
          <cell r="E569" t="str">
            <v>FOD350001</v>
          </cell>
          <cell r="F569">
            <v>44</v>
          </cell>
          <cell r="G569">
            <v>30</v>
          </cell>
          <cell r="H569" t="str">
            <v>RCARRILLO@UTALCA.CL</v>
          </cell>
        </row>
        <row r="570">
          <cell r="B570">
            <v>13765940</v>
          </cell>
          <cell r="C570">
            <v>9</v>
          </cell>
          <cell r="D570" t="str">
            <v>ZENTENO CACERES CLAUDIA ANDREA</v>
          </cell>
          <cell r="E570" t="str">
            <v>FCS320012</v>
          </cell>
          <cell r="F570">
            <v>44</v>
          </cell>
          <cell r="G570">
            <v>30</v>
          </cell>
          <cell r="H570" t="str">
            <v>CZENTENO@UTALCA.CL</v>
          </cell>
        </row>
        <row r="571">
          <cell r="B571">
            <v>13766079</v>
          </cell>
          <cell r="C571">
            <v>2</v>
          </cell>
          <cell r="D571" t="str">
            <v>QUINTANA LLANQUILEO MARIA JOSE</v>
          </cell>
          <cell r="E571" t="str">
            <v>FCS320010</v>
          </cell>
          <cell r="F571">
            <v>44</v>
          </cell>
          <cell r="G571">
            <v>30</v>
          </cell>
          <cell r="H571" t="str">
            <v>MQUINTANA@UTALCA.CL</v>
          </cell>
        </row>
        <row r="572">
          <cell r="B572">
            <v>13766843</v>
          </cell>
          <cell r="C572">
            <v>2</v>
          </cell>
          <cell r="D572" t="str">
            <v>LIENDO ROJAS ALVARO PATRICIO</v>
          </cell>
          <cell r="E572" t="str">
            <v>IMF300001</v>
          </cell>
          <cell r="F572">
            <v>44</v>
          </cell>
          <cell r="G572">
            <v>30</v>
          </cell>
          <cell r="H572" t="str">
            <v>ALIENDO@UTALCA.CL</v>
          </cell>
        </row>
        <row r="573">
          <cell r="B573">
            <v>13776374</v>
          </cell>
          <cell r="C573">
            <v>5</v>
          </cell>
          <cell r="D573" t="str">
            <v>ARENAS SALINAS MAURICIO ANTONI</v>
          </cell>
          <cell r="E573" t="str">
            <v>FCI320001</v>
          </cell>
          <cell r="F573">
            <v>44</v>
          </cell>
          <cell r="G573">
            <v>30</v>
          </cell>
          <cell r="H573" t="str">
            <v>MARENAS@UTALCA.CL</v>
          </cell>
        </row>
        <row r="574">
          <cell r="B574">
            <v>13787147</v>
          </cell>
          <cell r="C574">
            <v>5</v>
          </cell>
          <cell r="D574" t="str">
            <v>AMARO AVENDAÑO CAROL ANA</v>
          </cell>
          <cell r="E574" t="str">
            <v>VRF400022</v>
          </cell>
          <cell r="F574">
            <v>22</v>
          </cell>
          <cell r="G574">
            <v>30</v>
          </cell>
          <cell r="H574" t="str">
            <v>CAMARO@UTALCA.CL</v>
          </cell>
        </row>
        <row r="575">
          <cell r="B575">
            <v>13787406</v>
          </cell>
          <cell r="C575">
            <v>7</v>
          </cell>
          <cell r="D575" t="str">
            <v>CRESPO FLORES ALEXIS RODRIGO</v>
          </cell>
          <cell r="E575" t="str">
            <v>ADC022001</v>
          </cell>
          <cell r="F575">
            <v>44</v>
          </cell>
          <cell r="G575">
            <v>30</v>
          </cell>
          <cell r="H575" t="str">
            <v>ALEXIS.CRESPO@UTALCA.CL</v>
          </cell>
        </row>
        <row r="576">
          <cell r="B576">
            <v>13787649</v>
          </cell>
          <cell r="C576">
            <v>3</v>
          </cell>
          <cell r="D576" t="str">
            <v>PEÑA YAÑEZ IRMA MACARENA</v>
          </cell>
          <cell r="E576" t="str">
            <v>FCI320002</v>
          </cell>
          <cell r="F576">
            <v>44</v>
          </cell>
          <cell r="G576">
            <v>30</v>
          </cell>
          <cell r="H576" t="str">
            <v>IPENA@UTALCA.CL</v>
          </cell>
        </row>
        <row r="577">
          <cell r="B577">
            <v>13789666</v>
          </cell>
          <cell r="C577">
            <v>4</v>
          </cell>
          <cell r="D577" t="str">
            <v>SAN MARTIN BAEZ PATRICIO HUMBE</v>
          </cell>
          <cell r="E577" t="str">
            <v>VGE400019</v>
          </cell>
          <cell r="F577">
            <v>44</v>
          </cell>
          <cell r="G577">
            <v>30</v>
          </cell>
          <cell r="H577" t="str">
            <v>PATRICIO.SANMARTIN@UTALCA.CL</v>
          </cell>
        </row>
        <row r="578">
          <cell r="B578">
            <v>13790145</v>
          </cell>
          <cell r="C578">
            <v>5</v>
          </cell>
          <cell r="D578" t="str">
            <v>ARAYA ALVEAR SERGIO ENRIQUE</v>
          </cell>
          <cell r="E578" t="str">
            <v>VGE400055</v>
          </cell>
          <cell r="F578">
            <v>44</v>
          </cell>
          <cell r="G578">
            <v>30</v>
          </cell>
          <cell r="H578" t="str">
            <v>SEARAYA@UTALCA.CL</v>
          </cell>
        </row>
        <row r="579">
          <cell r="B579">
            <v>13791438</v>
          </cell>
          <cell r="C579">
            <v>7</v>
          </cell>
          <cell r="D579" t="str">
            <v>MORALES NORAMBUENA PAOLA ANDRE</v>
          </cell>
          <cell r="E579" t="str">
            <v>FOD320002</v>
          </cell>
          <cell r="F579">
            <v>42</v>
          </cell>
          <cell r="G579">
            <v>30</v>
          </cell>
          <cell r="H579" t="str">
            <v>PMORALESN@UTALCA.CL</v>
          </cell>
        </row>
        <row r="580">
          <cell r="B580">
            <v>13792214</v>
          </cell>
          <cell r="C580">
            <v>2</v>
          </cell>
          <cell r="D580" t="str">
            <v>MORALES HERNANDEZ YOHANA ANDRE</v>
          </cell>
          <cell r="E580" t="str">
            <v/>
          </cell>
          <cell r="F580">
            <v>44</v>
          </cell>
          <cell r="G580">
            <v>30</v>
          </cell>
          <cell r="H580" t="str">
            <v>YMORALES@UTALCA.CL</v>
          </cell>
        </row>
        <row r="581">
          <cell r="B581">
            <v>13798390</v>
          </cell>
          <cell r="C581">
            <v>7</v>
          </cell>
          <cell r="D581" t="str">
            <v>GUTIERREZ QUINTANA PATRICIO AL</v>
          </cell>
          <cell r="E581" t="str">
            <v>VAC400001</v>
          </cell>
          <cell r="F581">
            <v>44</v>
          </cell>
          <cell r="G581">
            <v>29</v>
          </cell>
          <cell r="H581" t="str">
            <v>PATRICIO.GUTIERREZ@UTALCA.CL</v>
          </cell>
        </row>
        <row r="582">
          <cell r="B582">
            <v>13830261</v>
          </cell>
          <cell r="C582" t="str">
            <v>K</v>
          </cell>
          <cell r="D582" t="str">
            <v>GARCIA GONZALEZ RODRIGO ALEXI</v>
          </cell>
          <cell r="E582" t="str">
            <v>VAC400073</v>
          </cell>
          <cell r="F582">
            <v>44</v>
          </cell>
          <cell r="G582">
            <v>30</v>
          </cell>
          <cell r="H582" t="str">
            <v>RODRIGO.GARCIA@UTALCA.CL</v>
          </cell>
        </row>
        <row r="583">
          <cell r="B583">
            <v>13846391</v>
          </cell>
          <cell r="C583">
            <v>5</v>
          </cell>
          <cell r="D583" t="str">
            <v>ITURRA RIVERA VICTOR HUGO</v>
          </cell>
          <cell r="E583" t="str">
            <v>FEN310001</v>
          </cell>
          <cell r="F583">
            <v>44</v>
          </cell>
          <cell r="G583">
            <v>30</v>
          </cell>
          <cell r="H583" t="str">
            <v>VICTOR.ITURRA@UTALCA.CL</v>
          </cell>
        </row>
        <row r="584">
          <cell r="B584">
            <v>13848095</v>
          </cell>
          <cell r="C584" t="str">
            <v>K</v>
          </cell>
          <cell r="D584" t="str">
            <v>COLIPAN URIBE XIMENA ANDREA</v>
          </cell>
          <cell r="E584" t="str">
            <v>FED310009</v>
          </cell>
          <cell r="F584">
            <v>44</v>
          </cell>
          <cell r="G584">
            <v>30</v>
          </cell>
          <cell r="H584" t="str">
            <v>XIMENA.COLIPAN@UTALCA.CL</v>
          </cell>
        </row>
        <row r="585">
          <cell r="B585">
            <v>13850577</v>
          </cell>
          <cell r="C585">
            <v>4</v>
          </cell>
          <cell r="D585" t="str">
            <v>URZUA SANDOVAL MAURICIO</v>
          </cell>
          <cell r="E585" t="str">
            <v>FCI340001</v>
          </cell>
          <cell r="F585">
            <v>44</v>
          </cell>
          <cell r="G585">
            <v>30</v>
          </cell>
          <cell r="H585" t="str">
            <v>MAURICIO.URZUA@UTALCA.CL</v>
          </cell>
        </row>
        <row r="586">
          <cell r="B586">
            <v>13853578</v>
          </cell>
          <cell r="C586">
            <v>9</v>
          </cell>
          <cell r="D586" t="str">
            <v>INOSTROZA MUÑOZ MILTON MARCELO</v>
          </cell>
          <cell r="E586" t="str">
            <v>FEN310001</v>
          </cell>
          <cell r="F586">
            <v>44</v>
          </cell>
          <cell r="G586">
            <v>30</v>
          </cell>
          <cell r="H586" t="str">
            <v>MINOSTROZA@UTALCA.CL</v>
          </cell>
        </row>
        <row r="587">
          <cell r="B587">
            <v>13856644</v>
          </cell>
          <cell r="C587">
            <v>7</v>
          </cell>
          <cell r="D587" t="str">
            <v>AVILA GONZALEZ FANI CAROLINA</v>
          </cell>
          <cell r="E587" t="str">
            <v>FCI200001</v>
          </cell>
          <cell r="F587">
            <v>35</v>
          </cell>
          <cell r="G587">
            <v>30</v>
          </cell>
          <cell r="H587" t="str">
            <v>FAVILA@UTALCA.CL</v>
          </cell>
        </row>
        <row r="588">
          <cell r="B588">
            <v>13856710</v>
          </cell>
          <cell r="C588">
            <v>9</v>
          </cell>
          <cell r="D588" t="str">
            <v>TRUJILLO HERNANDEZ ERICK GONZA</v>
          </cell>
          <cell r="E588" t="str">
            <v>FAM320001</v>
          </cell>
          <cell r="F588">
            <v>44</v>
          </cell>
          <cell r="G588">
            <v>30</v>
          </cell>
          <cell r="H588" t="str">
            <v>ETRUJILLO@UTALCA.CL</v>
          </cell>
        </row>
        <row r="589">
          <cell r="B589">
            <v>13856859</v>
          </cell>
          <cell r="C589">
            <v>8</v>
          </cell>
          <cell r="D589" t="str">
            <v>VILLALOBOS ACEVEDO MANUEL ALEJ</v>
          </cell>
          <cell r="E589" t="str">
            <v>FCS200001</v>
          </cell>
          <cell r="F589">
            <v>44</v>
          </cell>
          <cell r="G589">
            <v>30</v>
          </cell>
          <cell r="H589" t="str">
            <v>MANVILLALOBOS@UTALCA.CL</v>
          </cell>
        </row>
        <row r="590">
          <cell r="B590">
            <v>13856896</v>
          </cell>
          <cell r="C590">
            <v>2</v>
          </cell>
          <cell r="D590" t="str">
            <v>VILLALOBOS BARRIA CARLOS ALBER</v>
          </cell>
          <cell r="E590" t="str">
            <v>FEN310003</v>
          </cell>
          <cell r="F590">
            <v>44</v>
          </cell>
          <cell r="G590">
            <v>30</v>
          </cell>
          <cell r="H590" t="str">
            <v>CVILLALOBOS@UTALCA.CL</v>
          </cell>
        </row>
        <row r="591">
          <cell r="B591">
            <v>13856950</v>
          </cell>
          <cell r="C591">
            <v>0</v>
          </cell>
          <cell r="D591" t="str">
            <v>GRACIA RAMIREZ MARIA FERNANDA</v>
          </cell>
          <cell r="E591" t="str">
            <v>VGE400005</v>
          </cell>
          <cell r="F591">
            <v>44</v>
          </cell>
          <cell r="G591">
            <v>30</v>
          </cell>
          <cell r="H591" t="str">
            <v>MARGRACIA@UTALCA.CL</v>
          </cell>
        </row>
        <row r="592">
          <cell r="B592">
            <v>13857003</v>
          </cell>
          <cell r="C592">
            <v>7</v>
          </cell>
          <cell r="D592" t="str">
            <v>POBLETE RIQUELME PATRICIA ELEN</v>
          </cell>
          <cell r="E592" t="str">
            <v>ADC030115</v>
          </cell>
          <cell r="F592">
            <v>44</v>
          </cell>
          <cell r="G592">
            <v>30</v>
          </cell>
          <cell r="H592" t="str">
            <v>PATPOBLETE@UTALCA.CL</v>
          </cell>
        </row>
        <row r="593">
          <cell r="B593">
            <v>13857116</v>
          </cell>
          <cell r="C593">
            <v>5</v>
          </cell>
          <cell r="D593" t="str">
            <v>VIDAL SILVA CRISTIAN LORENZO</v>
          </cell>
          <cell r="E593" t="str">
            <v>FCI320009</v>
          </cell>
          <cell r="F593">
            <v>44</v>
          </cell>
          <cell r="G593">
            <v>30</v>
          </cell>
          <cell r="H593" t="str">
            <v>CVIDAL@UTALCA.CL</v>
          </cell>
        </row>
        <row r="594">
          <cell r="B594">
            <v>13857161</v>
          </cell>
          <cell r="C594">
            <v>0</v>
          </cell>
          <cell r="D594" t="str">
            <v>VALDES CAMPOS JUAN LUIS</v>
          </cell>
          <cell r="E594" t="str">
            <v>VGE400019</v>
          </cell>
          <cell r="F594">
            <v>44</v>
          </cell>
          <cell r="G594">
            <v>30</v>
          </cell>
          <cell r="H594" t="str">
            <v>J.VALDES@UTALCA.CL</v>
          </cell>
        </row>
        <row r="595">
          <cell r="B595">
            <v>13857388</v>
          </cell>
          <cell r="C595">
            <v>5</v>
          </cell>
          <cell r="D595" t="str">
            <v>ARRIAGADA CALVO CARLA ROXANA</v>
          </cell>
          <cell r="E595" t="str">
            <v>VGE400003</v>
          </cell>
          <cell r="F595">
            <v>44</v>
          </cell>
          <cell r="G595">
            <v>30</v>
          </cell>
          <cell r="H595" t="str">
            <v>CAARRIAGADA@UTALCA.CL</v>
          </cell>
        </row>
        <row r="596">
          <cell r="B596">
            <v>13857408</v>
          </cell>
          <cell r="C596">
            <v>3</v>
          </cell>
          <cell r="D596" t="str">
            <v>PALOMO VELEZ RODRIGO IGNACIO</v>
          </cell>
          <cell r="E596" t="str">
            <v>FCJ320001</v>
          </cell>
          <cell r="F596">
            <v>44</v>
          </cell>
          <cell r="G596">
            <v>30</v>
          </cell>
          <cell r="H596" t="str">
            <v>RPALOMO@UTALCA.CL</v>
          </cell>
        </row>
        <row r="597">
          <cell r="B597">
            <v>13857487</v>
          </cell>
          <cell r="C597">
            <v>3</v>
          </cell>
          <cell r="D597" t="str">
            <v>JARA ROJAS ROBERTO ALEJANDRO</v>
          </cell>
          <cell r="E597" t="str">
            <v>FCA320001</v>
          </cell>
          <cell r="F597">
            <v>44</v>
          </cell>
          <cell r="G597">
            <v>30</v>
          </cell>
          <cell r="H597" t="str">
            <v>RJARA@UTALCA.CL</v>
          </cell>
        </row>
        <row r="598">
          <cell r="B598">
            <v>13857498</v>
          </cell>
          <cell r="C598">
            <v>9</v>
          </cell>
          <cell r="D598" t="str">
            <v>ROJAS ESPINOZA CLAUDIA ANDREA</v>
          </cell>
          <cell r="E598" t="str">
            <v/>
          </cell>
          <cell r="F598">
            <v>44</v>
          </cell>
          <cell r="G598">
            <v>30</v>
          </cell>
          <cell r="H598" t="str">
            <v>CLAUDROJAS@UTALCA.CL</v>
          </cell>
        </row>
        <row r="599">
          <cell r="B599">
            <v>13857705</v>
          </cell>
          <cell r="C599">
            <v>8</v>
          </cell>
          <cell r="D599" t="str">
            <v>AMIGO VASQUEZ SUSANA ELENA</v>
          </cell>
          <cell r="E599" t="str">
            <v>FOD320002</v>
          </cell>
          <cell r="F599">
            <v>22</v>
          </cell>
          <cell r="G599">
            <v>30</v>
          </cell>
          <cell r="H599" t="str">
            <v>SAMIGO@UTALCA.CL</v>
          </cell>
        </row>
        <row r="600">
          <cell r="B600">
            <v>13857724</v>
          </cell>
          <cell r="C600">
            <v>4</v>
          </cell>
          <cell r="D600" t="str">
            <v>GUTIERREZ ROJAS ADELINA ANDREA</v>
          </cell>
          <cell r="E600" t="str">
            <v>ICB300001</v>
          </cell>
          <cell r="F600">
            <v>44</v>
          </cell>
          <cell r="G600">
            <v>30</v>
          </cell>
          <cell r="H600" t="str">
            <v>ADGUTIERREZ@UTALCA.CL</v>
          </cell>
        </row>
        <row r="601">
          <cell r="B601">
            <v>13858469</v>
          </cell>
          <cell r="C601">
            <v>0</v>
          </cell>
          <cell r="D601" t="str">
            <v>TIGERO RICHARDS TAMARA ALEJAND</v>
          </cell>
          <cell r="E601" t="str">
            <v>FEN310001</v>
          </cell>
          <cell r="F601">
            <v>44</v>
          </cell>
          <cell r="G601">
            <v>30</v>
          </cell>
          <cell r="H601" t="str">
            <v>TTIGERO@UTALCA.CL</v>
          </cell>
        </row>
        <row r="602">
          <cell r="B602">
            <v>13858508</v>
          </cell>
          <cell r="C602">
            <v>5</v>
          </cell>
          <cell r="D602" t="str">
            <v>CHAMORRO MEJIAS IVONNE ORIETA</v>
          </cell>
          <cell r="E602" t="str">
            <v>VGE400006</v>
          </cell>
          <cell r="F602">
            <v>44</v>
          </cell>
          <cell r="G602">
            <v>30</v>
          </cell>
          <cell r="H602" t="str">
            <v>IVONNE.CHAMORRO@UTALCA.CL</v>
          </cell>
        </row>
        <row r="603">
          <cell r="B603">
            <v>13858527</v>
          </cell>
          <cell r="C603">
            <v>1</v>
          </cell>
          <cell r="D603" t="str">
            <v>CONTRERAS ROJAS CRISTIAN MARCE</v>
          </cell>
          <cell r="E603" t="str">
            <v>FCJ320001</v>
          </cell>
          <cell r="F603">
            <v>44</v>
          </cell>
          <cell r="G603">
            <v>30</v>
          </cell>
          <cell r="H603" t="str">
            <v>CCONTRERAS@UTALCA.CL</v>
          </cell>
        </row>
        <row r="604">
          <cell r="B604">
            <v>13860126</v>
          </cell>
          <cell r="C604">
            <v>9</v>
          </cell>
          <cell r="D604" t="str">
            <v>CARRASCO MANRIQUEZ CLAUDIA AND</v>
          </cell>
          <cell r="E604" t="str">
            <v>FED310002</v>
          </cell>
          <cell r="F604">
            <v>44</v>
          </cell>
          <cell r="G604">
            <v>30</v>
          </cell>
          <cell r="H604" t="str">
            <v>CLAUDIA.CARRASCO@UTALCA.CL</v>
          </cell>
        </row>
        <row r="605">
          <cell r="B605">
            <v>13895761</v>
          </cell>
          <cell r="C605">
            <v>6</v>
          </cell>
          <cell r="D605" t="str">
            <v>ARIAS PAVEZ FRANCISCO JAVIER</v>
          </cell>
          <cell r="E605" t="str">
            <v>FCI320003</v>
          </cell>
          <cell r="F605">
            <v>44</v>
          </cell>
          <cell r="G605">
            <v>30</v>
          </cell>
          <cell r="H605" t="str">
            <v>FARIAS@UTALCA.CL</v>
          </cell>
        </row>
        <row r="606">
          <cell r="B606">
            <v>13896768</v>
          </cell>
          <cell r="C606">
            <v>9</v>
          </cell>
          <cell r="D606" t="str">
            <v>SEPULVEDA PARRAO PATRICIA ANDR</v>
          </cell>
          <cell r="E606" t="str">
            <v>FAD310004</v>
          </cell>
          <cell r="F606">
            <v>33</v>
          </cell>
          <cell r="G606">
            <v>30</v>
          </cell>
          <cell r="H606" t="str">
            <v>PSEPULVEDAP@UTALCA.CL</v>
          </cell>
        </row>
        <row r="607">
          <cell r="B607">
            <v>13917897</v>
          </cell>
          <cell r="C607">
            <v>1</v>
          </cell>
          <cell r="D607" t="str">
            <v>MENA JAQUE MARIA DE LOS ANGELE</v>
          </cell>
          <cell r="E607" t="str">
            <v>VGE400054</v>
          </cell>
          <cell r="F607">
            <v>44</v>
          </cell>
          <cell r="G607">
            <v>30</v>
          </cell>
          <cell r="H607" t="str">
            <v>MARIA.MENA@UTALCA.CL</v>
          </cell>
        </row>
        <row r="608">
          <cell r="B608">
            <v>13921352</v>
          </cell>
          <cell r="C608">
            <v>1</v>
          </cell>
          <cell r="D608" t="str">
            <v>GONZALEZ SOTO FELIPE EDUARDO</v>
          </cell>
          <cell r="E608" t="str">
            <v>FAD310004</v>
          </cell>
          <cell r="F608">
            <v>44</v>
          </cell>
          <cell r="G608">
            <v>30</v>
          </cell>
          <cell r="H608" t="str">
            <v>FEGONZALEZ@UTALCA.CL</v>
          </cell>
        </row>
        <row r="609">
          <cell r="B609">
            <v>13938939</v>
          </cell>
          <cell r="C609">
            <v>5</v>
          </cell>
          <cell r="D609" t="str">
            <v>SAN MARTIN RUBILAR ORIETTA NAT</v>
          </cell>
          <cell r="E609" t="str">
            <v>FCS320010</v>
          </cell>
          <cell r="F609">
            <v>22</v>
          </cell>
          <cell r="G609">
            <v>30</v>
          </cell>
          <cell r="H609" t="str">
            <v>OSANMARTIN@UTALCA.CL</v>
          </cell>
        </row>
        <row r="610">
          <cell r="B610">
            <v>13944843</v>
          </cell>
          <cell r="C610" t="str">
            <v>K</v>
          </cell>
          <cell r="D610" t="str">
            <v>ASTORGA ORTEGA ANDRES ENRIQUE</v>
          </cell>
          <cell r="E610" t="str">
            <v>ADC024005</v>
          </cell>
          <cell r="F610">
            <v>44</v>
          </cell>
          <cell r="G610">
            <v>30</v>
          </cell>
          <cell r="H610" t="str">
            <v>AASTORGA@UTALCA.CL</v>
          </cell>
        </row>
        <row r="611">
          <cell r="B611">
            <v>13946886</v>
          </cell>
          <cell r="C611">
            <v>4</v>
          </cell>
          <cell r="D611" t="str">
            <v>HERNANDEZ SANCHEZ CARLOS FELIP</v>
          </cell>
          <cell r="E611" t="str">
            <v>VAC400001</v>
          </cell>
          <cell r="F611">
            <v>44</v>
          </cell>
          <cell r="G611">
            <v>30</v>
          </cell>
          <cell r="H611" t="str">
            <v>CAHERNANDEZ@UTALCA.CL</v>
          </cell>
        </row>
        <row r="612">
          <cell r="B612">
            <v>13949211</v>
          </cell>
          <cell r="C612">
            <v>0</v>
          </cell>
          <cell r="D612" t="str">
            <v>SUAREZ SEPULVEDA MIGUEL EDUARD</v>
          </cell>
          <cell r="E612" t="str">
            <v>FEN200001</v>
          </cell>
          <cell r="F612">
            <v>44</v>
          </cell>
          <cell r="G612">
            <v>30</v>
          </cell>
          <cell r="H612" t="str">
            <v>MSUAREZ@UTALCA.CL</v>
          </cell>
        </row>
        <row r="613">
          <cell r="B613">
            <v>13949396</v>
          </cell>
          <cell r="C613">
            <v>6</v>
          </cell>
          <cell r="D613" t="str">
            <v>FRANZANI OSORIO FRANCISCO JOSE</v>
          </cell>
          <cell r="E613" t="str">
            <v>FOD320001</v>
          </cell>
          <cell r="F613">
            <v>33</v>
          </cell>
          <cell r="G613">
            <v>30</v>
          </cell>
          <cell r="H613" t="str">
            <v>FRANCISCO.FRANZANI@UTALCA.CL</v>
          </cell>
        </row>
        <row r="614">
          <cell r="B614">
            <v>13949837</v>
          </cell>
          <cell r="C614">
            <v>2</v>
          </cell>
          <cell r="D614" t="str">
            <v>VIVALLOS HERNANDEZ ALEJANDRA I</v>
          </cell>
          <cell r="E614" t="str">
            <v>VAC400081</v>
          </cell>
          <cell r="F614">
            <v>22</v>
          </cell>
          <cell r="G614">
            <v>30</v>
          </cell>
          <cell r="H614" t="str">
            <v>ALEJANDRA.VIVALLOS@UTALCA.CL</v>
          </cell>
        </row>
        <row r="615">
          <cell r="B615">
            <v>13950244</v>
          </cell>
          <cell r="C615">
            <v>2</v>
          </cell>
          <cell r="D615" t="str">
            <v>GUERRERO CHAMORRO ELISABETH OD</v>
          </cell>
          <cell r="E615" t="str">
            <v>VGE400031</v>
          </cell>
          <cell r="F615">
            <v>44</v>
          </cell>
          <cell r="G615">
            <v>30</v>
          </cell>
          <cell r="H615" t="str">
            <v>EGUERRERO@UTALCA.CL</v>
          </cell>
        </row>
        <row r="616">
          <cell r="B616">
            <v>13950311</v>
          </cell>
          <cell r="C616">
            <v>2</v>
          </cell>
          <cell r="D616" t="str">
            <v>FUENTES FUENTES MAURICIO JOSE</v>
          </cell>
          <cell r="E616" t="str">
            <v/>
          </cell>
          <cell r="F616">
            <v>36</v>
          </cell>
          <cell r="G616">
            <v>30</v>
          </cell>
          <cell r="H616" t="str">
            <v>MAUFUENTES@UTALCA.CL</v>
          </cell>
        </row>
        <row r="617">
          <cell r="B617">
            <v>13950341</v>
          </cell>
          <cell r="C617">
            <v>4</v>
          </cell>
          <cell r="D617" t="str">
            <v>MORALES SIERRALTA PAULA ANDREA</v>
          </cell>
          <cell r="E617" t="str">
            <v>FOD320001</v>
          </cell>
          <cell r="F617">
            <v>29</v>
          </cell>
          <cell r="G617">
            <v>30</v>
          </cell>
          <cell r="H617" t="str">
            <v>PAUMORALES@UTALCA.CL</v>
          </cell>
        </row>
        <row r="618">
          <cell r="B618">
            <v>13950393</v>
          </cell>
          <cell r="C618">
            <v>7</v>
          </cell>
          <cell r="D618" t="str">
            <v>ROA HENRIQUEZ IGNACIO JAVIER</v>
          </cell>
          <cell r="E618" t="str">
            <v>FCS320007</v>
          </cell>
          <cell r="F618">
            <v>44</v>
          </cell>
          <cell r="G618">
            <v>30</v>
          </cell>
          <cell r="H618" t="str">
            <v>IROA@UTALCA.CL</v>
          </cell>
        </row>
        <row r="619">
          <cell r="B619">
            <v>13950701</v>
          </cell>
          <cell r="C619">
            <v>0</v>
          </cell>
          <cell r="D619" t="str">
            <v>JIRON OROZCO CRISTIAN OSVALDO</v>
          </cell>
          <cell r="E619" t="str">
            <v>ADC022001</v>
          </cell>
          <cell r="F619">
            <v>44</v>
          </cell>
          <cell r="G619">
            <v>30</v>
          </cell>
          <cell r="H619" t="str">
            <v>CJIRON@UTALCA.CL</v>
          </cell>
        </row>
        <row r="620">
          <cell r="B620">
            <v>13950753</v>
          </cell>
          <cell r="C620">
            <v>3</v>
          </cell>
          <cell r="D620" t="str">
            <v>MUÑOZ BRAVO GERALDINA VALERIA</v>
          </cell>
          <cell r="E620" t="str">
            <v>FAD200001</v>
          </cell>
          <cell r="F620">
            <v>44</v>
          </cell>
          <cell r="G620">
            <v>30</v>
          </cell>
          <cell r="H620" t="str">
            <v>GERALDINA.MUNOZ@UTALCA.CL</v>
          </cell>
        </row>
        <row r="621">
          <cell r="B621">
            <v>13950767</v>
          </cell>
          <cell r="C621">
            <v>3</v>
          </cell>
          <cell r="D621" t="str">
            <v>GONZALEZ CANCINO KATHERINE MEL</v>
          </cell>
          <cell r="E621" t="str">
            <v>FPS340002</v>
          </cell>
          <cell r="F621">
            <v>44</v>
          </cell>
          <cell r="G621">
            <v>30</v>
          </cell>
          <cell r="H621" t="str">
            <v>KAGONZALEZ@UTALCA.CL</v>
          </cell>
        </row>
        <row r="622">
          <cell r="B622">
            <v>13952688</v>
          </cell>
          <cell r="C622">
            <v>0</v>
          </cell>
          <cell r="D622" t="str">
            <v>RUBILAR MUÑOZ KAREN MABEL</v>
          </cell>
          <cell r="E622" t="str">
            <v>VGE400050</v>
          </cell>
          <cell r="F622">
            <v>44</v>
          </cell>
          <cell r="G622">
            <v>30</v>
          </cell>
          <cell r="H622" t="str">
            <v>KRUBILAR@UTALCA.CL</v>
          </cell>
        </row>
        <row r="623">
          <cell r="B623">
            <v>13953657</v>
          </cell>
          <cell r="C623">
            <v>6</v>
          </cell>
          <cell r="D623" t="str">
            <v>MERELLO PAPA HONORATO ALEJANDR</v>
          </cell>
          <cell r="E623" t="str">
            <v>FAD310002</v>
          </cell>
          <cell r="F623">
            <v>44</v>
          </cell>
          <cell r="G623">
            <v>30</v>
          </cell>
          <cell r="H623" t="str">
            <v>HONORATO.MERELLO@UTALCA.CL</v>
          </cell>
        </row>
        <row r="624">
          <cell r="B624">
            <v>13957242</v>
          </cell>
          <cell r="C624">
            <v>4</v>
          </cell>
          <cell r="D624" t="str">
            <v>VALENZUELA CABEZAS CLAUDIO AND</v>
          </cell>
          <cell r="E624" t="str">
            <v>FAM320001</v>
          </cell>
          <cell r="F624">
            <v>44</v>
          </cell>
          <cell r="G624">
            <v>30</v>
          </cell>
          <cell r="H624" t="str">
            <v>CVALENZUELA@UTALCA.CL</v>
          </cell>
        </row>
        <row r="625">
          <cell r="B625">
            <v>13957549</v>
          </cell>
          <cell r="C625">
            <v>0</v>
          </cell>
          <cell r="D625" t="str">
            <v>ALVAREZ NOVOA CAROLINA ANDREA</v>
          </cell>
          <cell r="E625" t="str">
            <v>FOD320002</v>
          </cell>
          <cell r="F625">
            <v>11</v>
          </cell>
          <cell r="G625">
            <v>30</v>
          </cell>
          <cell r="H625" t="str">
            <v>CAALVAREZ@UTALCA.CL</v>
          </cell>
        </row>
        <row r="626">
          <cell r="B626">
            <v>13971764</v>
          </cell>
          <cell r="C626">
            <v>3</v>
          </cell>
          <cell r="D626" t="str">
            <v>MARILAO GORIGOITIA JUAN ENRIQU</v>
          </cell>
          <cell r="E626" t="str">
            <v>FOD320001</v>
          </cell>
          <cell r="F626">
            <v>33</v>
          </cell>
          <cell r="G626">
            <v>30</v>
          </cell>
          <cell r="H626" t="str">
            <v>JMARILAO@UTALCA.CL</v>
          </cell>
        </row>
        <row r="627">
          <cell r="B627">
            <v>13982419</v>
          </cell>
          <cell r="C627">
            <v>9</v>
          </cell>
          <cell r="D627" t="str">
            <v>ARRIAGADA SILVA MIGUEL ANGEL</v>
          </cell>
          <cell r="E627" t="str">
            <v>FCI320005</v>
          </cell>
          <cell r="F627">
            <v>44</v>
          </cell>
          <cell r="G627">
            <v>30</v>
          </cell>
          <cell r="H627" t="str">
            <v>MARRIAGADAS@UTALCA.CL</v>
          </cell>
        </row>
        <row r="628">
          <cell r="B628">
            <v>13985844</v>
          </cell>
          <cell r="C628">
            <v>1</v>
          </cell>
          <cell r="D628" t="str">
            <v>HINOJOSA REHBEIN JORGE ANDRES</v>
          </cell>
          <cell r="E628" t="str">
            <v>FCI320004</v>
          </cell>
          <cell r="F628">
            <v>44</v>
          </cell>
          <cell r="G628">
            <v>30</v>
          </cell>
          <cell r="H628" t="str">
            <v>JHINOJOSA@UTALCA.CL</v>
          </cell>
        </row>
        <row r="629">
          <cell r="B629">
            <v>14011885</v>
          </cell>
          <cell r="C629">
            <v>0</v>
          </cell>
          <cell r="D629" t="str">
            <v>GUZMAN JOFRE LUIS ARMANDO</v>
          </cell>
          <cell r="E629" t="str">
            <v>FCS320001</v>
          </cell>
          <cell r="F629">
            <v>44</v>
          </cell>
          <cell r="G629">
            <v>30</v>
          </cell>
          <cell r="H629" t="str">
            <v>LGUZMAN@UTALCA.CL</v>
          </cell>
        </row>
        <row r="630">
          <cell r="B630">
            <v>14016177</v>
          </cell>
          <cell r="C630">
            <v>2</v>
          </cell>
          <cell r="D630" t="str">
            <v>GAMBETTA TESSINI KARLA FRANCES</v>
          </cell>
          <cell r="E630" t="str">
            <v>FOD320001</v>
          </cell>
          <cell r="F630">
            <v>44</v>
          </cell>
          <cell r="G630">
            <v>0</v>
          </cell>
          <cell r="H630" t="str">
            <v>KGAMBETTA@UTALCA.CL</v>
          </cell>
        </row>
        <row r="631">
          <cell r="B631">
            <v>14016261</v>
          </cell>
          <cell r="C631">
            <v>2</v>
          </cell>
          <cell r="D631" t="str">
            <v>CASTRO SALAZAR KAROL FABIOLA</v>
          </cell>
          <cell r="E631" t="str">
            <v/>
          </cell>
          <cell r="F631">
            <v>44</v>
          </cell>
          <cell r="G631">
            <v>30</v>
          </cell>
          <cell r="H631" t="str">
            <v>KCASTRO@UTALCA.CL</v>
          </cell>
        </row>
        <row r="632">
          <cell r="B632">
            <v>14016833</v>
          </cell>
          <cell r="C632">
            <v>5</v>
          </cell>
          <cell r="D632" t="str">
            <v>GONZALEZ MOLINA EVELYN MACAREN</v>
          </cell>
          <cell r="E632" t="str">
            <v/>
          </cell>
          <cell r="F632">
            <v>44</v>
          </cell>
          <cell r="G632">
            <v>30</v>
          </cell>
          <cell r="H632" t="str">
            <v>EVGONZALEZ@UTALCA.CL</v>
          </cell>
        </row>
        <row r="633">
          <cell r="B633">
            <v>14016856</v>
          </cell>
          <cell r="C633">
            <v>4</v>
          </cell>
          <cell r="D633" t="str">
            <v>RODRIGUEZ AULADELL ANA CAROLIN</v>
          </cell>
          <cell r="E633" t="str">
            <v>ADC024009</v>
          </cell>
          <cell r="F633">
            <v>44</v>
          </cell>
          <cell r="G633">
            <v>30</v>
          </cell>
          <cell r="H633" t="str">
            <v>ARODRIGUEZ@UTALCA.CL</v>
          </cell>
        </row>
        <row r="634">
          <cell r="B634">
            <v>14017228</v>
          </cell>
          <cell r="C634">
            <v>6</v>
          </cell>
          <cell r="D634" t="str">
            <v>MARIATA ROJAS YENNY DEL PILAR</v>
          </cell>
          <cell r="E634" t="str">
            <v>FCS320007</v>
          </cell>
          <cell r="F634">
            <v>44</v>
          </cell>
          <cell r="G634">
            <v>30</v>
          </cell>
          <cell r="H634" t="str">
            <v>YMARIATA@UTALCA.CL</v>
          </cell>
        </row>
        <row r="635">
          <cell r="B635">
            <v>14017842</v>
          </cell>
          <cell r="C635" t="str">
            <v>K</v>
          </cell>
          <cell r="D635" t="str">
            <v>FARIAS LARA RONALD BRAULIO</v>
          </cell>
          <cell r="E635" t="str">
            <v>VGE400055</v>
          </cell>
          <cell r="F635">
            <v>44</v>
          </cell>
          <cell r="G635">
            <v>30</v>
          </cell>
          <cell r="H635" t="str">
            <v>R.FARIAS@UTALCA.CL</v>
          </cell>
        </row>
        <row r="636">
          <cell r="B636">
            <v>14017941</v>
          </cell>
          <cell r="C636">
            <v>8</v>
          </cell>
          <cell r="D636" t="str">
            <v>MASCARO ESPINOZA TANIA DE LOS</v>
          </cell>
          <cell r="E636" t="str">
            <v>VRF400042</v>
          </cell>
          <cell r="F636">
            <v>44</v>
          </cell>
          <cell r="G636">
            <v>30</v>
          </cell>
          <cell r="H636" t="str">
            <v>TMASCARO@UTALCA.CL</v>
          </cell>
        </row>
        <row r="637">
          <cell r="B637">
            <v>14018076</v>
          </cell>
          <cell r="C637">
            <v>9</v>
          </cell>
          <cell r="D637" t="str">
            <v>OYARZO OLAVE NAYARETH ESTELA</v>
          </cell>
          <cell r="E637" t="str">
            <v>FAM350001</v>
          </cell>
          <cell r="F637">
            <v>44</v>
          </cell>
          <cell r="G637">
            <v>30</v>
          </cell>
          <cell r="H637" t="str">
            <v>NOYARZO@UTALCA.CL</v>
          </cell>
        </row>
        <row r="638">
          <cell r="B638">
            <v>14018384</v>
          </cell>
          <cell r="C638">
            <v>9</v>
          </cell>
          <cell r="D638" t="str">
            <v>JOFRE BUSTOS MARIA SOLEDAD</v>
          </cell>
          <cell r="E638" t="str">
            <v>FCJ320001</v>
          </cell>
          <cell r="F638">
            <v>44</v>
          </cell>
          <cell r="G638">
            <v>30</v>
          </cell>
          <cell r="H638" t="str">
            <v>MAJOFRE@UTALCA.CL</v>
          </cell>
        </row>
        <row r="639">
          <cell r="B639">
            <v>14018402</v>
          </cell>
          <cell r="C639">
            <v>0</v>
          </cell>
          <cell r="D639" t="str">
            <v>FLORES DAZA CECILIA ALEJANDRA</v>
          </cell>
          <cell r="E639" t="str">
            <v>FCI320008</v>
          </cell>
          <cell r="F639">
            <v>44</v>
          </cell>
          <cell r="G639">
            <v>30</v>
          </cell>
          <cell r="H639" t="str">
            <v>CECILIA.FLORES@UTALCA.CL</v>
          </cell>
        </row>
        <row r="640">
          <cell r="B640">
            <v>14018450</v>
          </cell>
          <cell r="C640">
            <v>0</v>
          </cell>
          <cell r="D640" t="str">
            <v>TORRES GOMEZ MARCELA DEL PILAR</v>
          </cell>
          <cell r="E640" t="str">
            <v>VGE400050</v>
          </cell>
          <cell r="F640">
            <v>44</v>
          </cell>
          <cell r="G640">
            <v>30</v>
          </cell>
          <cell r="H640" t="str">
            <v>MTORRESG@UTALCA.CL</v>
          </cell>
        </row>
        <row r="641">
          <cell r="B641">
            <v>14018541</v>
          </cell>
          <cell r="C641">
            <v>8</v>
          </cell>
          <cell r="D641" t="str">
            <v>PINCHEIRA VALDES KARIN ALEJAND</v>
          </cell>
          <cell r="E641" t="str">
            <v>FCS320007</v>
          </cell>
          <cell r="F641">
            <v>44</v>
          </cell>
          <cell r="G641">
            <v>30</v>
          </cell>
          <cell r="H641" t="str">
            <v>KPINCHEIRA@UTALCA.CL</v>
          </cell>
        </row>
        <row r="642">
          <cell r="B642">
            <v>14018780</v>
          </cell>
          <cell r="C642">
            <v>1</v>
          </cell>
          <cell r="D642" t="str">
            <v>TRONCOSO MARIATA THAIS DAMARIS</v>
          </cell>
          <cell r="E642" t="str">
            <v/>
          </cell>
          <cell r="F642">
            <v>44</v>
          </cell>
          <cell r="G642">
            <v>30</v>
          </cell>
          <cell r="H642" t="str">
            <v>TTRONCOSO@UTALCA.CL</v>
          </cell>
        </row>
        <row r="643">
          <cell r="B643">
            <v>14018926</v>
          </cell>
          <cell r="C643" t="str">
            <v>K</v>
          </cell>
          <cell r="D643" t="str">
            <v>RUIZ PINO ALEJANDRA ANTONIETA</v>
          </cell>
          <cell r="E643" t="str">
            <v>VGE400020</v>
          </cell>
          <cell r="F643">
            <v>44</v>
          </cell>
          <cell r="G643">
            <v>30</v>
          </cell>
          <cell r="H643" t="str">
            <v>ALRUIZ@UTALCA.CL</v>
          </cell>
        </row>
        <row r="644">
          <cell r="B644">
            <v>14019305</v>
          </cell>
          <cell r="C644">
            <v>4</v>
          </cell>
          <cell r="D644" t="str">
            <v>RIVAS FLIES PATRICIO ANTONIO</v>
          </cell>
          <cell r="E644" t="str">
            <v>VGE400057</v>
          </cell>
          <cell r="F644">
            <v>44</v>
          </cell>
          <cell r="G644">
            <v>30</v>
          </cell>
          <cell r="H644" t="str">
            <v>PRIVAS@UTALCA.CL</v>
          </cell>
        </row>
        <row r="645">
          <cell r="B645">
            <v>14019590</v>
          </cell>
          <cell r="C645">
            <v>1</v>
          </cell>
          <cell r="D645" t="str">
            <v>MEDEL ILLANES MARJORIE CAROLIN</v>
          </cell>
          <cell r="E645" t="str">
            <v>FCS310007</v>
          </cell>
          <cell r="F645">
            <v>44</v>
          </cell>
          <cell r="G645">
            <v>30</v>
          </cell>
          <cell r="H645" t="str">
            <v>MARJORIE.MEDEL@UTALCA.CL</v>
          </cell>
        </row>
        <row r="646">
          <cell r="B646">
            <v>14020049</v>
          </cell>
          <cell r="C646">
            <v>2</v>
          </cell>
          <cell r="D646" t="str">
            <v>QUINTEROS CACERES MARIA ELISA</v>
          </cell>
          <cell r="E646" t="str">
            <v>FCS320003</v>
          </cell>
          <cell r="F646">
            <v>44</v>
          </cell>
          <cell r="G646">
            <v>30</v>
          </cell>
          <cell r="H646" t="str">
            <v>MAQUINTEROS@UTALCA.CL</v>
          </cell>
        </row>
        <row r="647">
          <cell r="B647">
            <v>14050695</v>
          </cell>
          <cell r="C647">
            <v>8</v>
          </cell>
          <cell r="D647" t="str">
            <v>GONZALEZ MELENDEZ PAULINA VICT</v>
          </cell>
          <cell r="E647" t="str">
            <v>VDE400011</v>
          </cell>
          <cell r="F647">
            <v>33</v>
          </cell>
          <cell r="G647">
            <v>30</v>
          </cell>
          <cell r="H647" t="str">
            <v>PAULINA.GONZALEZ@UTALCA.CL</v>
          </cell>
        </row>
        <row r="648">
          <cell r="B648">
            <v>14050985</v>
          </cell>
          <cell r="C648" t="str">
            <v>K</v>
          </cell>
          <cell r="D648" t="str">
            <v>ARROYO NUÑEZ CRISTIAN PATRICIO</v>
          </cell>
          <cell r="E648" t="str">
            <v>VGE400055</v>
          </cell>
          <cell r="F648">
            <v>44</v>
          </cell>
          <cell r="G648">
            <v>30</v>
          </cell>
          <cell r="H648" t="str">
            <v>CARROYO@UTALCA.CL</v>
          </cell>
        </row>
        <row r="649">
          <cell r="B649">
            <v>14051512</v>
          </cell>
          <cell r="C649">
            <v>4</v>
          </cell>
          <cell r="D649" t="str">
            <v>BRAVO GONZALEZ GERMAN ANDRES</v>
          </cell>
          <cell r="E649" t="str">
            <v>VRF400043</v>
          </cell>
          <cell r="F649">
            <v>44</v>
          </cell>
          <cell r="G649">
            <v>30</v>
          </cell>
          <cell r="H649" t="str">
            <v>GERMAN.BRAVO@UTALCA.CL</v>
          </cell>
        </row>
        <row r="650">
          <cell r="B650">
            <v>14051910</v>
          </cell>
          <cell r="C650">
            <v>3</v>
          </cell>
          <cell r="D650" t="str">
            <v>RODRIGUEZ OLIVOS FRANCISCO JAV</v>
          </cell>
          <cell r="E650" t="str">
            <v>ADC011001</v>
          </cell>
          <cell r="F650">
            <v>44</v>
          </cell>
          <cell r="G650">
            <v>30</v>
          </cell>
          <cell r="H650" t="str">
            <v>FRANCISCO.RODRIGUEZ@UTALCA.CL</v>
          </cell>
        </row>
        <row r="651">
          <cell r="B651">
            <v>14052035</v>
          </cell>
          <cell r="C651">
            <v>7</v>
          </cell>
          <cell r="D651" t="str">
            <v>DURAN LARA ESTEBAN FRANCISCO</v>
          </cell>
          <cell r="E651" t="str">
            <v>FCS320002</v>
          </cell>
          <cell r="F651">
            <v>44</v>
          </cell>
          <cell r="G651">
            <v>30</v>
          </cell>
          <cell r="H651" t="str">
            <v>EDURAN@UTALCA.CL</v>
          </cell>
        </row>
        <row r="652">
          <cell r="B652">
            <v>14053006</v>
          </cell>
          <cell r="C652">
            <v>9</v>
          </cell>
          <cell r="D652" t="str">
            <v>DONOSO SABANDO CLAUDIA ANDREA</v>
          </cell>
          <cell r="E652" t="str">
            <v>FAM320001</v>
          </cell>
          <cell r="F652">
            <v>6</v>
          </cell>
          <cell r="G652">
            <v>30</v>
          </cell>
          <cell r="H652" t="str">
            <v>CLDONOSO@UTALCA.CL</v>
          </cell>
        </row>
        <row r="653">
          <cell r="B653">
            <v>14053444</v>
          </cell>
          <cell r="C653">
            <v>7</v>
          </cell>
          <cell r="D653" t="str">
            <v>CORNEJO PULGAR FRANCISCA ELIAN</v>
          </cell>
          <cell r="E653" t="str">
            <v>FAD310004</v>
          </cell>
          <cell r="F653">
            <v>44</v>
          </cell>
          <cell r="G653">
            <v>30</v>
          </cell>
          <cell r="H653" t="str">
            <v>FRCORNEJO@UTALCA.CL</v>
          </cell>
        </row>
        <row r="654">
          <cell r="B654">
            <v>14053807</v>
          </cell>
          <cell r="C654">
            <v>8</v>
          </cell>
          <cell r="D654" t="str">
            <v>CABRERA SEPULVEDA JESSICA DEL</v>
          </cell>
          <cell r="E654" t="str">
            <v>FCI200001</v>
          </cell>
          <cell r="F654">
            <v>44</v>
          </cell>
          <cell r="G654">
            <v>30</v>
          </cell>
          <cell r="H654" t="str">
            <v>JECABRERA@UTALCA.CL</v>
          </cell>
        </row>
        <row r="655">
          <cell r="B655">
            <v>14056691</v>
          </cell>
          <cell r="C655">
            <v>8</v>
          </cell>
          <cell r="D655" t="str">
            <v>SOTO SOLIS NATALIA ANDREA</v>
          </cell>
          <cell r="E655" t="str">
            <v>ADC015001</v>
          </cell>
          <cell r="F655">
            <v>44</v>
          </cell>
          <cell r="G655">
            <v>30</v>
          </cell>
          <cell r="H655" t="str">
            <v/>
          </cell>
        </row>
        <row r="656">
          <cell r="B656">
            <v>14067285</v>
          </cell>
          <cell r="C656">
            <v>8</v>
          </cell>
          <cell r="D656" t="str">
            <v>MUÑOZ PARRA DANIELA</v>
          </cell>
          <cell r="E656" t="str">
            <v/>
          </cell>
          <cell r="F656">
            <v>44</v>
          </cell>
          <cell r="G656">
            <v>30</v>
          </cell>
          <cell r="H656" t="str">
            <v>DAMUNOZ@UTALCA.CL</v>
          </cell>
        </row>
        <row r="657">
          <cell r="B657">
            <v>14096334</v>
          </cell>
          <cell r="C657">
            <v>8</v>
          </cell>
          <cell r="D657" t="str">
            <v>BARRIGA RICHARDS NICOLAS ARTUR</v>
          </cell>
          <cell r="E657" t="str">
            <v>FCI320009</v>
          </cell>
          <cell r="F657">
            <v>44</v>
          </cell>
          <cell r="G657">
            <v>30</v>
          </cell>
          <cell r="H657" t="str">
            <v>NBARRIGA@UTALCA.CL</v>
          </cell>
        </row>
        <row r="658">
          <cell r="B658">
            <v>14126708</v>
          </cell>
          <cell r="C658">
            <v>6</v>
          </cell>
          <cell r="D658" t="str">
            <v>FUENTES HENNY CRISTOBAL NICOLÁ</v>
          </cell>
          <cell r="E658" t="str">
            <v>FAD310001</v>
          </cell>
          <cell r="F658">
            <v>44</v>
          </cell>
          <cell r="G658">
            <v>30</v>
          </cell>
          <cell r="H658" t="str">
            <v>CRISTOBAL.FUENTES@UTALCA.CL</v>
          </cell>
        </row>
        <row r="659">
          <cell r="B659">
            <v>14151897</v>
          </cell>
          <cell r="C659">
            <v>6</v>
          </cell>
          <cell r="D659" t="str">
            <v>CARRASCO MARDONES OMAR FRANK</v>
          </cell>
          <cell r="E659" t="str">
            <v>VAC400074</v>
          </cell>
          <cell r="F659">
            <v>44</v>
          </cell>
          <cell r="G659">
            <v>30</v>
          </cell>
          <cell r="H659" t="str">
            <v>OCARRASCO@UTALCA.CL</v>
          </cell>
        </row>
        <row r="660">
          <cell r="B660">
            <v>14192164</v>
          </cell>
          <cell r="C660">
            <v>9</v>
          </cell>
          <cell r="D660" t="str">
            <v>QUINTANA LAGOS ALVARO ANDRES</v>
          </cell>
          <cell r="E660" t="str">
            <v>VAC400001</v>
          </cell>
          <cell r="F660">
            <v>44</v>
          </cell>
          <cell r="G660">
            <v>30</v>
          </cell>
          <cell r="H660" t="str">
            <v>ALVARO.QUINTANA@UTALCA.CL</v>
          </cell>
        </row>
        <row r="661">
          <cell r="B661">
            <v>14200190</v>
          </cell>
          <cell r="C661" t="str">
            <v>K</v>
          </cell>
          <cell r="D661" t="str">
            <v>ZUÑIGA HERNANDEZ JESSICA PAMEL</v>
          </cell>
          <cell r="E661" t="str">
            <v>FCS320007</v>
          </cell>
          <cell r="F661">
            <v>44</v>
          </cell>
          <cell r="G661">
            <v>30</v>
          </cell>
          <cell r="H661" t="str">
            <v>JEZUNIGA@UTALCA.CL</v>
          </cell>
        </row>
        <row r="662">
          <cell r="B662">
            <v>14208108</v>
          </cell>
          <cell r="C662">
            <v>3</v>
          </cell>
          <cell r="D662" t="str">
            <v>NEUDORFER RETAMAL PABLO JOSÉ</v>
          </cell>
          <cell r="E662" t="str">
            <v>FEN310001</v>
          </cell>
          <cell r="F662">
            <v>44</v>
          </cell>
          <cell r="G662">
            <v>30</v>
          </cell>
          <cell r="H662" t="str">
            <v>PABLO.NEUDORFER@UTALCA.CL</v>
          </cell>
        </row>
        <row r="663">
          <cell r="B663">
            <v>14211653</v>
          </cell>
          <cell r="C663">
            <v>7</v>
          </cell>
          <cell r="D663" t="str">
            <v>QUIROZ JARA MAURICIO ALEJANDRO</v>
          </cell>
          <cell r="E663" t="str">
            <v>ICB300001</v>
          </cell>
          <cell r="F663">
            <v>44</v>
          </cell>
          <cell r="G663">
            <v>30</v>
          </cell>
          <cell r="H663" t="str">
            <v>MAURICIO.QUIROZ@UTALCA.CL</v>
          </cell>
        </row>
        <row r="664">
          <cell r="B664">
            <v>14220214</v>
          </cell>
          <cell r="C664" t="str">
            <v>K</v>
          </cell>
          <cell r="D664" t="str">
            <v>HERNANDEZ REYES JONATHAN ROBER</v>
          </cell>
          <cell r="E664" t="str">
            <v>VRF400044</v>
          </cell>
          <cell r="F664">
            <v>44</v>
          </cell>
          <cell r="G664">
            <v>30</v>
          </cell>
          <cell r="H664" t="str">
            <v>JOHERNANDEZ@UTALCA.CL</v>
          </cell>
        </row>
        <row r="665">
          <cell r="B665">
            <v>14253940</v>
          </cell>
          <cell r="C665">
            <v>3</v>
          </cell>
          <cell r="D665" t="str">
            <v>JIMENEZ FIGUEROA ANDRES EDUARD</v>
          </cell>
          <cell r="E665" t="str">
            <v>FPS200001</v>
          </cell>
          <cell r="F665">
            <v>44</v>
          </cell>
          <cell r="G665">
            <v>30</v>
          </cell>
          <cell r="H665" t="str">
            <v>ANJIMENEZ@UTALCA.CL</v>
          </cell>
        </row>
        <row r="666">
          <cell r="B666">
            <v>14278209</v>
          </cell>
          <cell r="C666" t="str">
            <v>K</v>
          </cell>
          <cell r="D666" t="str">
            <v>MARTINEZ SALAZAR RUTH JANNETTE</v>
          </cell>
          <cell r="E666" t="str">
            <v>FCS340007</v>
          </cell>
          <cell r="F666">
            <v>44</v>
          </cell>
          <cell r="G666">
            <v>30</v>
          </cell>
          <cell r="H666" t="str">
            <v>RUMARTINEZ@UTALCA.CL</v>
          </cell>
        </row>
        <row r="667">
          <cell r="B667">
            <v>14302931</v>
          </cell>
          <cell r="C667" t="str">
            <v>K</v>
          </cell>
          <cell r="D667" t="str">
            <v>FUENZALIDA DONOSO ELIANA ANDRE</v>
          </cell>
          <cell r="E667" t="str">
            <v>VRF400008</v>
          </cell>
          <cell r="F667">
            <v>44</v>
          </cell>
          <cell r="G667">
            <v>29</v>
          </cell>
          <cell r="H667" t="str">
            <v>EFUENZALIDAD@UTALCA.CL</v>
          </cell>
        </row>
        <row r="668">
          <cell r="B668">
            <v>14305451</v>
          </cell>
          <cell r="C668">
            <v>9</v>
          </cell>
          <cell r="D668" t="str">
            <v>ROJO BUGUEÑO JAVIER IVAN</v>
          </cell>
          <cell r="E668" t="str">
            <v>VGE400031</v>
          </cell>
          <cell r="F668">
            <v>44</v>
          </cell>
          <cell r="G668">
            <v>30</v>
          </cell>
          <cell r="H668" t="str">
            <v>JROJO@UTALCA.CL</v>
          </cell>
        </row>
        <row r="669">
          <cell r="B669">
            <v>14306810</v>
          </cell>
          <cell r="C669">
            <v>2</v>
          </cell>
          <cell r="D669" t="str">
            <v>ZUÑIGA HORMAZABAL LEANDRO ANTO</v>
          </cell>
          <cell r="E669" t="str">
            <v>FAM320001</v>
          </cell>
          <cell r="F669">
            <v>44</v>
          </cell>
          <cell r="G669">
            <v>30</v>
          </cell>
          <cell r="H669" t="str">
            <v>LZUNIGA@UTALCA.CL</v>
          </cell>
        </row>
        <row r="670">
          <cell r="B670">
            <v>14325568</v>
          </cell>
          <cell r="C670">
            <v>9</v>
          </cell>
          <cell r="D670" t="str">
            <v>WEHINGER WEHINGER SERGIO ANTON</v>
          </cell>
          <cell r="E670" t="str">
            <v>FCS320001</v>
          </cell>
          <cell r="F670">
            <v>44</v>
          </cell>
          <cell r="G670">
            <v>30</v>
          </cell>
          <cell r="H670" t="str">
            <v>SNUNEZ@UTALCA.CL</v>
          </cell>
        </row>
        <row r="671">
          <cell r="B671">
            <v>14326971</v>
          </cell>
          <cell r="C671" t="str">
            <v>K</v>
          </cell>
          <cell r="D671" t="str">
            <v>BRAVO GONZALEZ JORGE ANDRES</v>
          </cell>
          <cell r="E671" t="str">
            <v>FCI320005</v>
          </cell>
          <cell r="F671">
            <v>44</v>
          </cell>
          <cell r="G671">
            <v>30</v>
          </cell>
          <cell r="H671" t="str">
            <v>JBRAVOG@UTALCA.CL</v>
          </cell>
        </row>
        <row r="672">
          <cell r="B672">
            <v>14327311</v>
          </cell>
          <cell r="C672">
            <v>3</v>
          </cell>
          <cell r="D672" t="str">
            <v>JARA PEÑA CINTHIA WALEWSKA</v>
          </cell>
          <cell r="E672" t="str">
            <v/>
          </cell>
          <cell r="F672">
            <v>44</v>
          </cell>
          <cell r="G672">
            <v>30</v>
          </cell>
          <cell r="H672" t="str">
            <v>CTJARA@UTALCA.CL</v>
          </cell>
        </row>
        <row r="673">
          <cell r="B673">
            <v>14330754</v>
          </cell>
          <cell r="C673">
            <v>9</v>
          </cell>
          <cell r="D673" t="str">
            <v>FUENTEALBA PARADA ELBA MERCEDE</v>
          </cell>
          <cell r="E673" t="str">
            <v>ADC021006</v>
          </cell>
          <cell r="F673">
            <v>44</v>
          </cell>
          <cell r="G673">
            <v>30</v>
          </cell>
          <cell r="H673" t="str">
            <v>ELBAFUENTEALBA@UTALCA.CL</v>
          </cell>
        </row>
        <row r="674">
          <cell r="B674">
            <v>14341849</v>
          </cell>
          <cell r="C674">
            <v>9</v>
          </cell>
          <cell r="D674" t="str">
            <v>CERDA ROJAS LUIS FERNANDO</v>
          </cell>
          <cell r="E674" t="str">
            <v>FCI320002</v>
          </cell>
          <cell r="F674">
            <v>22</v>
          </cell>
          <cell r="G674">
            <v>30</v>
          </cell>
          <cell r="H674" t="str">
            <v>LCERDA@UTALCA.CL</v>
          </cell>
        </row>
        <row r="675">
          <cell r="B675">
            <v>14343518</v>
          </cell>
          <cell r="C675">
            <v>0</v>
          </cell>
          <cell r="D675" t="str">
            <v>VALLADARES BURGOS MARIO ALEJAN</v>
          </cell>
          <cell r="E675" t="str">
            <v>ICB300001</v>
          </cell>
          <cell r="F675">
            <v>44</v>
          </cell>
          <cell r="G675">
            <v>30</v>
          </cell>
          <cell r="H675" t="str">
            <v>MARIO.VALLADARES@UTALCA.CL</v>
          </cell>
        </row>
        <row r="676">
          <cell r="B676">
            <v>14343652</v>
          </cell>
          <cell r="C676">
            <v>7</v>
          </cell>
          <cell r="D676" t="str">
            <v>RUBIO GONZALEZ MARISOL ANDREA</v>
          </cell>
          <cell r="E676" t="str">
            <v>ICB300001</v>
          </cell>
          <cell r="F676">
            <v>44</v>
          </cell>
          <cell r="G676">
            <v>30</v>
          </cell>
          <cell r="H676" t="str">
            <v>MRUBIO@UTALCA.CL</v>
          </cell>
        </row>
        <row r="677">
          <cell r="B677">
            <v>14343800</v>
          </cell>
          <cell r="C677">
            <v>7</v>
          </cell>
          <cell r="D677" t="str">
            <v>VALDES MUÑOZ EUGENIA ROMINA</v>
          </cell>
          <cell r="E677" t="str">
            <v>FAM310001</v>
          </cell>
          <cell r="F677">
            <v>44</v>
          </cell>
          <cell r="G677">
            <v>30</v>
          </cell>
          <cell r="H677" t="str">
            <v>ROMINA.VALDES@UTALCA.CL</v>
          </cell>
        </row>
        <row r="678">
          <cell r="B678">
            <v>14343833</v>
          </cell>
          <cell r="C678">
            <v>3</v>
          </cell>
          <cell r="D678" t="str">
            <v>ARRIAGADA VERGARA ALVARO ANDRE</v>
          </cell>
          <cell r="E678" t="str">
            <v>FOD320002</v>
          </cell>
          <cell r="F678">
            <v>11</v>
          </cell>
          <cell r="G678">
            <v>30</v>
          </cell>
          <cell r="H678" t="str">
            <v>AARRIAGADA@UTALCA.CL</v>
          </cell>
        </row>
        <row r="679">
          <cell r="B679">
            <v>14343914</v>
          </cell>
          <cell r="C679">
            <v>3</v>
          </cell>
          <cell r="D679" t="str">
            <v>GUTIERREZ VARAS LORENA DEL CAR</v>
          </cell>
          <cell r="E679" t="str">
            <v>VGE400006</v>
          </cell>
          <cell r="F679">
            <v>44</v>
          </cell>
          <cell r="G679">
            <v>30</v>
          </cell>
          <cell r="H679" t="str">
            <v>LGUTIERREZ@UTALCA.CL</v>
          </cell>
        </row>
        <row r="680">
          <cell r="B680">
            <v>14344170</v>
          </cell>
          <cell r="C680">
            <v>9</v>
          </cell>
          <cell r="D680" t="str">
            <v>COFRE MORALES SANDRA VERONICA</v>
          </cell>
          <cell r="E680" t="str">
            <v>FOD200001</v>
          </cell>
          <cell r="F680">
            <v>44</v>
          </cell>
          <cell r="G680">
            <v>30</v>
          </cell>
          <cell r="H680" t="str">
            <v>SCOFRE@UTALCA.CL</v>
          </cell>
        </row>
        <row r="681">
          <cell r="B681">
            <v>14344246</v>
          </cell>
          <cell r="C681">
            <v>2</v>
          </cell>
          <cell r="D681" t="str">
            <v>ROJAS CACERES MIGUEL ANGEL</v>
          </cell>
          <cell r="E681" t="str">
            <v>FOD320002</v>
          </cell>
          <cell r="F681">
            <v>33</v>
          </cell>
          <cell r="G681">
            <v>30</v>
          </cell>
          <cell r="H681" t="str">
            <v>MROJASC@UTALCA.CL</v>
          </cell>
        </row>
        <row r="682">
          <cell r="B682">
            <v>14344636</v>
          </cell>
          <cell r="C682">
            <v>0</v>
          </cell>
          <cell r="D682" t="str">
            <v>JARA VALDES ERICA ELENA</v>
          </cell>
          <cell r="E682" t="str">
            <v>FOD350001</v>
          </cell>
          <cell r="F682">
            <v>44</v>
          </cell>
          <cell r="G682">
            <v>30</v>
          </cell>
          <cell r="H682" t="str">
            <v>ERIJARA@UTALCA.CL</v>
          </cell>
        </row>
        <row r="683">
          <cell r="B683">
            <v>14345177</v>
          </cell>
          <cell r="C683">
            <v>1</v>
          </cell>
          <cell r="D683" t="str">
            <v>HENRIQUEZ VERA PATRICIA FABIOL</v>
          </cell>
          <cell r="E683" t="str">
            <v>VGE400021</v>
          </cell>
          <cell r="F683">
            <v>44</v>
          </cell>
          <cell r="G683">
            <v>30</v>
          </cell>
          <cell r="H683" t="str">
            <v>PHENRIQUEZ@UTALCA.CL</v>
          </cell>
        </row>
        <row r="684">
          <cell r="B684">
            <v>14345178</v>
          </cell>
          <cell r="C684" t="str">
            <v>K</v>
          </cell>
          <cell r="D684" t="str">
            <v>PAZ MELLADO MARIEL DE LOS ANGE</v>
          </cell>
          <cell r="E684" t="str">
            <v>FPS310001</v>
          </cell>
          <cell r="F684">
            <v>44</v>
          </cell>
          <cell r="G684">
            <v>30</v>
          </cell>
          <cell r="H684" t="str">
            <v>MPAZ@UTALCA.CL</v>
          </cell>
        </row>
        <row r="685">
          <cell r="B685">
            <v>14345477</v>
          </cell>
          <cell r="C685">
            <v>0</v>
          </cell>
          <cell r="D685" t="str">
            <v>MARTINEZ MOYA CESAR RODRIGO</v>
          </cell>
          <cell r="E685" t="str">
            <v>ADC021005</v>
          </cell>
          <cell r="F685">
            <v>44</v>
          </cell>
          <cell r="G685">
            <v>30</v>
          </cell>
          <cell r="H685" t="str">
            <v>CMARTINEZ@UTALCA.CL</v>
          </cell>
        </row>
        <row r="686">
          <cell r="B686">
            <v>14345544</v>
          </cell>
          <cell r="C686">
            <v>0</v>
          </cell>
          <cell r="D686" t="str">
            <v>POBLETE CALDERON CAROLINA ANDR</v>
          </cell>
          <cell r="E686" t="str">
            <v>ADC024001</v>
          </cell>
          <cell r="F686">
            <v>44</v>
          </cell>
          <cell r="G686">
            <v>30</v>
          </cell>
          <cell r="H686" t="str">
            <v>CAROLINA.POBLETE@UTALCA.CL</v>
          </cell>
        </row>
        <row r="687">
          <cell r="B687">
            <v>14372275</v>
          </cell>
          <cell r="C687">
            <v>9</v>
          </cell>
          <cell r="D687" t="str">
            <v>GUTIERREZ RIQUELME IVAN FERNAN</v>
          </cell>
          <cell r="E687" t="str">
            <v>FOD320002</v>
          </cell>
          <cell r="F687">
            <v>22</v>
          </cell>
          <cell r="G687">
            <v>30</v>
          </cell>
          <cell r="H687" t="str">
            <v>IGUTIERREZ@UTALCA.CL</v>
          </cell>
        </row>
        <row r="688">
          <cell r="B688">
            <v>14372571</v>
          </cell>
          <cell r="C688">
            <v>5</v>
          </cell>
          <cell r="D688" t="str">
            <v>BELTRAN VALDEBENITO JAVIER AND</v>
          </cell>
          <cell r="E688" t="str">
            <v>FEN310001</v>
          </cell>
          <cell r="F688">
            <v>33</v>
          </cell>
          <cell r="G688">
            <v>30</v>
          </cell>
          <cell r="H688" t="str">
            <v>JBELTRAN@UTALCA.CL</v>
          </cell>
        </row>
        <row r="689">
          <cell r="B689">
            <v>14389283</v>
          </cell>
          <cell r="C689">
            <v>2</v>
          </cell>
          <cell r="D689" t="str">
            <v>CASTILLO GUZMÁN VILMA LETICIA</v>
          </cell>
          <cell r="E689" t="str">
            <v>FCJ310004</v>
          </cell>
          <cell r="F689">
            <v>44</v>
          </cell>
          <cell r="G689">
            <v>30</v>
          </cell>
          <cell r="H689" t="str">
            <v>VILMA.CASTILLO@UTALCA.CL</v>
          </cell>
        </row>
        <row r="690">
          <cell r="B690">
            <v>14389316</v>
          </cell>
          <cell r="C690">
            <v>2</v>
          </cell>
          <cell r="D690" t="str">
            <v>FUENTES RAMIREZ MIGUEL ANGEL</v>
          </cell>
          <cell r="E690" t="str">
            <v>VGE400056</v>
          </cell>
          <cell r="F690">
            <v>44</v>
          </cell>
          <cell r="G690">
            <v>30</v>
          </cell>
          <cell r="H690" t="str">
            <v>MIGUEL.FUENTES@UTALCA.CL</v>
          </cell>
        </row>
        <row r="691">
          <cell r="B691">
            <v>14397622</v>
          </cell>
          <cell r="C691" t="str">
            <v>K</v>
          </cell>
          <cell r="D691" t="str">
            <v>QUINTEROS QUEZADA KARINA ANDRE</v>
          </cell>
          <cell r="E691" t="str">
            <v>FCA200001</v>
          </cell>
          <cell r="F691">
            <v>44</v>
          </cell>
          <cell r="G691">
            <v>30</v>
          </cell>
          <cell r="H691" t="str">
            <v>KQUINTEROS@UTALCA.CL</v>
          </cell>
        </row>
        <row r="692">
          <cell r="B692">
            <v>14397731</v>
          </cell>
          <cell r="C692">
            <v>5</v>
          </cell>
          <cell r="D692" t="str">
            <v>FLORES ORTEGA INGRID LORENA</v>
          </cell>
          <cell r="E692" t="str">
            <v>ADC013001</v>
          </cell>
          <cell r="F692">
            <v>44</v>
          </cell>
          <cell r="G692">
            <v>30</v>
          </cell>
          <cell r="H692" t="str">
            <v>IFLORES@UTALCA.CL</v>
          </cell>
        </row>
        <row r="693">
          <cell r="B693">
            <v>14398129</v>
          </cell>
          <cell r="C693">
            <v>0</v>
          </cell>
          <cell r="D693" t="str">
            <v>AREVALO MEDEL JUAN LUIS</v>
          </cell>
          <cell r="E693" t="str">
            <v>FEN310001</v>
          </cell>
          <cell r="F693">
            <v>22</v>
          </cell>
          <cell r="G693">
            <v>30</v>
          </cell>
          <cell r="H693" t="str">
            <v>JUAN.AREVALO@UTALCA.CL</v>
          </cell>
        </row>
        <row r="694">
          <cell r="B694">
            <v>14398514</v>
          </cell>
          <cell r="C694">
            <v>8</v>
          </cell>
          <cell r="D694" t="str">
            <v>PEREZ NORAMBUENA GUILLERMO AND</v>
          </cell>
          <cell r="E694" t="str">
            <v>ADC021004</v>
          </cell>
          <cell r="F694">
            <v>44</v>
          </cell>
          <cell r="G694">
            <v>30</v>
          </cell>
          <cell r="H694" t="str">
            <v>GUPEREZ@UTALCA.CL</v>
          </cell>
        </row>
        <row r="695">
          <cell r="B695">
            <v>14398525</v>
          </cell>
          <cell r="C695">
            <v>3</v>
          </cell>
          <cell r="D695" t="str">
            <v>SUAZO PINTO LUIS HUMBERTO</v>
          </cell>
          <cell r="E695" t="str">
            <v>FCS320002</v>
          </cell>
          <cell r="F695">
            <v>44</v>
          </cell>
          <cell r="G695">
            <v>30</v>
          </cell>
          <cell r="H695" t="str">
            <v>LUIS.SUAZO@UTALCA.CL</v>
          </cell>
        </row>
        <row r="696">
          <cell r="B696">
            <v>14398885</v>
          </cell>
          <cell r="C696">
            <v>6</v>
          </cell>
          <cell r="D696" t="str">
            <v>VALENZUELA BRAVO CRISTIAN ATIL</v>
          </cell>
          <cell r="E696" t="str">
            <v/>
          </cell>
          <cell r="F696">
            <v>44</v>
          </cell>
          <cell r="G696">
            <v>30</v>
          </cell>
          <cell r="H696" t="str">
            <v>C.VALENZUELA@UTALCA.CL</v>
          </cell>
        </row>
        <row r="697">
          <cell r="B697">
            <v>14399417</v>
          </cell>
          <cell r="C697">
            <v>1</v>
          </cell>
          <cell r="D697" t="str">
            <v>GONZALEZ GUTIERREZ PAULO ALEJA</v>
          </cell>
          <cell r="E697" t="str">
            <v>FEN310002</v>
          </cell>
          <cell r="F697">
            <v>44</v>
          </cell>
          <cell r="G697">
            <v>30</v>
          </cell>
          <cell r="H697" t="str">
            <v>PAULO.GONZALEZG@UTALCA.CL</v>
          </cell>
        </row>
        <row r="698">
          <cell r="B698">
            <v>14399474</v>
          </cell>
          <cell r="C698">
            <v>0</v>
          </cell>
          <cell r="D698" t="str">
            <v>SEPULVEDA GENERAL SUSANA CONST</v>
          </cell>
          <cell r="E698" t="str">
            <v>FAD310001</v>
          </cell>
          <cell r="F698">
            <v>44</v>
          </cell>
          <cell r="G698">
            <v>30</v>
          </cell>
          <cell r="H698" t="str">
            <v>SUSANA.SEPULVEDA@UTALCA.CL</v>
          </cell>
        </row>
        <row r="699">
          <cell r="B699">
            <v>14399511</v>
          </cell>
          <cell r="C699">
            <v>9</v>
          </cell>
          <cell r="D699" t="str">
            <v>MORA PAREJA CLAUDIA ANDREA</v>
          </cell>
          <cell r="E699" t="str">
            <v>FCS320002</v>
          </cell>
          <cell r="F699">
            <v>44</v>
          </cell>
          <cell r="G699">
            <v>30</v>
          </cell>
          <cell r="H699" t="str">
            <v>CLMORA@UTALCA.CL</v>
          </cell>
        </row>
        <row r="700">
          <cell r="B700">
            <v>14399572</v>
          </cell>
          <cell r="C700">
            <v>0</v>
          </cell>
          <cell r="D700" t="str">
            <v>FUENTES MONTECINOS EDITH PAULI</v>
          </cell>
          <cell r="E700" t="str">
            <v>VGE400031</v>
          </cell>
          <cell r="F700">
            <v>44</v>
          </cell>
          <cell r="G700">
            <v>30</v>
          </cell>
          <cell r="H700" t="str">
            <v>EDIFUENTES@UTALCA.CL</v>
          </cell>
        </row>
        <row r="701">
          <cell r="B701">
            <v>14399847</v>
          </cell>
          <cell r="C701">
            <v>9</v>
          </cell>
          <cell r="D701" t="str">
            <v>GAJARDO CONTRERAS CAROLINA HAY</v>
          </cell>
          <cell r="E701" t="str">
            <v>FCS320009</v>
          </cell>
          <cell r="F701">
            <v>44</v>
          </cell>
          <cell r="G701">
            <v>30</v>
          </cell>
          <cell r="H701" t="str">
            <v>CGAJARDO@UTALCA.CL</v>
          </cell>
        </row>
        <row r="702">
          <cell r="B702">
            <v>14413138</v>
          </cell>
          <cell r="C702" t="str">
            <v>K</v>
          </cell>
          <cell r="D702" t="str">
            <v>MALDONADO CASANOVA MONICA ALEJ</v>
          </cell>
          <cell r="E702" t="str">
            <v>FCA200001</v>
          </cell>
          <cell r="F702">
            <v>44</v>
          </cell>
          <cell r="G702">
            <v>30</v>
          </cell>
          <cell r="H702" t="str">
            <v>MMALDONADO@UTALCA.CL</v>
          </cell>
        </row>
        <row r="703">
          <cell r="B703">
            <v>14422007</v>
          </cell>
          <cell r="C703">
            <v>2</v>
          </cell>
          <cell r="D703" t="str">
            <v>IBAÑEZ CAMPOS MARLENNE IVONNE</v>
          </cell>
          <cell r="E703" t="str">
            <v>VGE400050</v>
          </cell>
          <cell r="F703">
            <v>44</v>
          </cell>
          <cell r="G703">
            <v>30</v>
          </cell>
          <cell r="H703" t="str">
            <v>MIBANEZ@UTALCA.CL</v>
          </cell>
        </row>
        <row r="704">
          <cell r="B704">
            <v>14427969</v>
          </cell>
          <cell r="C704">
            <v>7</v>
          </cell>
          <cell r="D704" t="str">
            <v>LLANQUIN SALINAS ENGELBERT AGU</v>
          </cell>
          <cell r="E704" t="str">
            <v>VGE400054</v>
          </cell>
          <cell r="F704">
            <v>44</v>
          </cell>
          <cell r="G704">
            <v>30</v>
          </cell>
          <cell r="H704" t="str">
            <v>ELLANQUIN@UTALCA.CL</v>
          </cell>
        </row>
        <row r="705">
          <cell r="B705">
            <v>14428458</v>
          </cell>
          <cell r="C705">
            <v>5</v>
          </cell>
          <cell r="D705" t="str">
            <v>VALENZUELA MUÑOZ CLAUDIO MARCE</v>
          </cell>
          <cell r="E705" t="str">
            <v>ADC021004</v>
          </cell>
          <cell r="F705">
            <v>44</v>
          </cell>
          <cell r="G705">
            <v>30</v>
          </cell>
          <cell r="H705" t="str">
            <v>CVALENZU@UTALCA.CL</v>
          </cell>
        </row>
        <row r="706">
          <cell r="B706">
            <v>14457057</v>
          </cell>
          <cell r="C706" t="str">
            <v>K</v>
          </cell>
          <cell r="D706" t="str">
            <v>SCHMEDA HIRSCHMANN GUILLERMO</v>
          </cell>
          <cell r="E706" t="str">
            <v>IQR300001</v>
          </cell>
          <cell r="F706">
            <v>44</v>
          </cell>
          <cell r="G706">
            <v>30</v>
          </cell>
          <cell r="H706" t="str">
            <v>SCHMEDA@UTALCA.CL</v>
          </cell>
        </row>
        <row r="707">
          <cell r="B707">
            <v>14458765</v>
          </cell>
          <cell r="C707">
            <v>0</v>
          </cell>
          <cell r="D707" t="str">
            <v>GUSENBAUER . ARMIN</v>
          </cell>
          <cell r="E707" t="str">
            <v>IMF300001</v>
          </cell>
          <cell r="F707">
            <v>44</v>
          </cell>
          <cell r="G707">
            <v>30</v>
          </cell>
          <cell r="H707" t="str">
            <v>AGUSENBAUER@UTALCA.CL</v>
          </cell>
        </row>
        <row r="708">
          <cell r="B708">
            <v>14461400</v>
          </cell>
          <cell r="C708">
            <v>3</v>
          </cell>
          <cell r="D708" t="str">
            <v>SEGOVIA LETELIER PAULINA ANDRE</v>
          </cell>
          <cell r="E708" t="str">
            <v>ADC040001</v>
          </cell>
          <cell r="F708">
            <v>33</v>
          </cell>
          <cell r="G708">
            <v>30</v>
          </cell>
          <cell r="H708" t="str">
            <v>PSEGOVIA@UTALCA.CL</v>
          </cell>
        </row>
        <row r="709">
          <cell r="B709">
            <v>14464462</v>
          </cell>
          <cell r="C709" t="str">
            <v>K</v>
          </cell>
          <cell r="D709" t="str">
            <v>RETAMAL BRAVO CESAR MAURICIO</v>
          </cell>
          <cell r="E709" t="str">
            <v>FCI320005</v>
          </cell>
          <cell r="F709">
            <v>44</v>
          </cell>
          <cell r="G709">
            <v>30</v>
          </cell>
          <cell r="H709" t="str">
            <v>CERETAMAL@UTALCA.CL</v>
          </cell>
        </row>
        <row r="710">
          <cell r="B710">
            <v>14466571</v>
          </cell>
          <cell r="C710">
            <v>6</v>
          </cell>
          <cell r="D710" t="str">
            <v>HUERTA MEDEL CAROLINA DEL PILA</v>
          </cell>
          <cell r="E710" t="str">
            <v>VGE400003</v>
          </cell>
          <cell r="F710">
            <v>44</v>
          </cell>
          <cell r="G710">
            <v>30</v>
          </cell>
          <cell r="H710" t="str">
            <v>CHUERTA@UTALCA.CL</v>
          </cell>
        </row>
        <row r="711">
          <cell r="B711">
            <v>14468205</v>
          </cell>
          <cell r="C711" t="str">
            <v>K</v>
          </cell>
          <cell r="D711" t="str">
            <v>GONZALEZ BRAVO VICTOR MANUEL</v>
          </cell>
          <cell r="E711" t="str">
            <v/>
          </cell>
          <cell r="F711">
            <v>44</v>
          </cell>
          <cell r="G711">
            <v>30</v>
          </cell>
          <cell r="H711" t="str">
            <v>VICTOR.GONZALEZ@UTALCA.CL</v>
          </cell>
        </row>
        <row r="712">
          <cell r="B712">
            <v>14470445</v>
          </cell>
          <cell r="C712">
            <v>2</v>
          </cell>
          <cell r="D712" t="str">
            <v>DEULOFEU FULLER GLENN ANDRES</v>
          </cell>
          <cell r="E712" t="str">
            <v>FAD310001</v>
          </cell>
          <cell r="F712">
            <v>44</v>
          </cell>
          <cell r="G712">
            <v>30</v>
          </cell>
          <cell r="H712" t="str">
            <v>GDEULOFEU@UTALCA.CL</v>
          </cell>
        </row>
        <row r="713">
          <cell r="B713">
            <v>14473648</v>
          </cell>
          <cell r="C713">
            <v>6</v>
          </cell>
          <cell r="D713" t="str">
            <v>RIVERA HERNANDEZ JESSICA BEATR</v>
          </cell>
          <cell r="E713" t="str">
            <v>FAD320001</v>
          </cell>
          <cell r="F713">
            <v>44</v>
          </cell>
          <cell r="G713">
            <v>30</v>
          </cell>
          <cell r="H713" t="str">
            <v>JESRIVERA@UTALCA.CL</v>
          </cell>
        </row>
        <row r="714">
          <cell r="B714">
            <v>14473869</v>
          </cell>
          <cell r="C714">
            <v>1</v>
          </cell>
          <cell r="D714" t="str">
            <v>MORIS MOYANO MARCELA ROCIO</v>
          </cell>
          <cell r="E714" t="str">
            <v>VRF100003</v>
          </cell>
          <cell r="F714">
            <v>44</v>
          </cell>
          <cell r="G714">
            <v>30</v>
          </cell>
          <cell r="H714" t="str">
            <v>MMORIS@UTALCA.CL</v>
          </cell>
        </row>
        <row r="715">
          <cell r="B715">
            <v>14474364</v>
          </cell>
          <cell r="C715">
            <v>4</v>
          </cell>
          <cell r="D715" t="str">
            <v>SAID GALINDO MACARENA DEL PILA</v>
          </cell>
          <cell r="E715" t="str">
            <v>FCS320003</v>
          </cell>
          <cell r="F715">
            <v>22</v>
          </cell>
          <cell r="G715">
            <v>30</v>
          </cell>
          <cell r="H715" t="str">
            <v>MACARENA.SAID@UTALCA.CL</v>
          </cell>
        </row>
        <row r="716">
          <cell r="B716">
            <v>14486406</v>
          </cell>
          <cell r="C716">
            <v>9</v>
          </cell>
          <cell r="D716" t="str">
            <v>ESPINOZA URBINA FRANCISCA ANDR</v>
          </cell>
          <cell r="E716" t="str">
            <v>FAM310001</v>
          </cell>
          <cell r="F716">
            <v>44</v>
          </cell>
          <cell r="G716">
            <v>30</v>
          </cell>
          <cell r="H716" t="str">
            <v>FRANCISCA.ESPINOZA@UTALCA.CL</v>
          </cell>
        </row>
        <row r="717">
          <cell r="B717">
            <v>14487837</v>
          </cell>
          <cell r="C717" t="str">
            <v>K</v>
          </cell>
          <cell r="D717" t="str">
            <v>VARGAS CONTRERAS MAURICIO ANTO</v>
          </cell>
          <cell r="E717" t="str">
            <v>IMF300001</v>
          </cell>
          <cell r="F717">
            <v>44</v>
          </cell>
          <cell r="G717">
            <v>30</v>
          </cell>
          <cell r="H717" t="str">
            <v>MVARGAS@UTALCA.CL</v>
          </cell>
        </row>
        <row r="718">
          <cell r="B718">
            <v>14491476</v>
          </cell>
          <cell r="C718">
            <v>7</v>
          </cell>
          <cell r="D718" t="str">
            <v>MUÑOZ MUÑOZ RODRIGO ALEJANDRO</v>
          </cell>
          <cell r="E718" t="str">
            <v>FOD320001</v>
          </cell>
          <cell r="F718">
            <v>21</v>
          </cell>
          <cell r="G718">
            <v>30</v>
          </cell>
          <cell r="H718" t="str">
            <v>RMUNOZM@UTALCA.CL</v>
          </cell>
        </row>
        <row r="719">
          <cell r="B719">
            <v>14495385</v>
          </cell>
          <cell r="C719">
            <v>1</v>
          </cell>
          <cell r="D719" t="str">
            <v>BRAVO CASTRO MODESTO LEOPOLDO</v>
          </cell>
          <cell r="E719" t="str">
            <v/>
          </cell>
          <cell r="F719">
            <v>42</v>
          </cell>
          <cell r="G719">
            <v>30</v>
          </cell>
          <cell r="H719" t="str">
            <v>MOBRAVO@UTALCA.CL</v>
          </cell>
        </row>
        <row r="720">
          <cell r="B720">
            <v>14495469</v>
          </cell>
          <cell r="C720">
            <v>6</v>
          </cell>
          <cell r="D720" t="str">
            <v>MUÑOZ ARANCIBIA MACARENA DEL P</v>
          </cell>
          <cell r="E720" t="str">
            <v>FOD320001</v>
          </cell>
          <cell r="F720">
            <v>26</v>
          </cell>
          <cell r="G720">
            <v>30</v>
          </cell>
          <cell r="H720" t="str">
            <v>MMUNOZA@UTALCA.CL</v>
          </cell>
        </row>
        <row r="721">
          <cell r="B721">
            <v>14499460</v>
          </cell>
          <cell r="C721">
            <v>4</v>
          </cell>
          <cell r="D721" t="str">
            <v>PETERS PEREZ PAULA PATRICIA</v>
          </cell>
          <cell r="E721" t="str">
            <v>FAM310001</v>
          </cell>
          <cell r="F721">
            <v>22</v>
          </cell>
          <cell r="G721">
            <v>30</v>
          </cell>
          <cell r="H721" t="str">
            <v>PAULA.PETERS@UTALCA.CL</v>
          </cell>
        </row>
        <row r="722">
          <cell r="B722">
            <v>14499993</v>
          </cell>
          <cell r="C722">
            <v>2</v>
          </cell>
          <cell r="D722" t="str">
            <v>AYALA MIRANDA RITA ALEJANDRA</v>
          </cell>
          <cell r="E722" t="str">
            <v>IQR300001</v>
          </cell>
          <cell r="F722">
            <v>33</v>
          </cell>
          <cell r="G722">
            <v>30</v>
          </cell>
          <cell r="H722" t="str">
            <v>RAYALA@UTALCA.CL</v>
          </cell>
        </row>
        <row r="723">
          <cell r="B723">
            <v>14504863</v>
          </cell>
          <cell r="C723" t="str">
            <v>K</v>
          </cell>
          <cell r="D723" t="str">
            <v>VEJARES ALCANTARA CRISTIAN</v>
          </cell>
          <cell r="E723" t="str">
            <v>FCI310007</v>
          </cell>
          <cell r="F723">
            <v>44</v>
          </cell>
          <cell r="G723">
            <v>30</v>
          </cell>
          <cell r="H723" t="str">
            <v>CVEJARES@UTALCA.CL</v>
          </cell>
        </row>
        <row r="724">
          <cell r="B724">
            <v>14505093</v>
          </cell>
          <cell r="C724">
            <v>6</v>
          </cell>
          <cell r="D724" t="str">
            <v>OYARZUN ROJAS GRICEL ELIADA</v>
          </cell>
          <cell r="E724" t="str">
            <v>FCJ310001</v>
          </cell>
          <cell r="F724">
            <v>44</v>
          </cell>
          <cell r="G724">
            <v>30</v>
          </cell>
          <cell r="H724" t="str">
            <v>GOYARZUN@UTALCA.CL</v>
          </cell>
        </row>
        <row r="725">
          <cell r="B725">
            <v>14508030</v>
          </cell>
          <cell r="C725">
            <v>4</v>
          </cell>
          <cell r="D725" t="str">
            <v>GÓMEZ OJEDA FABIOLA ALEJANDRA</v>
          </cell>
          <cell r="E725" t="str">
            <v/>
          </cell>
          <cell r="F725">
            <v>44</v>
          </cell>
          <cell r="G725">
            <v>30</v>
          </cell>
          <cell r="H725" t="str">
            <v>FABIOLA.GOMEZ@UTALCA.CL</v>
          </cell>
        </row>
        <row r="726">
          <cell r="B726">
            <v>14510521</v>
          </cell>
          <cell r="C726">
            <v>8</v>
          </cell>
          <cell r="D726" t="str">
            <v>VOGEL . HERMINE MARIA</v>
          </cell>
          <cell r="E726" t="str">
            <v>FCA320002</v>
          </cell>
          <cell r="F726">
            <v>44</v>
          </cell>
          <cell r="G726">
            <v>30</v>
          </cell>
          <cell r="H726" t="str">
            <v>HVOGEL@UTALCA.CL</v>
          </cell>
        </row>
        <row r="727">
          <cell r="B727">
            <v>14510677</v>
          </cell>
          <cell r="C727" t="str">
            <v>K</v>
          </cell>
          <cell r="D727" t="str">
            <v>FERNANDEZ FERNANDEZ MARIO ALBE</v>
          </cell>
          <cell r="E727" t="str">
            <v>FCI320007</v>
          </cell>
          <cell r="F727">
            <v>44</v>
          </cell>
          <cell r="G727">
            <v>30</v>
          </cell>
          <cell r="H727" t="str">
            <v>MAFERNANDEZ@UTALCA.CL</v>
          </cell>
        </row>
        <row r="728">
          <cell r="B728">
            <v>14512139</v>
          </cell>
          <cell r="C728">
            <v>6</v>
          </cell>
          <cell r="D728" t="str">
            <v>ROJAS OYARCE FRANCISCO ALEJAND</v>
          </cell>
          <cell r="E728" t="str">
            <v>VRF400043</v>
          </cell>
          <cell r="F728">
            <v>44</v>
          </cell>
          <cell r="G728">
            <v>30</v>
          </cell>
          <cell r="H728" t="str">
            <v>FRANCROJAS@UTALCA.CL</v>
          </cell>
        </row>
        <row r="729">
          <cell r="B729">
            <v>14514611</v>
          </cell>
          <cell r="C729">
            <v>9</v>
          </cell>
          <cell r="D729" t="str">
            <v>ORELLANA ROJAS CLAUDIA ANDREA</v>
          </cell>
          <cell r="E729" t="str">
            <v>VGE400031</v>
          </cell>
          <cell r="F729">
            <v>44</v>
          </cell>
          <cell r="G729">
            <v>30</v>
          </cell>
          <cell r="H729" t="str">
            <v>CLORELLANA@UTALCA.CL</v>
          </cell>
        </row>
        <row r="730">
          <cell r="B730">
            <v>14514667</v>
          </cell>
          <cell r="C730">
            <v>4</v>
          </cell>
          <cell r="D730" t="str">
            <v>CASTRO BARAHONA RAMIRO JOSE</v>
          </cell>
          <cell r="E730" t="str">
            <v>FOD320001</v>
          </cell>
          <cell r="F730">
            <v>44</v>
          </cell>
          <cell r="G730">
            <v>30</v>
          </cell>
          <cell r="H730" t="str">
            <v>RCASTRO@UTALCA.CL</v>
          </cell>
        </row>
        <row r="731">
          <cell r="B731">
            <v>14514886</v>
          </cell>
          <cell r="C731">
            <v>3</v>
          </cell>
          <cell r="D731" t="str">
            <v>SILVA FLORES MARCIA RICARDINA</v>
          </cell>
          <cell r="E731" t="str">
            <v>FCI320002</v>
          </cell>
          <cell r="F731">
            <v>44</v>
          </cell>
          <cell r="G731">
            <v>30</v>
          </cell>
          <cell r="H731" t="str">
            <v>MSILVAF@UTALCA.CL</v>
          </cell>
        </row>
        <row r="732">
          <cell r="B732">
            <v>14516287</v>
          </cell>
          <cell r="C732">
            <v>4</v>
          </cell>
          <cell r="D732" t="str">
            <v>GONZALEZ REYES JOHN MANUEL</v>
          </cell>
          <cell r="E732" t="str">
            <v>VGE400051</v>
          </cell>
          <cell r="F732">
            <v>44</v>
          </cell>
          <cell r="G732">
            <v>30</v>
          </cell>
          <cell r="H732" t="str">
            <v>JOHGONZALEZ@UTALCA.CL</v>
          </cell>
        </row>
        <row r="733">
          <cell r="B733">
            <v>14524299</v>
          </cell>
          <cell r="C733">
            <v>1</v>
          </cell>
          <cell r="D733" t="str">
            <v>COFRE ALBORNOZ LORETO DEL PILA</v>
          </cell>
          <cell r="E733" t="str">
            <v>FCS320010</v>
          </cell>
          <cell r="F733">
            <v>11</v>
          </cell>
          <cell r="G733">
            <v>30</v>
          </cell>
          <cell r="H733" t="str">
            <v>LCOFRE@UTALCA.CL</v>
          </cell>
        </row>
        <row r="734">
          <cell r="B734">
            <v>14536492</v>
          </cell>
          <cell r="C734">
            <v>2</v>
          </cell>
          <cell r="D734" t="str">
            <v>NUÑEZ VELIZ DANIEL FRANCISCO</v>
          </cell>
          <cell r="E734" t="str">
            <v>ADC024006</v>
          </cell>
          <cell r="F734">
            <v>44</v>
          </cell>
          <cell r="G734">
            <v>30</v>
          </cell>
          <cell r="H734" t="str">
            <v>DANUNEZ@UTALCA.CL</v>
          </cell>
        </row>
        <row r="735">
          <cell r="B735">
            <v>14540704</v>
          </cell>
          <cell r="C735">
            <v>4</v>
          </cell>
          <cell r="D735" t="str">
            <v>PEÑA DIAZ YASNA DEL CARMEN</v>
          </cell>
          <cell r="E735" t="str">
            <v>FCI310006</v>
          </cell>
          <cell r="F735">
            <v>44</v>
          </cell>
          <cell r="G735">
            <v>30</v>
          </cell>
          <cell r="H735" t="str">
            <v>YPENA@UTALCA.CL</v>
          </cell>
        </row>
        <row r="736">
          <cell r="B736">
            <v>14544167</v>
          </cell>
          <cell r="C736">
            <v>6</v>
          </cell>
          <cell r="D736" t="str">
            <v>RIVEROS FERRADA CAROLINA ANDRE</v>
          </cell>
          <cell r="E736" t="str">
            <v>FCJ320002</v>
          </cell>
          <cell r="F736">
            <v>44</v>
          </cell>
          <cell r="G736">
            <v>30</v>
          </cell>
          <cell r="H736" t="str">
            <v>CRIVEROS@UTALCA.CL</v>
          </cell>
        </row>
        <row r="737">
          <cell r="B737">
            <v>14545576</v>
          </cell>
          <cell r="C737">
            <v>6</v>
          </cell>
          <cell r="D737" t="str">
            <v>REINA FIERRO WILSON</v>
          </cell>
          <cell r="E737" t="str">
            <v>VDE400009</v>
          </cell>
          <cell r="F737">
            <v>30</v>
          </cell>
          <cell r="G737">
            <v>30</v>
          </cell>
          <cell r="H737" t="str">
            <v>WREINA@UTALCA.CL</v>
          </cell>
        </row>
        <row r="738">
          <cell r="B738">
            <v>14550528</v>
          </cell>
          <cell r="C738">
            <v>3</v>
          </cell>
          <cell r="D738" t="str">
            <v>BUSTAMANTE MUÑOZ WANDA DEL PIL</v>
          </cell>
          <cell r="E738" t="str">
            <v>FCS320012</v>
          </cell>
          <cell r="F738">
            <v>44</v>
          </cell>
          <cell r="G738">
            <v>30</v>
          </cell>
          <cell r="H738" t="str">
            <v>WBUSTAMANTE@UTALCA.CL</v>
          </cell>
        </row>
        <row r="739">
          <cell r="B739">
            <v>14551368</v>
          </cell>
          <cell r="C739">
            <v>5</v>
          </cell>
          <cell r="D739" t="str">
            <v>PARADA ROMAN MARIA ENRIQUETA</v>
          </cell>
          <cell r="E739" t="str">
            <v>FCA310001</v>
          </cell>
          <cell r="F739">
            <v>44</v>
          </cell>
          <cell r="G739">
            <v>30</v>
          </cell>
          <cell r="H739" t="str">
            <v>MAPARADA@UTALCA.CL</v>
          </cell>
        </row>
        <row r="740">
          <cell r="B740">
            <v>14555025</v>
          </cell>
          <cell r="C740">
            <v>4</v>
          </cell>
          <cell r="D740" t="str">
            <v>FERNANDEZ TAPIA BARBRA JOSELIN</v>
          </cell>
          <cell r="E740" t="str">
            <v>FCS320012</v>
          </cell>
          <cell r="F740">
            <v>44</v>
          </cell>
          <cell r="G740">
            <v>30</v>
          </cell>
          <cell r="H740" t="str">
            <v>BFERNANDEZ@UTALCA.CL</v>
          </cell>
        </row>
        <row r="741">
          <cell r="B741">
            <v>14555849</v>
          </cell>
          <cell r="C741">
            <v>2</v>
          </cell>
          <cell r="D741" t="str">
            <v>VARELA MUÑOZ YESICA MOYRA</v>
          </cell>
          <cell r="E741" t="str">
            <v/>
          </cell>
          <cell r="F741">
            <v>30</v>
          </cell>
          <cell r="G741">
            <v>30</v>
          </cell>
          <cell r="H741" t="str">
            <v>YVARELA@UTALCA.CL</v>
          </cell>
        </row>
        <row r="742">
          <cell r="B742">
            <v>14556070</v>
          </cell>
          <cell r="C742">
            <v>5</v>
          </cell>
          <cell r="D742" t="str">
            <v>ARTIAGA MONTECINOS SANDRA MARY</v>
          </cell>
          <cell r="E742" t="str">
            <v>VGE400005</v>
          </cell>
          <cell r="F742">
            <v>44</v>
          </cell>
          <cell r="G742">
            <v>28</v>
          </cell>
          <cell r="H742" t="str">
            <v>SARTIAGA@UTALCA.CL</v>
          </cell>
        </row>
        <row r="743">
          <cell r="B743">
            <v>14558374</v>
          </cell>
          <cell r="C743">
            <v>8</v>
          </cell>
          <cell r="D743" t="str">
            <v>ABARCA QUINTEROS TERESA MACARE</v>
          </cell>
          <cell r="E743" t="str">
            <v>FED200001</v>
          </cell>
          <cell r="F743">
            <v>44</v>
          </cell>
          <cell r="G743">
            <v>30</v>
          </cell>
          <cell r="H743" t="str">
            <v>TABARCA@UTALCA.CL</v>
          </cell>
        </row>
        <row r="744">
          <cell r="B744">
            <v>14564385</v>
          </cell>
          <cell r="C744">
            <v>6</v>
          </cell>
          <cell r="D744" t="str">
            <v>RAMIREZ TOBAR GUILLERMO MANUEL</v>
          </cell>
          <cell r="E744" t="str">
            <v>FCS320001</v>
          </cell>
          <cell r="F744">
            <v>11</v>
          </cell>
          <cell r="G744">
            <v>30</v>
          </cell>
          <cell r="H744" t="str">
            <v>GRAMIREZ@UTALCA.CL</v>
          </cell>
        </row>
        <row r="745">
          <cell r="B745">
            <v>14565030</v>
          </cell>
          <cell r="C745">
            <v>5</v>
          </cell>
          <cell r="D745" t="str">
            <v>ENCINA AGURTO YONATAN JOSE</v>
          </cell>
          <cell r="E745" t="str">
            <v>FPS310001</v>
          </cell>
          <cell r="F745">
            <v>33</v>
          </cell>
          <cell r="G745">
            <v>30</v>
          </cell>
          <cell r="H745" t="str">
            <v>YENCINA@UTALCA.CL</v>
          </cell>
        </row>
        <row r="746">
          <cell r="B746">
            <v>14569931</v>
          </cell>
          <cell r="C746">
            <v>2</v>
          </cell>
          <cell r="D746" t="str">
            <v>MARTINEZ MARTINEZ MAGDA LUCIA</v>
          </cell>
          <cell r="E746" t="str">
            <v>FOD320003</v>
          </cell>
          <cell r="F746">
            <v>15</v>
          </cell>
          <cell r="G746">
            <v>30</v>
          </cell>
          <cell r="H746" t="str">
            <v>MMARTINEZ@UTALCA.CL</v>
          </cell>
        </row>
        <row r="747">
          <cell r="B747">
            <v>14571629</v>
          </cell>
          <cell r="C747">
            <v>2</v>
          </cell>
          <cell r="D747" t="str">
            <v>DOLL . URSULA MARIA</v>
          </cell>
          <cell r="E747" t="str">
            <v>ADC011001</v>
          </cell>
          <cell r="F747">
            <v>11</v>
          </cell>
          <cell r="G747">
            <v>23</v>
          </cell>
          <cell r="H747" t="str">
            <v>UDOLL@UTALCA.CL</v>
          </cell>
        </row>
        <row r="748">
          <cell r="B748">
            <v>14571642</v>
          </cell>
          <cell r="C748" t="str">
            <v>K</v>
          </cell>
          <cell r="D748" t="str">
            <v>MARQUEZ CABRERA ALEJANDRA ENIF</v>
          </cell>
          <cell r="E748" t="str">
            <v>FCJ320004</v>
          </cell>
          <cell r="F748">
            <v>22</v>
          </cell>
          <cell r="G748">
            <v>30</v>
          </cell>
          <cell r="H748" t="str">
            <v>ALEJANDRA.MARQUEZ@UTALCA.CL</v>
          </cell>
        </row>
        <row r="749">
          <cell r="B749">
            <v>14575310</v>
          </cell>
          <cell r="C749">
            <v>4</v>
          </cell>
          <cell r="D749" t="str">
            <v>GAJARDO MARTINEZ PAOLA FRANCIS</v>
          </cell>
          <cell r="E749" t="str">
            <v>FCS320007</v>
          </cell>
          <cell r="F749">
            <v>44</v>
          </cell>
          <cell r="G749">
            <v>30</v>
          </cell>
          <cell r="H749" t="str">
            <v>PAOLA.GAJARDO@UTALCA.CL</v>
          </cell>
        </row>
        <row r="750">
          <cell r="B750">
            <v>14578387</v>
          </cell>
          <cell r="C750">
            <v>9</v>
          </cell>
          <cell r="D750" t="str">
            <v>BUSTOS QUINTANA GASTON GUILLER</v>
          </cell>
          <cell r="E750" t="str">
            <v>VRF400061</v>
          </cell>
          <cell r="F750">
            <v>44</v>
          </cell>
          <cell r="G750">
            <v>30</v>
          </cell>
          <cell r="H750" t="str">
            <v>GASTON.BUSTOS@UTALCA.CL</v>
          </cell>
        </row>
        <row r="751">
          <cell r="B751">
            <v>14580788</v>
          </cell>
          <cell r="C751">
            <v>3</v>
          </cell>
          <cell r="D751" t="str">
            <v>VASQUEZ IBARRA SONIA FRANCISCA</v>
          </cell>
          <cell r="E751" t="str">
            <v>FOD320002</v>
          </cell>
          <cell r="F751">
            <v>33</v>
          </cell>
          <cell r="G751">
            <v>30</v>
          </cell>
          <cell r="H751" t="str">
            <v>SVASQUEZ@UTALCA.CL</v>
          </cell>
        </row>
        <row r="752">
          <cell r="B752">
            <v>14595141</v>
          </cell>
          <cell r="C752">
            <v>0</v>
          </cell>
          <cell r="D752" t="str">
            <v>CHAMORRO POBLETE SANDRA ISABEL</v>
          </cell>
          <cell r="E752" t="str">
            <v>FCJ200001</v>
          </cell>
          <cell r="F752">
            <v>44</v>
          </cell>
          <cell r="G752">
            <v>30</v>
          </cell>
          <cell r="H752" t="str">
            <v>SCHAMORRO@UTALCA.CL</v>
          </cell>
        </row>
        <row r="753">
          <cell r="B753">
            <v>14596078</v>
          </cell>
          <cell r="C753">
            <v>9</v>
          </cell>
          <cell r="D753" t="str">
            <v>SCHAFFERNICHT . MARTIN FRANZ G</v>
          </cell>
          <cell r="E753" t="str">
            <v>FEN310002</v>
          </cell>
          <cell r="F753">
            <v>44</v>
          </cell>
          <cell r="G753">
            <v>29</v>
          </cell>
          <cell r="H753" t="str">
            <v>MARTIN@UTALCA.CL</v>
          </cell>
        </row>
        <row r="754">
          <cell r="B754">
            <v>14598968</v>
          </cell>
          <cell r="C754" t="str">
            <v>K</v>
          </cell>
          <cell r="D754" t="str">
            <v>GONZALEZ DIAZ CAROLINA DE LAS</v>
          </cell>
          <cell r="E754" t="str">
            <v>VRF400001</v>
          </cell>
          <cell r="F754">
            <v>44</v>
          </cell>
          <cell r="G754">
            <v>30</v>
          </cell>
          <cell r="H754" t="str">
            <v>CAROLINA.GONZALEZD@UTALCA.CL</v>
          </cell>
        </row>
        <row r="755">
          <cell r="B755">
            <v>14671603</v>
          </cell>
          <cell r="C755">
            <v>2</v>
          </cell>
          <cell r="D755" t="str">
            <v>TROFIMCHUK . SERGEI</v>
          </cell>
          <cell r="E755" t="str">
            <v>IMF300001</v>
          </cell>
          <cell r="F755">
            <v>44</v>
          </cell>
          <cell r="G755">
            <v>30</v>
          </cell>
          <cell r="H755" t="str">
            <v>STROFIMCHUK@UTALCA.CL</v>
          </cell>
        </row>
        <row r="756">
          <cell r="B756">
            <v>14671622</v>
          </cell>
          <cell r="C756">
            <v>9</v>
          </cell>
          <cell r="D756" t="str">
            <v>VAN DIEJEN . JAN FELIPE</v>
          </cell>
          <cell r="E756" t="str">
            <v>IMF300001</v>
          </cell>
          <cell r="F756">
            <v>44</v>
          </cell>
          <cell r="G756">
            <v>30</v>
          </cell>
          <cell r="H756" t="str">
            <v>FVAN@UTALCA.CL</v>
          </cell>
        </row>
        <row r="757">
          <cell r="B757">
            <v>14695891</v>
          </cell>
          <cell r="C757">
            <v>5</v>
          </cell>
          <cell r="D757" t="str">
            <v>EGAS EGAS CLAUDIA LUCIA DE LOS</v>
          </cell>
          <cell r="E757" t="str">
            <v>ICB300001</v>
          </cell>
          <cell r="F757">
            <v>44</v>
          </cell>
          <cell r="G757">
            <v>30</v>
          </cell>
          <cell r="H757" t="str">
            <v>CLAUDIA.EGAS@UTALCA.CL</v>
          </cell>
        </row>
        <row r="758">
          <cell r="B758">
            <v>14709051</v>
          </cell>
          <cell r="C758" t="str">
            <v>K</v>
          </cell>
          <cell r="D758" t="str">
            <v>KLERKX  LAURENTIUS WILHELMUS A</v>
          </cell>
          <cell r="E758" t="str">
            <v>FCA320001</v>
          </cell>
          <cell r="F758">
            <v>44</v>
          </cell>
          <cell r="G758">
            <v>30</v>
          </cell>
          <cell r="H758" t="str">
            <v>LAURENS.KLERKX@UTALCA.CL</v>
          </cell>
        </row>
        <row r="759">
          <cell r="B759">
            <v>14714199</v>
          </cell>
          <cell r="C759">
            <v>8</v>
          </cell>
          <cell r="D759" t="str">
            <v>VIDAL GARCIA IGNACIO</v>
          </cell>
          <cell r="E759" t="str">
            <v>IMF300001</v>
          </cell>
          <cell r="F759">
            <v>44</v>
          </cell>
          <cell r="G759">
            <v>30</v>
          </cell>
          <cell r="H759" t="str">
            <v>IVIDAL@UTALCA.CL</v>
          </cell>
        </row>
        <row r="760">
          <cell r="B760">
            <v>14757121</v>
          </cell>
          <cell r="C760">
            <v>6</v>
          </cell>
          <cell r="D760" t="str">
            <v>HASSAINE . MOKHTAR</v>
          </cell>
          <cell r="E760" t="str">
            <v>IMF300001</v>
          </cell>
          <cell r="F760">
            <v>44</v>
          </cell>
          <cell r="G760">
            <v>30</v>
          </cell>
          <cell r="H760" t="str">
            <v>MHASSAINE@UTALCA.CL</v>
          </cell>
        </row>
        <row r="761">
          <cell r="B761">
            <v>14760539</v>
          </cell>
          <cell r="C761">
            <v>0</v>
          </cell>
          <cell r="D761" t="str">
            <v>ANGLES ROJAS RENZO</v>
          </cell>
          <cell r="E761" t="str">
            <v>FCI320003</v>
          </cell>
          <cell r="F761">
            <v>44</v>
          </cell>
          <cell r="G761">
            <v>30</v>
          </cell>
          <cell r="H761" t="str">
            <v>RANGLES@UTALCA.CL</v>
          </cell>
        </row>
        <row r="762">
          <cell r="B762">
            <v>14762391</v>
          </cell>
          <cell r="C762">
            <v>7</v>
          </cell>
          <cell r="D762" t="str">
            <v>LAPOINTE . LUC</v>
          </cell>
          <cell r="E762" t="str">
            <v>IMF300001</v>
          </cell>
          <cell r="F762">
            <v>44</v>
          </cell>
          <cell r="G762">
            <v>30</v>
          </cell>
          <cell r="H762" t="str">
            <v>LLAPOINTE@UTALCA.CL</v>
          </cell>
        </row>
        <row r="763">
          <cell r="B763">
            <v>14900356</v>
          </cell>
          <cell r="C763">
            <v>8</v>
          </cell>
          <cell r="D763" t="str">
            <v>FUENTES CARRASCO PAULA ANDREA</v>
          </cell>
          <cell r="E763" t="str">
            <v>ADC030110</v>
          </cell>
          <cell r="F763">
            <v>44</v>
          </cell>
          <cell r="G763">
            <v>30</v>
          </cell>
          <cell r="H763" t="str">
            <v>PFUENTESC@UTALCA.CL</v>
          </cell>
        </row>
        <row r="764">
          <cell r="B764">
            <v>15013097</v>
          </cell>
          <cell r="C764">
            <v>2</v>
          </cell>
          <cell r="D764" t="str">
            <v>ALVAREZ MIRANDA EDUARDO ANDRE</v>
          </cell>
          <cell r="E764" t="str">
            <v>FCI320002</v>
          </cell>
          <cell r="F764">
            <v>44</v>
          </cell>
          <cell r="G764">
            <v>30</v>
          </cell>
          <cell r="H764" t="str">
            <v>EALVAREZ@UTALCA.CL</v>
          </cell>
        </row>
        <row r="765">
          <cell r="B765">
            <v>15023230</v>
          </cell>
          <cell r="C765">
            <v>9</v>
          </cell>
          <cell r="D765" t="str">
            <v>MIRANDA FERNANDEZ CRISTIAN DAN</v>
          </cell>
          <cell r="E765" t="str">
            <v>FCS320012</v>
          </cell>
          <cell r="F765">
            <v>44</v>
          </cell>
          <cell r="G765">
            <v>30</v>
          </cell>
          <cell r="H765" t="str">
            <v>CRMIRANDA@UTALCA.CL</v>
          </cell>
        </row>
        <row r="766">
          <cell r="B766">
            <v>15024997</v>
          </cell>
          <cell r="C766" t="str">
            <v>K</v>
          </cell>
          <cell r="D766" t="str">
            <v>ZAMBRA CALLOJA SARA OLFA</v>
          </cell>
          <cell r="E766" t="str">
            <v>VGE400020</v>
          </cell>
          <cell r="F766">
            <v>44</v>
          </cell>
          <cell r="G766">
            <v>30</v>
          </cell>
          <cell r="H766" t="str">
            <v>SARA.ZAMBRA@UTALCA.CL</v>
          </cell>
        </row>
        <row r="767">
          <cell r="B767">
            <v>15097659</v>
          </cell>
          <cell r="C767">
            <v>6</v>
          </cell>
          <cell r="D767" t="str">
            <v>ACUÑA RIOS PABLO FERNANDO</v>
          </cell>
          <cell r="E767" t="str">
            <v>FCI320007</v>
          </cell>
          <cell r="F767">
            <v>44</v>
          </cell>
          <cell r="G767">
            <v>30</v>
          </cell>
          <cell r="H767" t="str">
            <v>PABLO.ACUNA@UTALCA.CL</v>
          </cell>
        </row>
        <row r="768">
          <cell r="B768">
            <v>15129620</v>
          </cell>
          <cell r="C768">
            <v>3</v>
          </cell>
          <cell r="D768" t="str">
            <v>VILOS ORTIZ CRISTIAN ANDRES</v>
          </cell>
          <cell r="E768" t="str">
            <v>FAM320001</v>
          </cell>
          <cell r="F768">
            <v>44</v>
          </cell>
          <cell r="G768">
            <v>30</v>
          </cell>
          <cell r="H768" t="str">
            <v>CRISTIAN.VILOS@UTALCA.CL</v>
          </cell>
        </row>
        <row r="769">
          <cell r="B769">
            <v>15130564</v>
          </cell>
          <cell r="C769">
            <v>4</v>
          </cell>
          <cell r="D769" t="str">
            <v>LIZANA ORTIZ PAULA ANDREA</v>
          </cell>
          <cell r="E769" t="str">
            <v>VRF400009</v>
          </cell>
          <cell r="F769">
            <v>12</v>
          </cell>
          <cell r="G769">
            <v>30</v>
          </cell>
          <cell r="H769" t="str">
            <v>PLIZANA@UTALCA.CL</v>
          </cell>
        </row>
        <row r="770">
          <cell r="B770">
            <v>15130572</v>
          </cell>
          <cell r="C770">
            <v>5</v>
          </cell>
          <cell r="D770" t="str">
            <v>ARAVENA HERRERA MARCELA ANDREA</v>
          </cell>
          <cell r="E770" t="str">
            <v/>
          </cell>
          <cell r="F770">
            <v>30</v>
          </cell>
          <cell r="G770">
            <v>30</v>
          </cell>
          <cell r="H770" t="str">
            <v>MARAVENAH@UTALCA.CL</v>
          </cell>
        </row>
        <row r="771">
          <cell r="B771">
            <v>15130654</v>
          </cell>
          <cell r="C771">
            <v>3</v>
          </cell>
          <cell r="D771" t="str">
            <v>VALENZUELA TELLO PRISCILA LORE</v>
          </cell>
          <cell r="E771" t="str">
            <v>FCI310003</v>
          </cell>
          <cell r="F771">
            <v>44</v>
          </cell>
          <cell r="G771">
            <v>30</v>
          </cell>
          <cell r="H771" t="str">
            <v>PRVALENZUELA@UTALCA.CL</v>
          </cell>
        </row>
        <row r="772">
          <cell r="B772">
            <v>15131194</v>
          </cell>
          <cell r="C772">
            <v>6</v>
          </cell>
          <cell r="D772" t="str">
            <v>PONCE CUBILLOS RODRIGO EDUARDO</v>
          </cell>
          <cell r="E772" t="str">
            <v>IMF300001</v>
          </cell>
          <cell r="F772">
            <v>44</v>
          </cell>
          <cell r="G772">
            <v>30</v>
          </cell>
          <cell r="H772" t="str">
            <v>RPONCE@UTALCA.CL</v>
          </cell>
        </row>
        <row r="773">
          <cell r="B773">
            <v>15131643</v>
          </cell>
          <cell r="C773">
            <v>3</v>
          </cell>
          <cell r="D773" t="str">
            <v>MOLINA ESPARTA CAROLINA ANGELI</v>
          </cell>
          <cell r="E773" t="str">
            <v>FCS310003</v>
          </cell>
          <cell r="F773">
            <v>44</v>
          </cell>
          <cell r="G773">
            <v>30</v>
          </cell>
          <cell r="H773" t="str">
            <v>CAMOLINA@UTALCA.CL</v>
          </cell>
        </row>
        <row r="774">
          <cell r="B774">
            <v>15134473</v>
          </cell>
          <cell r="C774">
            <v>9</v>
          </cell>
          <cell r="D774" t="str">
            <v>GUTIERREZ VARAS ROXANA ISABEL</v>
          </cell>
          <cell r="E774" t="str">
            <v>ICB300001</v>
          </cell>
          <cell r="F774">
            <v>44</v>
          </cell>
          <cell r="G774">
            <v>30</v>
          </cell>
          <cell r="H774" t="str">
            <v>ROGUTIERREZ@UTALCA.CL</v>
          </cell>
        </row>
        <row r="775">
          <cell r="B775">
            <v>15134675</v>
          </cell>
          <cell r="C775">
            <v>8</v>
          </cell>
          <cell r="D775" t="str">
            <v>RAMÍREZ VÉLIZ MARIA VICTORIA</v>
          </cell>
          <cell r="E775" t="str">
            <v>FCS320012</v>
          </cell>
          <cell r="F775">
            <v>44</v>
          </cell>
          <cell r="G775">
            <v>30</v>
          </cell>
          <cell r="H775" t="str">
            <v>MARIA.RAMIREZV@UTALCA.CL</v>
          </cell>
        </row>
        <row r="776">
          <cell r="B776">
            <v>15135460</v>
          </cell>
          <cell r="C776">
            <v>2</v>
          </cell>
          <cell r="D776" t="str">
            <v>DOMINGUEZ ARAYA GUSTAVO ADOLFO</v>
          </cell>
          <cell r="E776" t="str">
            <v>FCS320012</v>
          </cell>
          <cell r="F776">
            <v>44</v>
          </cell>
          <cell r="G776">
            <v>30</v>
          </cell>
          <cell r="H776" t="str">
            <v>GUSTAVO.DOMINGUEZ@UTALCA.CL</v>
          </cell>
        </row>
        <row r="777">
          <cell r="B777">
            <v>15135712</v>
          </cell>
          <cell r="C777">
            <v>1</v>
          </cell>
          <cell r="D777" t="str">
            <v>ROJAS DURAN CAROLINA ANDREA</v>
          </cell>
          <cell r="E777" t="str">
            <v>VRF400003</v>
          </cell>
          <cell r="F777">
            <v>22</v>
          </cell>
          <cell r="G777">
            <v>30</v>
          </cell>
          <cell r="H777" t="str">
            <v>CAROLINA.ROJAS@UTALCA.CL</v>
          </cell>
        </row>
        <row r="778">
          <cell r="B778">
            <v>15136125</v>
          </cell>
          <cell r="C778">
            <v>0</v>
          </cell>
          <cell r="D778" t="str">
            <v>GONZALEZ SEPULVEDA PAULINA LOR</v>
          </cell>
          <cell r="E778" t="str">
            <v/>
          </cell>
          <cell r="F778">
            <v>40</v>
          </cell>
          <cell r="G778">
            <v>30</v>
          </cell>
          <cell r="H778" t="str">
            <v>PAULIGONZALEZ@UTALCA.CL</v>
          </cell>
        </row>
        <row r="779">
          <cell r="B779">
            <v>15136539</v>
          </cell>
          <cell r="C779">
            <v>6</v>
          </cell>
          <cell r="D779" t="str">
            <v>ALARCON SALAZAR CRISTIAN ANDRE</v>
          </cell>
          <cell r="E779" t="str">
            <v>ADC030110</v>
          </cell>
          <cell r="F779">
            <v>44</v>
          </cell>
          <cell r="G779">
            <v>30</v>
          </cell>
          <cell r="H779" t="str">
            <v>CRALARCON@UTALCA.CL</v>
          </cell>
        </row>
        <row r="780">
          <cell r="B780">
            <v>15136673</v>
          </cell>
          <cell r="C780">
            <v>2</v>
          </cell>
          <cell r="D780" t="str">
            <v>CERDA GONZALEZ ANDREA ISABEL</v>
          </cell>
          <cell r="E780" t="str">
            <v>FPS310001</v>
          </cell>
          <cell r="F780">
            <v>44</v>
          </cell>
          <cell r="G780">
            <v>30</v>
          </cell>
          <cell r="H780" t="str">
            <v>ANDREACERDA@UTALCA.CL</v>
          </cell>
        </row>
        <row r="781">
          <cell r="B781">
            <v>15136913</v>
          </cell>
          <cell r="C781">
            <v>8</v>
          </cell>
          <cell r="D781" t="str">
            <v>CONCHA PONCE PABLO ANDRES</v>
          </cell>
          <cell r="E781" t="str">
            <v>FPS310001</v>
          </cell>
          <cell r="F781">
            <v>33</v>
          </cell>
          <cell r="G781">
            <v>30</v>
          </cell>
          <cell r="H781" t="str">
            <v>PABLO.CONCHA@UTALCA.CL</v>
          </cell>
        </row>
        <row r="782">
          <cell r="B782">
            <v>15137020</v>
          </cell>
          <cell r="C782">
            <v>9</v>
          </cell>
          <cell r="D782" t="str">
            <v>MARTINEZ CORNEJO EDUARDO IGNAC</v>
          </cell>
          <cell r="E782" t="str">
            <v>FCI200001</v>
          </cell>
          <cell r="F782">
            <v>44</v>
          </cell>
          <cell r="G782">
            <v>30</v>
          </cell>
          <cell r="H782" t="str">
            <v>EDUARDO.MARTINEZ@UTALCA.CL</v>
          </cell>
        </row>
        <row r="783">
          <cell r="B783">
            <v>15137104</v>
          </cell>
          <cell r="C783">
            <v>3</v>
          </cell>
          <cell r="D783" t="str">
            <v>ESPINOZA NORAMBUENA JESSICA RO</v>
          </cell>
          <cell r="E783" t="str">
            <v>IQR300001</v>
          </cell>
          <cell r="F783">
            <v>44</v>
          </cell>
          <cell r="G783">
            <v>30</v>
          </cell>
          <cell r="H783" t="str">
            <v>J.ESPINOZA@UTALCA.CL</v>
          </cell>
        </row>
        <row r="784">
          <cell r="B784">
            <v>15137145</v>
          </cell>
          <cell r="C784">
            <v>0</v>
          </cell>
          <cell r="D784" t="str">
            <v>MONROY BRAVO KARLA DEL PILAR</v>
          </cell>
          <cell r="E784" t="str">
            <v>FCA200001</v>
          </cell>
          <cell r="F784">
            <v>44</v>
          </cell>
          <cell r="G784">
            <v>30</v>
          </cell>
          <cell r="H784" t="str">
            <v>KMONROY@UTALCA.CL</v>
          </cell>
        </row>
        <row r="785">
          <cell r="B785">
            <v>15137795</v>
          </cell>
          <cell r="C785">
            <v>5</v>
          </cell>
          <cell r="D785" t="str">
            <v>GAJARDO CONTRERAS BARBARA ANDR</v>
          </cell>
          <cell r="E785" t="str">
            <v>VGE400032</v>
          </cell>
          <cell r="F785">
            <v>44</v>
          </cell>
          <cell r="G785">
            <v>30</v>
          </cell>
          <cell r="H785" t="str">
            <v>BGAJARDO@UTALCA.CL</v>
          </cell>
        </row>
        <row r="786">
          <cell r="B786">
            <v>15139123</v>
          </cell>
          <cell r="C786">
            <v>0</v>
          </cell>
          <cell r="D786" t="str">
            <v>ROJAS VILLACURA NADIA JOHANNA</v>
          </cell>
          <cell r="E786" t="str">
            <v>VAC100002</v>
          </cell>
          <cell r="F786">
            <v>44</v>
          </cell>
          <cell r="G786">
            <v>30</v>
          </cell>
          <cell r="H786" t="str">
            <v>NROJAS@UTALCA.CL</v>
          </cell>
        </row>
        <row r="787">
          <cell r="B787">
            <v>15139305</v>
          </cell>
          <cell r="C787">
            <v>5</v>
          </cell>
          <cell r="D787" t="str">
            <v>VALDES MANRIQUEZ JESSICA MACKA</v>
          </cell>
          <cell r="E787" t="str">
            <v>FED320001</v>
          </cell>
          <cell r="F787">
            <v>44</v>
          </cell>
          <cell r="G787">
            <v>30</v>
          </cell>
          <cell r="H787" t="str">
            <v>JESSVALDES@UTALCA.CL</v>
          </cell>
        </row>
        <row r="788">
          <cell r="B788">
            <v>15139358</v>
          </cell>
          <cell r="C788">
            <v>6</v>
          </cell>
          <cell r="D788" t="str">
            <v>CACERES OYARZUN CAROLINA NAYAD</v>
          </cell>
          <cell r="E788" t="str">
            <v>FEN200001</v>
          </cell>
          <cell r="F788">
            <v>44</v>
          </cell>
          <cell r="G788">
            <v>30</v>
          </cell>
          <cell r="H788" t="str">
            <v>CAROLINA.CACERES@UTALCA.CL</v>
          </cell>
        </row>
        <row r="789">
          <cell r="B789">
            <v>15140081</v>
          </cell>
          <cell r="C789">
            <v>7</v>
          </cell>
          <cell r="D789" t="str">
            <v>IOB VERGARA MARIA FRANCISCA</v>
          </cell>
          <cell r="E789" t="str">
            <v>ADC024001</v>
          </cell>
          <cell r="F789">
            <v>44</v>
          </cell>
          <cell r="G789">
            <v>30</v>
          </cell>
          <cell r="H789" t="str">
            <v>FRANCISCAIOB@UTALCA.CL</v>
          </cell>
        </row>
        <row r="790">
          <cell r="B790">
            <v>15140157</v>
          </cell>
          <cell r="C790">
            <v>0</v>
          </cell>
          <cell r="D790" t="str">
            <v>VARAS CONCHA FELIPE JOSE</v>
          </cell>
          <cell r="E790" t="str">
            <v>FCI320002</v>
          </cell>
          <cell r="F790">
            <v>44</v>
          </cell>
          <cell r="G790">
            <v>30</v>
          </cell>
          <cell r="H790" t="str">
            <v>FVARAS@UTALCA.CL</v>
          </cell>
        </row>
        <row r="791">
          <cell r="B791">
            <v>15144619</v>
          </cell>
          <cell r="C791">
            <v>1</v>
          </cell>
          <cell r="D791" t="str">
            <v>ARROYO ROCO JOSE EDUARDO</v>
          </cell>
          <cell r="E791" t="str">
            <v>FCS310005</v>
          </cell>
          <cell r="F791">
            <v>44</v>
          </cell>
          <cell r="G791">
            <v>30</v>
          </cell>
          <cell r="H791" t="str">
            <v>JOSE.ARROYO@UTALCA.CL</v>
          </cell>
        </row>
        <row r="792">
          <cell r="B792">
            <v>15144992</v>
          </cell>
          <cell r="C792">
            <v>1</v>
          </cell>
          <cell r="D792" t="str">
            <v>BASTIAS FIGUEROA ANDREA CECILI</v>
          </cell>
          <cell r="E792" t="str">
            <v>FCS310007</v>
          </cell>
          <cell r="F792">
            <v>44</v>
          </cell>
          <cell r="G792">
            <v>30</v>
          </cell>
          <cell r="H792" t="str">
            <v>ANDBASTIAS@UTALCA.CL</v>
          </cell>
        </row>
        <row r="793">
          <cell r="B793">
            <v>15145000</v>
          </cell>
          <cell r="C793">
            <v>8</v>
          </cell>
          <cell r="D793" t="str">
            <v>BECERRA MUÑOZ SANDRA ESTER</v>
          </cell>
          <cell r="E793" t="str">
            <v>FCS320009</v>
          </cell>
          <cell r="F793">
            <v>44</v>
          </cell>
          <cell r="G793">
            <v>30</v>
          </cell>
          <cell r="H793" t="str">
            <v>SABECERRA@UTALCA.CL</v>
          </cell>
        </row>
        <row r="794">
          <cell r="B794">
            <v>15148750</v>
          </cell>
          <cell r="C794">
            <v>5</v>
          </cell>
          <cell r="D794" t="str">
            <v>GONZALEZ SEPULVEDA MIRTA DE LA</v>
          </cell>
          <cell r="E794" t="str">
            <v>VGE400004</v>
          </cell>
          <cell r="F794">
            <v>44</v>
          </cell>
          <cell r="G794">
            <v>30</v>
          </cell>
          <cell r="H794" t="str">
            <v>MIRTA.GONZALEZ@UTALCA.CL</v>
          </cell>
        </row>
        <row r="795">
          <cell r="B795">
            <v>15152245</v>
          </cell>
          <cell r="C795">
            <v>9</v>
          </cell>
          <cell r="D795" t="str">
            <v>PAIRICAN TORRES GABRIEL ALEJAN</v>
          </cell>
          <cell r="E795" t="str">
            <v>FED310002</v>
          </cell>
          <cell r="F795">
            <v>44</v>
          </cell>
          <cell r="G795">
            <v>30</v>
          </cell>
          <cell r="H795" t="str">
            <v>GPAIRICAN@UTALCA.CL</v>
          </cell>
        </row>
        <row r="796">
          <cell r="B796">
            <v>15152426</v>
          </cell>
          <cell r="C796">
            <v>5</v>
          </cell>
          <cell r="D796" t="str">
            <v>CASTRO GONZALEZ ANA LINA</v>
          </cell>
          <cell r="E796" t="str">
            <v>FOD200001</v>
          </cell>
          <cell r="F796">
            <v>44</v>
          </cell>
          <cell r="G796">
            <v>30</v>
          </cell>
          <cell r="H796" t="str">
            <v>ANACASTRO@UTALCA.CL</v>
          </cell>
        </row>
        <row r="797">
          <cell r="B797">
            <v>15152778</v>
          </cell>
          <cell r="C797">
            <v>7</v>
          </cell>
          <cell r="D797" t="str">
            <v>CARREÑO PARRA GUSTAVO ADOLFO</v>
          </cell>
          <cell r="E797" t="str">
            <v>FED310009</v>
          </cell>
          <cell r="F797">
            <v>44</v>
          </cell>
          <cell r="G797">
            <v>30</v>
          </cell>
          <cell r="H797" t="str">
            <v>GCARRENO@UTALCA.CL</v>
          </cell>
        </row>
        <row r="798">
          <cell r="B798">
            <v>15154529</v>
          </cell>
          <cell r="C798">
            <v>7</v>
          </cell>
          <cell r="D798" t="str">
            <v>GARRIDO DIAZ RAQUEL DEL CARMEN</v>
          </cell>
          <cell r="E798" t="str">
            <v>VGE400005</v>
          </cell>
          <cell r="F798">
            <v>44</v>
          </cell>
          <cell r="G798">
            <v>30</v>
          </cell>
          <cell r="H798" t="str">
            <v>RAQGARRIDO@UTALCA.CL</v>
          </cell>
        </row>
        <row r="799">
          <cell r="B799">
            <v>15155720</v>
          </cell>
          <cell r="C799">
            <v>1</v>
          </cell>
          <cell r="D799" t="str">
            <v>VERDUGO HERNANDEZ PAULA SINTTI</v>
          </cell>
          <cell r="E799" t="str">
            <v>FED310009</v>
          </cell>
          <cell r="F799">
            <v>44</v>
          </cell>
          <cell r="G799">
            <v>30</v>
          </cell>
          <cell r="H799" t="str">
            <v>PAUVERDUGO@UTALCA.CL</v>
          </cell>
        </row>
        <row r="800">
          <cell r="B800">
            <v>15156877</v>
          </cell>
          <cell r="C800">
            <v>7</v>
          </cell>
          <cell r="D800" t="str">
            <v>NORAMBUENA LEIVA SARA ELENA</v>
          </cell>
          <cell r="E800" t="str">
            <v>VGE400004</v>
          </cell>
          <cell r="F800">
            <v>44</v>
          </cell>
          <cell r="G800">
            <v>30</v>
          </cell>
          <cell r="H800" t="str">
            <v>SANORAMBUENA@UTALCA.CL</v>
          </cell>
        </row>
        <row r="801">
          <cell r="B801">
            <v>15156954</v>
          </cell>
          <cell r="C801">
            <v>4</v>
          </cell>
          <cell r="D801" t="str">
            <v>PEREIRA VALDEBENITO CLAUDIO FE</v>
          </cell>
          <cell r="E801" t="str">
            <v/>
          </cell>
          <cell r="F801">
            <v>44</v>
          </cell>
          <cell r="G801">
            <v>30</v>
          </cell>
          <cell r="H801" t="str">
            <v>CPEREIRA@UTALCA.CL</v>
          </cell>
        </row>
        <row r="802">
          <cell r="B802">
            <v>15157568</v>
          </cell>
          <cell r="C802">
            <v>4</v>
          </cell>
          <cell r="D802" t="str">
            <v>SANCHEZ AGURTO ANGELA GRISEL</v>
          </cell>
          <cell r="E802" t="str">
            <v>FCS320011</v>
          </cell>
          <cell r="F802">
            <v>44</v>
          </cell>
          <cell r="G802">
            <v>30</v>
          </cell>
          <cell r="H802" t="str">
            <v>ANSANCHEZ@UTALCA.CL</v>
          </cell>
        </row>
        <row r="803">
          <cell r="B803">
            <v>15157983</v>
          </cell>
          <cell r="C803">
            <v>3</v>
          </cell>
          <cell r="D803" t="str">
            <v>MILLAR CASTILLO KATHERINE SOLA</v>
          </cell>
          <cell r="E803" t="str">
            <v>VGE400004</v>
          </cell>
          <cell r="F803">
            <v>44</v>
          </cell>
          <cell r="G803">
            <v>30</v>
          </cell>
          <cell r="H803" t="str">
            <v>KMILLAR@UTALCA.CL</v>
          </cell>
        </row>
        <row r="804">
          <cell r="B804">
            <v>15173428</v>
          </cell>
          <cell r="C804">
            <v>6</v>
          </cell>
          <cell r="D804" t="str">
            <v>QUINTEROS LAMA HECTOR ELIAS</v>
          </cell>
          <cell r="E804" t="str">
            <v>FCI320004</v>
          </cell>
          <cell r="F804">
            <v>44</v>
          </cell>
          <cell r="G804">
            <v>30</v>
          </cell>
          <cell r="H804" t="str">
            <v>HQUINTEROS@UTALCA.CL</v>
          </cell>
        </row>
        <row r="805">
          <cell r="B805">
            <v>15173768</v>
          </cell>
          <cell r="C805">
            <v>4</v>
          </cell>
          <cell r="D805" t="str">
            <v>VALLADARES MUÑOZ JORGE ANTONIO</v>
          </cell>
          <cell r="E805" t="str">
            <v>VGE400051</v>
          </cell>
          <cell r="F805">
            <v>44</v>
          </cell>
          <cell r="G805">
            <v>30</v>
          </cell>
          <cell r="H805" t="str">
            <v/>
          </cell>
        </row>
        <row r="806">
          <cell r="B806">
            <v>15174668</v>
          </cell>
          <cell r="C806">
            <v>3</v>
          </cell>
          <cell r="D806" t="str">
            <v>RUBIO MELENDEZ MARIA EUGENIA</v>
          </cell>
          <cell r="E806" t="str">
            <v>VAC400024</v>
          </cell>
          <cell r="F806">
            <v>44</v>
          </cell>
          <cell r="G806">
            <v>30</v>
          </cell>
          <cell r="H806" t="str">
            <v>MARUBIO@UTALCA.CL</v>
          </cell>
        </row>
        <row r="807">
          <cell r="B807">
            <v>15182719</v>
          </cell>
          <cell r="C807">
            <v>5</v>
          </cell>
          <cell r="D807" t="str">
            <v>MONTALBA WEISSE CRISTOBAL FERN</v>
          </cell>
          <cell r="E807" t="str">
            <v>FCI320004</v>
          </cell>
          <cell r="F807">
            <v>44</v>
          </cell>
          <cell r="G807">
            <v>30</v>
          </cell>
          <cell r="H807" t="str">
            <v>CMONTALBA@UTALCA.CL</v>
          </cell>
        </row>
        <row r="808">
          <cell r="B808">
            <v>15182894</v>
          </cell>
          <cell r="C808">
            <v>9</v>
          </cell>
          <cell r="D808" t="str">
            <v>ORTEGA VERA BIANCA ARLETTE</v>
          </cell>
          <cell r="E808" t="str">
            <v>FOD320001</v>
          </cell>
          <cell r="F808">
            <v>22</v>
          </cell>
          <cell r="G808">
            <v>30</v>
          </cell>
          <cell r="H808" t="str">
            <v>BORTEGA@UTALCA.CL</v>
          </cell>
        </row>
        <row r="809">
          <cell r="B809">
            <v>15185565</v>
          </cell>
          <cell r="C809">
            <v>2</v>
          </cell>
          <cell r="D809" t="str">
            <v>VÁSQUEZ CONTRERAS FRANCISCA PA</v>
          </cell>
          <cell r="E809" t="str">
            <v>VGE400003</v>
          </cell>
          <cell r="F809">
            <v>44</v>
          </cell>
          <cell r="G809">
            <v>30</v>
          </cell>
          <cell r="H809" t="str">
            <v/>
          </cell>
        </row>
        <row r="810">
          <cell r="B810">
            <v>15198854</v>
          </cell>
          <cell r="C810">
            <v>7</v>
          </cell>
          <cell r="D810" t="str">
            <v>DIAZ MONSALVEZ VICTOR EDUARDO</v>
          </cell>
          <cell r="E810" t="str">
            <v>FCI310005</v>
          </cell>
          <cell r="F810">
            <v>44</v>
          </cell>
          <cell r="G810">
            <v>30</v>
          </cell>
          <cell r="H810" t="str">
            <v>VICTOR.DIAZ@UTALCA.CL</v>
          </cell>
        </row>
        <row r="811">
          <cell r="B811">
            <v>15204508</v>
          </cell>
          <cell r="C811">
            <v>5</v>
          </cell>
          <cell r="D811" t="str">
            <v>NAVEA CASTRO JULIETA ANDREA</v>
          </cell>
          <cell r="E811" t="str">
            <v>FCS320012</v>
          </cell>
          <cell r="F811">
            <v>44</v>
          </cell>
          <cell r="G811">
            <v>30</v>
          </cell>
          <cell r="H811" t="str">
            <v>JNAVEA@UTALCA.CL</v>
          </cell>
        </row>
        <row r="812">
          <cell r="B812">
            <v>15205245</v>
          </cell>
          <cell r="C812">
            <v>6</v>
          </cell>
          <cell r="D812" t="str">
            <v>HERRERA CARRILLO GABRIELA MARI</v>
          </cell>
          <cell r="E812" t="str">
            <v>FCS310007</v>
          </cell>
          <cell r="F812">
            <v>44</v>
          </cell>
          <cell r="G812">
            <v>30</v>
          </cell>
          <cell r="H812" t="str">
            <v>GABRIELA.HERRERAC@UTALCA.CL</v>
          </cell>
        </row>
        <row r="813">
          <cell r="B813">
            <v>15205282</v>
          </cell>
          <cell r="C813">
            <v>0</v>
          </cell>
          <cell r="D813" t="str">
            <v>SAAVEDRA NUÑEZ GERMAN EDUARDO</v>
          </cell>
          <cell r="E813" t="str">
            <v>ICB300001</v>
          </cell>
          <cell r="F813">
            <v>22</v>
          </cell>
          <cell r="G813">
            <v>30</v>
          </cell>
          <cell r="H813" t="str">
            <v>GESAAVEDRA@UTALCA.CL</v>
          </cell>
        </row>
        <row r="814">
          <cell r="B814">
            <v>15222185</v>
          </cell>
          <cell r="C814">
            <v>1</v>
          </cell>
          <cell r="D814" t="str">
            <v>MORALES GONZALEZ MONSERRAT FER</v>
          </cell>
          <cell r="E814" t="str">
            <v>FCS320011</v>
          </cell>
          <cell r="F814">
            <v>44</v>
          </cell>
          <cell r="G814">
            <v>30</v>
          </cell>
          <cell r="H814" t="str">
            <v>MMORALESG@UTALCA.CL</v>
          </cell>
        </row>
        <row r="815">
          <cell r="B815">
            <v>15261661</v>
          </cell>
          <cell r="C815">
            <v>9</v>
          </cell>
          <cell r="D815" t="str">
            <v>ULLOA FULGERI JOSE LUIS</v>
          </cell>
          <cell r="E815" t="str">
            <v>FPS200001</v>
          </cell>
          <cell r="F815">
            <v>44</v>
          </cell>
          <cell r="G815">
            <v>30</v>
          </cell>
          <cell r="H815" t="str">
            <v>JOULLOA@UTALCA.CL</v>
          </cell>
        </row>
        <row r="816">
          <cell r="B816">
            <v>15307782</v>
          </cell>
          <cell r="C816">
            <v>7</v>
          </cell>
          <cell r="D816" t="str">
            <v>JARUFE CONTRERAS DANIELA WADÍA</v>
          </cell>
          <cell r="E816" t="str">
            <v>FCJ320002</v>
          </cell>
          <cell r="F816">
            <v>44</v>
          </cell>
          <cell r="G816">
            <v>30</v>
          </cell>
          <cell r="H816" t="str">
            <v>DANIELA.JARUFE@UTALCA.CL</v>
          </cell>
        </row>
        <row r="817">
          <cell r="B817">
            <v>15313351</v>
          </cell>
          <cell r="C817">
            <v>4</v>
          </cell>
          <cell r="D817" t="str">
            <v>MORALES NAVARRO SAMUEL ELIAS</v>
          </cell>
          <cell r="E817" t="str">
            <v>ICB300001</v>
          </cell>
          <cell r="F817">
            <v>44</v>
          </cell>
          <cell r="G817">
            <v>30</v>
          </cell>
          <cell r="H817" t="str">
            <v>SAMORALES@UTALCA.CL</v>
          </cell>
        </row>
        <row r="818">
          <cell r="B818">
            <v>15317036</v>
          </cell>
          <cell r="C818">
            <v>3</v>
          </cell>
          <cell r="D818" t="str">
            <v>LARA LORCA SUSANA ANDREA</v>
          </cell>
          <cell r="E818" t="str">
            <v>FCI340001</v>
          </cell>
          <cell r="F818">
            <v>44</v>
          </cell>
          <cell r="G818">
            <v>30</v>
          </cell>
          <cell r="H818" t="str">
            <v>SULARA@UTALCA.CL</v>
          </cell>
        </row>
        <row r="819">
          <cell r="B819">
            <v>15318220</v>
          </cell>
          <cell r="C819">
            <v>5</v>
          </cell>
          <cell r="D819" t="str">
            <v>VENEGAS CANCINO JAIME ANDRES</v>
          </cell>
          <cell r="E819" t="str">
            <v>VGE400056</v>
          </cell>
          <cell r="F819">
            <v>44</v>
          </cell>
          <cell r="G819">
            <v>30</v>
          </cell>
          <cell r="H819" t="str">
            <v>JAIME.VENEGAS@UTALCA.CL</v>
          </cell>
        </row>
        <row r="820">
          <cell r="B820">
            <v>15319279</v>
          </cell>
          <cell r="C820">
            <v>0</v>
          </cell>
          <cell r="D820" t="str">
            <v>VIVEROS ESPINOSA ALEJANDRO JAV</v>
          </cell>
          <cell r="E820" t="str">
            <v>IAM300001</v>
          </cell>
          <cell r="F820">
            <v>44</v>
          </cell>
          <cell r="G820">
            <v>30</v>
          </cell>
          <cell r="H820" t="str">
            <v>ALEJANDRO.VIVEROS@UTALCA.CL</v>
          </cell>
        </row>
        <row r="821">
          <cell r="B821">
            <v>15319370</v>
          </cell>
          <cell r="C821">
            <v>3</v>
          </cell>
          <cell r="D821" t="str">
            <v>NAVARRETE WALLACE SOLANGE</v>
          </cell>
          <cell r="E821" t="str">
            <v>FAD310004</v>
          </cell>
          <cell r="F821">
            <v>44</v>
          </cell>
          <cell r="G821">
            <v>30</v>
          </cell>
          <cell r="H821" t="str">
            <v>SNAVARRETE@UTALCA.CL</v>
          </cell>
        </row>
        <row r="822">
          <cell r="B822">
            <v>15339311</v>
          </cell>
          <cell r="C822">
            <v>7</v>
          </cell>
          <cell r="D822" t="str">
            <v>GUERRA DIAZ GABRIELA DORIS</v>
          </cell>
          <cell r="E822" t="str">
            <v>IMF300001</v>
          </cell>
          <cell r="F822">
            <v>44</v>
          </cell>
          <cell r="G822">
            <v>30</v>
          </cell>
          <cell r="H822" t="str">
            <v>GGUERRA@UTALCA.CL</v>
          </cell>
        </row>
        <row r="823">
          <cell r="B823">
            <v>15356082</v>
          </cell>
          <cell r="C823" t="str">
            <v>K</v>
          </cell>
          <cell r="D823" t="str">
            <v>CARDENAS FIGUEROA VIVIANA</v>
          </cell>
          <cell r="E823" t="str">
            <v>FCJ200001</v>
          </cell>
          <cell r="F823">
            <v>44</v>
          </cell>
          <cell r="G823">
            <v>30</v>
          </cell>
          <cell r="H823" t="str">
            <v>VICARDENAS@UTALCA.CL</v>
          </cell>
        </row>
        <row r="824">
          <cell r="B824">
            <v>15382409</v>
          </cell>
          <cell r="C824">
            <v>6</v>
          </cell>
          <cell r="D824" t="str">
            <v>GONZALEZ GARCIA PIA JOSE</v>
          </cell>
          <cell r="E824" t="str">
            <v>FED310009</v>
          </cell>
          <cell r="F824">
            <v>44</v>
          </cell>
          <cell r="G824">
            <v>30</v>
          </cell>
          <cell r="H824" t="str">
            <v>PIA.GONZALEZ@UTALCA.CL</v>
          </cell>
        </row>
        <row r="825">
          <cell r="B825">
            <v>15383571</v>
          </cell>
          <cell r="C825">
            <v>3</v>
          </cell>
          <cell r="D825" t="str">
            <v>GARCIA-HUIDOBRO PRIETO JENARO</v>
          </cell>
          <cell r="E825" t="str">
            <v>FAM320001</v>
          </cell>
          <cell r="F825">
            <v>44</v>
          </cell>
          <cell r="G825">
            <v>30</v>
          </cell>
          <cell r="H825" t="str">
            <v>JGARCIAHUIDOBRO@UTALCA.CL</v>
          </cell>
        </row>
        <row r="826">
          <cell r="B826">
            <v>15385486</v>
          </cell>
          <cell r="C826">
            <v>6</v>
          </cell>
          <cell r="D826" t="str">
            <v>BEJARES CASANUEVA MARIA PIA</v>
          </cell>
          <cell r="E826" t="str">
            <v>ADC015001</v>
          </cell>
          <cell r="F826">
            <v>44</v>
          </cell>
          <cell r="G826">
            <v>30</v>
          </cell>
          <cell r="H826" t="str">
            <v>MARIA.BEJARES@UTALCA.CL</v>
          </cell>
        </row>
        <row r="827">
          <cell r="B827">
            <v>15428794</v>
          </cell>
          <cell r="C827">
            <v>9</v>
          </cell>
          <cell r="D827" t="str">
            <v>CASTRO ZUÑIGA HERNAN IGNACIO</v>
          </cell>
          <cell r="E827" t="str">
            <v>IMF300001</v>
          </cell>
          <cell r="F827">
            <v>44</v>
          </cell>
          <cell r="G827">
            <v>30</v>
          </cell>
          <cell r="H827" t="str">
            <v>HCASTRO@UTALCA.CL</v>
          </cell>
        </row>
        <row r="828">
          <cell r="B828">
            <v>15461774</v>
          </cell>
          <cell r="C828">
            <v>4</v>
          </cell>
          <cell r="D828" t="str">
            <v>VALENZUELA MUÑOZ ANGEL ANDRES</v>
          </cell>
          <cell r="E828" t="str">
            <v>FPS200001</v>
          </cell>
          <cell r="F828">
            <v>44</v>
          </cell>
          <cell r="G828">
            <v>30</v>
          </cell>
          <cell r="H828" t="str">
            <v>ANVALENZUELA@UTALCA.CL</v>
          </cell>
        </row>
        <row r="829">
          <cell r="B829">
            <v>15466213</v>
          </cell>
          <cell r="C829">
            <v>8</v>
          </cell>
          <cell r="D829" t="str">
            <v>CASTRO NALLAR EDUARDO FELIPE</v>
          </cell>
          <cell r="E829" t="str">
            <v>FCS320002</v>
          </cell>
          <cell r="F829">
            <v>44</v>
          </cell>
          <cell r="G829">
            <v>30</v>
          </cell>
          <cell r="H829" t="str">
            <v>ECASTRON@UTALCA.CL</v>
          </cell>
        </row>
        <row r="830">
          <cell r="B830">
            <v>15478828</v>
          </cell>
          <cell r="C830" t="str">
            <v>K</v>
          </cell>
          <cell r="D830" t="str">
            <v>ZAMORA BRITO RICARDO ANDRES</v>
          </cell>
          <cell r="E830" t="str">
            <v>VAC400024</v>
          </cell>
          <cell r="F830">
            <v>44</v>
          </cell>
          <cell r="G830">
            <v>30</v>
          </cell>
          <cell r="H830" t="str">
            <v>RICARDO.ZAMORA@UTALCA.CL</v>
          </cell>
        </row>
        <row r="831">
          <cell r="B831">
            <v>15494011</v>
          </cell>
          <cell r="C831">
            <v>1</v>
          </cell>
          <cell r="D831" t="str">
            <v>MUÑOZ VIDAL JAVIER ANDRES</v>
          </cell>
          <cell r="E831" t="str">
            <v>FCI320007</v>
          </cell>
          <cell r="F831">
            <v>44</v>
          </cell>
          <cell r="G831">
            <v>30</v>
          </cell>
          <cell r="H831" t="str">
            <v>JAMUNOZ@UTALCA.CL</v>
          </cell>
        </row>
        <row r="832">
          <cell r="B832">
            <v>15503772</v>
          </cell>
          <cell r="C832">
            <v>5</v>
          </cell>
          <cell r="D832" t="str">
            <v>MARDONES NECULQUEO CRISTIAN MA</v>
          </cell>
          <cell r="E832" t="str">
            <v>FCI320007</v>
          </cell>
          <cell r="F832">
            <v>44</v>
          </cell>
          <cell r="G832">
            <v>30</v>
          </cell>
          <cell r="H832" t="str">
            <v>CMARDONESN@UTALCA.CL</v>
          </cell>
        </row>
        <row r="833">
          <cell r="B833">
            <v>15549273</v>
          </cell>
          <cell r="C833">
            <v>2</v>
          </cell>
          <cell r="D833" t="str">
            <v>CONTRERAS MELLADO VICTOR HUGO</v>
          </cell>
          <cell r="E833" t="str">
            <v>VRF400005</v>
          </cell>
          <cell r="F833">
            <v>44</v>
          </cell>
          <cell r="G833">
            <v>30</v>
          </cell>
          <cell r="H833" t="str">
            <v>VICONTRERAS@UTALCA.CL</v>
          </cell>
        </row>
        <row r="834">
          <cell r="B834">
            <v>15569101</v>
          </cell>
          <cell r="C834">
            <v>8</v>
          </cell>
          <cell r="D834" t="str">
            <v>CACERES GAJARDO CRISTINA NATAL</v>
          </cell>
          <cell r="E834" t="str">
            <v>VGE400031</v>
          </cell>
          <cell r="F834">
            <v>44</v>
          </cell>
          <cell r="G834">
            <v>30</v>
          </cell>
          <cell r="H834" t="str">
            <v>CRCACERES@UTALCA.CL</v>
          </cell>
        </row>
        <row r="835">
          <cell r="B835">
            <v>15569522</v>
          </cell>
          <cell r="C835">
            <v>6</v>
          </cell>
          <cell r="D835" t="str">
            <v>GUTIERREZ NORAMBUENA ANA MARIA</v>
          </cell>
          <cell r="E835" t="str">
            <v>FCS320011</v>
          </cell>
          <cell r="F835">
            <v>44</v>
          </cell>
          <cell r="G835">
            <v>30</v>
          </cell>
          <cell r="H835" t="str">
            <v>ANGUTIERREZ@UTALCA.CL</v>
          </cell>
        </row>
        <row r="836">
          <cell r="B836">
            <v>15569597</v>
          </cell>
          <cell r="C836">
            <v>8</v>
          </cell>
          <cell r="D836" t="str">
            <v>ROJAS MONTESINO ALEXIS ENRIQUE</v>
          </cell>
          <cell r="E836" t="str">
            <v>VGE400056</v>
          </cell>
          <cell r="F836">
            <v>44</v>
          </cell>
          <cell r="G836">
            <v>30</v>
          </cell>
          <cell r="H836" t="str">
            <v>ALEXISROJAS@UTALCA.CL</v>
          </cell>
        </row>
        <row r="837">
          <cell r="B837">
            <v>15569959</v>
          </cell>
          <cell r="C837">
            <v>0</v>
          </cell>
          <cell r="D837" t="str">
            <v>SENA LARA RUDIHT REBECA</v>
          </cell>
          <cell r="E837" t="str">
            <v>FOD320001</v>
          </cell>
          <cell r="F837">
            <v>22</v>
          </cell>
          <cell r="G837">
            <v>30</v>
          </cell>
          <cell r="H837" t="str">
            <v>RSENA@UTALCA.CL</v>
          </cell>
        </row>
        <row r="838">
          <cell r="B838">
            <v>15570194</v>
          </cell>
          <cell r="C838">
            <v>3</v>
          </cell>
          <cell r="D838" t="str">
            <v>PARADA VALLEJO HERNAN PATRICIO</v>
          </cell>
          <cell r="E838" t="str">
            <v>VGE400050</v>
          </cell>
          <cell r="F838">
            <v>44</v>
          </cell>
          <cell r="G838">
            <v>30</v>
          </cell>
          <cell r="H838" t="str">
            <v>HERNAN.PARADA@UTALCA.CL</v>
          </cell>
        </row>
        <row r="839">
          <cell r="B839">
            <v>15575962</v>
          </cell>
          <cell r="C839">
            <v>3</v>
          </cell>
          <cell r="D839" t="str">
            <v>CARRASCO GONZALEZ MONICA BEATR</v>
          </cell>
          <cell r="E839" t="str">
            <v>FAM320002</v>
          </cell>
          <cell r="F839">
            <v>44</v>
          </cell>
          <cell r="G839">
            <v>30</v>
          </cell>
          <cell r="H839" t="str">
            <v>MONICA.CARRASCO@UTALCA.CL</v>
          </cell>
        </row>
        <row r="840">
          <cell r="B840">
            <v>15584572</v>
          </cell>
          <cell r="C840">
            <v>4</v>
          </cell>
          <cell r="D840" t="str">
            <v>PINTO GUTIERREZ CRISTIAN ALEXI</v>
          </cell>
          <cell r="E840" t="str">
            <v>FEN310004</v>
          </cell>
          <cell r="F840">
            <v>44</v>
          </cell>
          <cell r="G840">
            <v>30</v>
          </cell>
          <cell r="H840" t="str">
            <v>CRISTIAN.PINTO@UTALCA.CL</v>
          </cell>
        </row>
        <row r="841">
          <cell r="B841">
            <v>15592802</v>
          </cell>
          <cell r="C841">
            <v>6</v>
          </cell>
          <cell r="D841" t="str">
            <v>LOPEZ SEPULVEDA KARIN DANIELA</v>
          </cell>
          <cell r="E841" t="str">
            <v>ADC024001</v>
          </cell>
          <cell r="F841">
            <v>44</v>
          </cell>
          <cell r="G841">
            <v>30</v>
          </cell>
          <cell r="H841" t="str">
            <v>KLOPEZ@UTALCA.CL</v>
          </cell>
        </row>
        <row r="842">
          <cell r="B842">
            <v>15596707</v>
          </cell>
          <cell r="C842">
            <v>2</v>
          </cell>
          <cell r="D842" t="str">
            <v>PEÑA AZOCAR MARGARITA ANDREA</v>
          </cell>
          <cell r="E842" t="str">
            <v/>
          </cell>
          <cell r="F842">
            <v>44</v>
          </cell>
          <cell r="G842">
            <v>30</v>
          </cell>
          <cell r="H842" t="str">
            <v>MPENA@UTALCA.CL</v>
          </cell>
        </row>
        <row r="843">
          <cell r="B843">
            <v>15596828</v>
          </cell>
          <cell r="C843">
            <v>1</v>
          </cell>
          <cell r="D843" t="str">
            <v>CASTRO ARRIAGADA MARIA CAROLIN</v>
          </cell>
          <cell r="E843" t="str">
            <v>VRF100001</v>
          </cell>
          <cell r="F843">
            <v>44</v>
          </cell>
          <cell r="G843">
            <v>30</v>
          </cell>
          <cell r="H843" t="str">
            <v>MARCASTRO@UTALCA.CL</v>
          </cell>
        </row>
        <row r="844">
          <cell r="B844">
            <v>15597334</v>
          </cell>
          <cell r="C844" t="str">
            <v>K</v>
          </cell>
          <cell r="D844" t="str">
            <v>GUAJARDO LEIVA SERGIO EDUARDO</v>
          </cell>
          <cell r="E844" t="str">
            <v>VAC400024</v>
          </cell>
          <cell r="F844">
            <v>44</v>
          </cell>
          <cell r="G844">
            <v>30</v>
          </cell>
          <cell r="H844" t="str">
            <v>SERGIO.GUAJARDO@UTALCA.CL</v>
          </cell>
        </row>
        <row r="845">
          <cell r="B845">
            <v>15597360</v>
          </cell>
          <cell r="C845">
            <v>9</v>
          </cell>
          <cell r="D845" t="str">
            <v>QUITRAL CARO CAROLINA ANDREA</v>
          </cell>
          <cell r="E845" t="str">
            <v>FEN310002</v>
          </cell>
          <cell r="F845">
            <v>44</v>
          </cell>
          <cell r="G845">
            <v>30</v>
          </cell>
          <cell r="H845" t="str">
            <v>CQUITRAL@UTALCA.CL</v>
          </cell>
        </row>
        <row r="846">
          <cell r="B846">
            <v>15597834</v>
          </cell>
          <cell r="C846">
            <v>1</v>
          </cell>
          <cell r="D846" t="str">
            <v>ROJAS UMAÑA VICTOR FERNANDO</v>
          </cell>
          <cell r="E846" t="str">
            <v/>
          </cell>
          <cell r="F846">
            <v>40</v>
          </cell>
          <cell r="G846">
            <v>30</v>
          </cell>
          <cell r="H846" t="str">
            <v>VIROJAS@UTALCA.CL</v>
          </cell>
        </row>
        <row r="847">
          <cell r="B847">
            <v>15598017</v>
          </cell>
          <cell r="C847">
            <v>6</v>
          </cell>
          <cell r="D847" t="str">
            <v>JORQUERA FUENTES PAULA DENISSE</v>
          </cell>
          <cell r="E847" t="str">
            <v>FCS320007</v>
          </cell>
          <cell r="F847">
            <v>44</v>
          </cell>
          <cell r="G847">
            <v>30</v>
          </cell>
          <cell r="H847" t="str">
            <v>PJORQUERA@UTALCA.CL</v>
          </cell>
        </row>
        <row r="848">
          <cell r="B848">
            <v>15598255</v>
          </cell>
          <cell r="C848">
            <v>1</v>
          </cell>
          <cell r="D848" t="str">
            <v>BARRERA VALENZUELA ANDREA KARI</v>
          </cell>
          <cell r="E848" t="str">
            <v>FCS320002</v>
          </cell>
          <cell r="F848">
            <v>44</v>
          </cell>
          <cell r="G848">
            <v>30</v>
          </cell>
          <cell r="H848" t="str">
            <v>ABARRERA@UTALCA.CL</v>
          </cell>
        </row>
        <row r="849">
          <cell r="B849">
            <v>15598271</v>
          </cell>
          <cell r="C849">
            <v>3</v>
          </cell>
          <cell r="D849" t="str">
            <v>BUENO RAMIREZ GUILLERMO ANTONI</v>
          </cell>
          <cell r="E849" t="str">
            <v>FAM200001</v>
          </cell>
          <cell r="F849">
            <v>44</v>
          </cell>
          <cell r="G849">
            <v>30</v>
          </cell>
          <cell r="H849" t="str">
            <v>GBUENO@UTALCA.CL</v>
          </cell>
        </row>
        <row r="850">
          <cell r="B850">
            <v>15598479</v>
          </cell>
          <cell r="C850">
            <v>1</v>
          </cell>
          <cell r="D850" t="str">
            <v>PALMA BRAVO CRISTIAN RODRIGO</v>
          </cell>
          <cell r="E850" t="str">
            <v>VGE400019</v>
          </cell>
          <cell r="F850">
            <v>44</v>
          </cell>
          <cell r="G850">
            <v>30</v>
          </cell>
          <cell r="H850" t="str">
            <v>CPALMA@UTALCA.CL</v>
          </cell>
        </row>
        <row r="851">
          <cell r="B851">
            <v>15598594</v>
          </cell>
          <cell r="C851">
            <v>1</v>
          </cell>
          <cell r="D851" t="str">
            <v>ALCANTARA SALAZAR YOBANY ISAAC</v>
          </cell>
          <cell r="E851" t="str">
            <v>FAD310001</v>
          </cell>
          <cell r="F851">
            <v>44</v>
          </cell>
          <cell r="G851">
            <v>30</v>
          </cell>
          <cell r="H851" t="str">
            <v>YALCANTARA@UTALCA.CL</v>
          </cell>
        </row>
        <row r="852">
          <cell r="B852">
            <v>15598859</v>
          </cell>
          <cell r="C852">
            <v>2</v>
          </cell>
          <cell r="D852" t="str">
            <v>URIBE ORTIZ NATALIA PAULINA</v>
          </cell>
          <cell r="E852" t="str">
            <v>FPS310001</v>
          </cell>
          <cell r="F852">
            <v>33</v>
          </cell>
          <cell r="G852">
            <v>30</v>
          </cell>
          <cell r="H852" t="str">
            <v>NURIBE@UTALCA.CL</v>
          </cell>
        </row>
        <row r="853">
          <cell r="B853">
            <v>15598918</v>
          </cell>
          <cell r="C853">
            <v>1</v>
          </cell>
          <cell r="D853" t="str">
            <v>MEDEL LEON PIA CAROLINA</v>
          </cell>
          <cell r="E853" t="str">
            <v>VGE400052</v>
          </cell>
          <cell r="F853">
            <v>44</v>
          </cell>
          <cell r="G853">
            <v>30</v>
          </cell>
          <cell r="H853" t="str">
            <v>PIA.MEDEL@UTALCA.CL</v>
          </cell>
        </row>
        <row r="854">
          <cell r="B854">
            <v>15599221</v>
          </cell>
          <cell r="C854">
            <v>2</v>
          </cell>
          <cell r="D854" t="str">
            <v>CACERES MELLADO MACARENA ANDRE</v>
          </cell>
          <cell r="E854" t="str">
            <v>VRF400002</v>
          </cell>
          <cell r="F854">
            <v>44</v>
          </cell>
          <cell r="G854">
            <v>30</v>
          </cell>
          <cell r="H854" t="str">
            <v>MACACERES@UTALCA.CL</v>
          </cell>
        </row>
        <row r="855">
          <cell r="B855">
            <v>15599414</v>
          </cell>
          <cell r="C855">
            <v>2</v>
          </cell>
          <cell r="D855" t="str">
            <v>LOBOS PEREZ ALEJANDRO ANTONIO</v>
          </cell>
          <cell r="E855" t="str">
            <v>FAD310002</v>
          </cell>
          <cell r="F855">
            <v>44</v>
          </cell>
          <cell r="G855">
            <v>30</v>
          </cell>
          <cell r="H855" t="str">
            <v>ALOBOS@UTALCA.CL</v>
          </cell>
        </row>
        <row r="856">
          <cell r="B856">
            <v>15599573</v>
          </cell>
          <cell r="C856">
            <v>4</v>
          </cell>
          <cell r="D856" t="str">
            <v>RUIZ RETAMAL EDUARDO RENAN</v>
          </cell>
          <cell r="E856" t="str">
            <v>VGE400056</v>
          </cell>
          <cell r="F856">
            <v>44</v>
          </cell>
          <cell r="G856">
            <v>30</v>
          </cell>
          <cell r="H856" t="str">
            <v>EDUARDO.RUIZ@UTALCA.CL</v>
          </cell>
        </row>
        <row r="857">
          <cell r="B857">
            <v>15599575</v>
          </cell>
          <cell r="C857">
            <v>0</v>
          </cell>
          <cell r="D857" t="str">
            <v>LORCA POBLETE CLARA PAZ</v>
          </cell>
          <cell r="E857" t="str">
            <v/>
          </cell>
          <cell r="F857">
            <v>44</v>
          </cell>
          <cell r="G857">
            <v>30</v>
          </cell>
          <cell r="H857" t="str">
            <v>CLORCA@UTALCA.CL</v>
          </cell>
        </row>
        <row r="858">
          <cell r="B858">
            <v>15612263</v>
          </cell>
          <cell r="C858">
            <v>7</v>
          </cell>
          <cell r="D858" t="str">
            <v>MENDEZ REBOLLEDO LUCIANO MANUE</v>
          </cell>
          <cell r="E858" t="str">
            <v>VGE400020</v>
          </cell>
          <cell r="F858">
            <v>44</v>
          </cell>
          <cell r="G858">
            <v>30</v>
          </cell>
          <cell r="H858" t="str">
            <v>LUCIANO.MENDEZ@UTALCA.CL</v>
          </cell>
        </row>
        <row r="859">
          <cell r="B859">
            <v>15613206</v>
          </cell>
          <cell r="C859">
            <v>3</v>
          </cell>
          <cell r="D859" t="str">
            <v>CONTRERAS REBOLLEDO PAULA  SOL</v>
          </cell>
          <cell r="E859" t="str">
            <v>FCS320011</v>
          </cell>
          <cell r="F859">
            <v>44</v>
          </cell>
          <cell r="G859">
            <v>30</v>
          </cell>
          <cell r="H859" t="str">
            <v>PAUCONTRERAS@UTALCA.CL</v>
          </cell>
        </row>
        <row r="860">
          <cell r="B860">
            <v>15617614</v>
          </cell>
          <cell r="C860">
            <v>1</v>
          </cell>
          <cell r="D860" t="str">
            <v>AVILA CONCHA FELIPE GUILLERMO</v>
          </cell>
          <cell r="E860" t="str">
            <v>FCS320011</v>
          </cell>
          <cell r="F860">
            <v>44</v>
          </cell>
          <cell r="G860">
            <v>30</v>
          </cell>
          <cell r="H860" t="str">
            <v>FAVILAC@UTALCA.CL</v>
          </cell>
        </row>
        <row r="861">
          <cell r="B861">
            <v>15618041</v>
          </cell>
          <cell r="C861">
            <v>6</v>
          </cell>
          <cell r="D861" t="str">
            <v>BERRIOS GONZALEZ PABLO SALVADO</v>
          </cell>
          <cell r="E861" t="str">
            <v>VAC400024</v>
          </cell>
          <cell r="F861">
            <v>44</v>
          </cell>
          <cell r="G861">
            <v>30</v>
          </cell>
          <cell r="H861" t="str">
            <v/>
          </cell>
        </row>
        <row r="862">
          <cell r="B862">
            <v>15630786</v>
          </cell>
          <cell r="C862">
            <v>6</v>
          </cell>
          <cell r="D862" t="str">
            <v>RIVERA MARTINEZ CESAR ANDRES</v>
          </cell>
          <cell r="E862" t="str">
            <v>FOD320002</v>
          </cell>
          <cell r="F862">
            <v>44</v>
          </cell>
          <cell r="G862">
            <v>30</v>
          </cell>
          <cell r="H862" t="str">
            <v>CERIVERA@UTALCA.CL</v>
          </cell>
        </row>
        <row r="863">
          <cell r="B863">
            <v>15631816</v>
          </cell>
          <cell r="C863">
            <v>7</v>
          </cell>
          <cell r="D863" t="str">
            <v>BUSTAMANTE OLIVARES ERICA IVON</v>
          </cell>
          <cell r="E863" t="str">
            <v>FOD400003</v>
          </cell>
          <cell r="F863">
            <v>22</v>
          </cell>
          <cell r="G863">
            <v>30</v>
          </cell>
          <cell r="H863" t="str">
            <v>EBUSTAMANTE@UTALCA.CL</v>
          </cell>
        </row>
        <row r="864">
          <cell r="B864">
            <v>15632049</v>
          </cell>
          <cell r="C864">
            <v>8</v>
          </cell>
          <cell r="D864" t="str">
            <v>BALLESTEROS TEUBER GABRIEL IGN</v>
          </cell>
          <cell r="E864" t="str">
            <v>VAC400024</v>
          </cell>
          <cell r="F864">
            <v>44</v>
          </cell>
          <cell r="G864">
            <v>30</v>
          </cell>
          <cell r="H864" t="str">
            <v>GBALLESTEROS@UTALCA.CL</v>
          </cell>
        </row>
        <row r="865">
          <cell r="B865">
            <v>15632297</v>
          </cell>
          <cell r="C865">
            <v>0</v>
          </cell>
          <cell r="D865" t="str">
            <v>DURAN VERDUGO FABIO ESTEBAN</v>
          </cell>
          <cell r="E865" t="str">
            <v>FCI320001</v>
          </cell>
          <cell r="F865">
            <v>44</v>
          </cell>
          <cell r="G865">
            <v>30</v>
          </cell>
          <cell r="H865" t="str">
            <v>FDURAN@UTALCA.CL</v>
          </cell>
        </row>
        <row r="866">
          <cell r="B866">
            <v>15632305</v>
          </cell>
          <cell r="C866">
            <v>5</v>
          </cell>
          <cell r="D866" t="str">
            <v>BUSTAMANTE VALDES ROQUE  ESTEB</v>
          </cell>
          <cell r="E866" t="str">
            <v>IMF300001</v>
          </cell>
          <cell r="F866">
            <v>44</v>
          </cell>
          <cell r="G866">
            <v>30</v>
          </cell>
          <cell r="H866" t="str">
            <v>RBUSTAMANTE@UTALCA.CL</v>
          </cell>
        </row>
        <row r="867">
          <cell r="B867">
            <v>15635594</v>
          </cell>
          <cell r="C867">
            <v>1</v>
          </cell>
          <cell r="D867" t="str">
            <v>LETELIER LARA VICTOR GONZALO</v>
          </cell>
          <cell r="E867" t="str">
            <v>FAD310001</v>
          </cell>
          <cell r="F867">
            <v>44</v>
          </cell>
          <cell r="G867">
            <v>30</v>
          </cell>
          <cell r="H867" t="str">
            <v>VLETELIER@UTALCA.CL</v>
          </cell>
        </row>
        <row r="868">
          <cell r="B868">
            <v>15645653</v>
          </cell>
          <cell r="C868">
            <v>5</v>
          </cell>
          <cell r="D868" t="str">
            <v>SAAVEDRA REDLICH KARIN ANDREA</v>
          </cell>
          <cell r="E868" t="str">
            <v>FCI320004</v>
          </cell>
          <cell r="F868">
            <v>44</v>
          </cell>
          <cell r="G868">
            <v>30</v>
          </cell>
          <cell r="H868" t="str">
            <v>KSAAVEDRA@UTALCA.CL</v>
          </cell>
        </row>
        <row r="869">
          <cell r="B869">
            <v>15648687</v>
          </cell>
          <cell r="C869">
            <v>6</v>
          </cell>
          <cell r="D869" t="str">
            <v>PINCHEIRA ORELLANA GONZALO OMA</v>
          </cell>
          <cell r="E869" t="str">
            <v>FCI320004</v>
          </cell>
          <cell r="F869">
            <v>44</v>
          </cell>
          <cell r="G869">
            <v>30</v>
          </cell>
          <cell r="H869" t="str">
            <v>GPINCHEIRA@UTALCA.CL</v>
          </cell>
        </row>
        <row r="870">
          <cell r="B870">
            <v>15656712</v>
          </cell>
          <cell r="C870">
            <v>4</v>
          </cell>
          <cell r="D870" t="str">
            <v>ROBLES AGUILAR JUAN ANDRES</v>
          </cell>
          <cell r="E870" t="str">
            <v/>
          </cell>
          <cell r="F870">
            <v>44</v>
          </cell>
          <cell r="G870">
            <v>30</v>
          </cell>
          <cell r="H870" t="str">
            <v>JUROBLES@UTALCA.CL</v>
          </cell>
        </row>
        <row r="871">
          <cell r="B871">
            <v>15678036</v>
          </cell>
          <cell r="C871">
            <v>7</v>
          </cell>
          <cell r="D871" t="str">
            <v>CARRASCO SANCHEZ VERONICA DEL</v>
          </cell>
          <cell r="E871" t="str">
            <v>FCS320002</v>
          </cell>
          <cell r="F871">
            <v>44</v>
          </cell>
          <cell r="G871">
            <v>30</v>
          </cell>
          <cell r="H871" t="str">
            <v>VECARRASCO@UTALCA.CL</v>
          </cell>
        </row>
        <row r="872">
          <cell r="B872">
            <v>15696906</v>
          </cell>
          <cell r="C872">
            <v>0</v>
          </cell>
          <cell r="D872" t="str">
            <v>VASQUEZ ASCENCIO MARIA PAULINA</v>
          </cell>
          <cell r="E872" t="str">
            <v>VDE400009</v>
          </cell>
          <cell r="F872">
            <v>40</v>
          </cell>
          <cell r="G872">
            <v>30</v>
          </cell>
          <cell r="H872" t="str">
            <v>MARIA.VASQUEZ@UTALCA.CL</v>
          </cell>
        </row>
        <row r="873">
          <cell r="B873">
            <v>15698146</v>
          </cell>
          <cell r="C873" t="str">
            <v>K</v>
          </cell>
          <cell r="D873" t="str">
            <v>BECERRA CASTRO MACARENA</v>
          </cell>
          <cell r="E873" t="str">
            <v>VGE400050</v>
          </cell>
          <cell r="F873">
            <v>44</v>
          </cell>
          <cell r="G873">
            <v>30</v>
          </cell>
          <cell r="H873" t="str">
            <v>MBECERRA@UTALCA.CL</v>
          </cell>
        </row>
        <row r="874">
          <cell r="B874">
            <v>15698269</v>
          </cell>
          <cell r="C874">
            <v>5</v>
          </cell>
          <cell r="D874" t="str">
            <v>ACEITUNO DIAZ MACARENA PAZ</v>
          </cell>
          <cell r="E874" t="str">
            <v>VRF400005</v>
          </cell>
          <cell r="F874">
            <v>44</v>
          </cell>
          <cell r="G874">
            <v>30</v>
          </cell>
          <cell r="H874" t="str">
            <v>MACEITUNO@UTALCA.CL</v>
          </cell>
        </row>
        <row r="875">
          <cell r="B875">
            <v>15700994</v>
          </cell>
          <cell r="C875" t="str">
            <v>K</v>
          </cell>
          <cell r="D875" t="str">
            <v>TORREJÓN RAMIREZ CAROLINA ANDR</v>
          </cell>
          <cell r="E875" t="str">
            <v>VGE400058</v>
          </cell>
          <cell r="F875">
            <v>44</v>
          </cell>
          <cell r="G875">
            <v>30</v>
          </cell>
          <cell r="H875" t="str">
            <v>CAROLINA.TORREJON@UTALCA.CL</v>
          </cell>
        </row>
        <row r="876">
          <cell r="B876">
            <v>15709247</v>
          </cell>
          <cell r="C876">
            <v>2</v>
          </cell>
          <cell r="D876" t="str">
            <v>MOREL ORELLANA KAREN DENISSE</v>
          </cell>
          <cell r="E876" t="str">
            <v>FCS200001</v>
          </cell>
          <cell r="F876">
            <v>44</v>
          </cell>
          <cell r="G876">
            <v>30</v>
          </cell>
          <cell r="H876" t="str">
            <v>KAREN.MOREL@UTALCA.CL</v>
          </cell>
        </row>
        <row r="877">
          <cell r="B877">
            <v>15710576</v>
          </cell>
          <cell r="C877">
            <v>0</v>
          </cell>
          <cell r="D877" t="str">
            <v>GONZALEZ LASTRA CAROLINA ISABE</v>
          </cell>
          <cell r="E877" t="str">
            <v>VRF100001</v>
          </cell>
          <cell r="F877">
            <v>44</v>
          </cell>
          <cell r="G877">
            <v>30</v>
          </cell>
          <cell r="H877" t="str">
            <v>CGONZALEZL@UTALCA.CL</v>
          </cell>
        </row>
        <row r="878">
          <cell r="B878">
            <v>15731084</v>
          </cell>
          <cell r="C878">
            <v>4</v>
          </cell>
          <cell r="D878" t="str">
            <v>TAPIA MAGAÑA RICARDO FERNANDO</v>
          </cell>
          <cell r="E878" t="str">
            <v>VGE400032</v>
          </cell>
          <cell r="F878">
            <v>44</v>
          </cell>
          <cell r="G878">
            <v>30</v>
          </cell>
          <cell r="H878" t="str">
            <v>RTAPIA@UTALCA.CL</v>
          </cell>
        </row>
        <row r="879">
          <cell r="B879">
            <v>15737433</v>
          </cell>
          <cell r="C879">
            <v>8</v>
          </cell>
          <cell r="D879" t="str">
            <v>ARAOS MUÑOZ FELIPE JUAN PABLO</v>
          </cell>
          <cell r="E879" t="str">
            <v>VRF400008</v>
          </cell>
          <cell r="F879">
            <v>44</v>
          </cell>
          <cell r="G879">
            <v>30</v>
          </cell>
          <cell r="H879" t="str">
            <v>FARAOS@UTALCA.CL</v>
          </cell>
        </row>
        <row r="880">
          <cell r="B880">
            <v>15739398</v>
          </cell>
          <cell r="C880">
            <v>7</v>
          </cell>
          <cell r="D880" t="str">
            <v>GARRIDO URRUTIA HAILINK TAMARA</v>
          </cell>
          <cell r="E880" t="str">
            <v>VGE400003</v>
          </cell>
          <cell r="F880">
            <v>44</v>
          </cell>
          <cell r="G880">
            <v>30</v>
          </cell>
          <cell r="H880" t="str">
            <v>HGARRIDO@UTALCA.CL</v>
          </cell>
        </row>
        <row r="881">
          <cell r="B881">
            <v>15747186</v>
          </cell>
          <cell r="C881">
            <v>4</v>
          </cell>
          <cell r="D881" t="str">
            <v>IBAÑEZ ARAVENA PABLO CESAR</v>
          </cell>
          <cell r="E881" t="str">
            <v>FOD320001</v>
          </cell>
          <cell r="F881">
            <v>7</v>
          </cell>
          <cell r="G881">
            <v>30</v>
          </cell>
          <cell r="H881" t="str">
            <v>PAIBANEZ@UTALCA.CL</v>
          </cell>
        </row>
        <row r="882">
          <cell r="B882">
            <v>15758827</v>
          </cell>
          <cell r="C882">
            <v>3</v>
          </cell>
          <cell r="D882" t="str">
            <v>ZEPEDA PAULO FRANCISCA</v>
          </cell>
          <cell r="E882" t="str">
            <v>VAC400024</v>
          </cell>
          <cell r="F882">
            <v>44</v>
          </cell>
          <cell r="G882">
            <v>30</v>
          </cell>
          <cell r="H882" t="str">
            <v>FZEPEDA@UTALCA.CL</v>
          </cell>
        </row>
        <row r="883">
          <cell r="B883">
            <v>15772713</v>
          </cell>
          <cell r="C883">
            <v>3</v>
          </cell>
          <cell r="D883" t="str">
            <v>MUÑOZ MORALES ALEXIS EDUARDO</v>
          </cell>
          <cell r="E883" t="str">
            <v/>
          </cell>
          <cell r="F883">
            <v>44</v>
          </cell>
          <cell r="G883">
            <v>30</v>
          </cell>
          <cell r="H883" t="str">
            <v>ALEMUNOZ@UTALCA.CL</v>
          </cell>
        </row>
        <row r="884">
          <cell r="B884">
            <v>15773416</v>
          </cell>
          <cell r="C884">
            <v>4</v>
          </cell>
          <cell r="D884" t="str">
            <v>GONZALEZ GONZALEZ LUZ ELENA</v>
          </cell>
          <cell r="E884" t="str">
            <v/>
          </cell>
          <cell r="F884">
            <v>42</v>
          </cell>
          <cell r="G884">
            <v>30</v>
          </cell>
          <cell r="H884" t="str">
            <v>LUZ.GONZALEZG@UTALCA.CL</v>
          </cell>
        </row>
        <row r="885">
          <cell r="B885">
            <v>15773753</v>
          </cell>
          <cell r="C885">
            <v>8</v>
          </cell>
          <cell r="D885" t="str">
            <v>AMIGO PAVEZ JESSICA ANDREA</v>
          </cell>
          <cell r="E885" t="str">
            <v>IQR300001</v>
          </cell>
          <cell r="F885">
            <v>44</v>
          </cell>
          <cell r="G885">
            <v>30</v>
          </cell>
          <cell r="H885" t="str">
            <v>JEAMIGO@UTALCA.CL</v>
          </cell>
        </row>
        <row r="886">
          <cell r="B886">
            <v>15774453</v>
          </cell>
          <cell r="C886">
            <v>4</v>
          </cell>
          <cell r="D886" t="str">
            <v>CASANOVA MIRA PALOMA LILLIER</v>
          </cell>
          <cell r="E886" t="str">
            <v/>
          </cell>
          <cell r="F886">
            <v>40</v>
          </cell>
          <cell r="G886">
            <v>30</v>
          </cell>
          <cell r="H886" t="str">
            <v>PCASANOVA@UTALCA.CL</v>
          </cell>
        </row>
        <row r="887">
          <cell r="B887">
            <v>15791233</v>
          </cell>
          <cell r="C887" t="str">
            <v>K</v>
          </cell>
          <cell r="D887" t="str">
            <v>BRAVO GONZALEZ LEA JAZHEL</v>
          </cell>
          <cell r="E887" t="str">
            <v/>
          </cell>
          <cell r="F887">
            <v>44</v>
          </cell>
          <cell r="G887">
            <v>30</v>
          </cell>
          <cell r="H887" t="str">
            <v>LEA.BRAVO@UTALCA.CL</v>
          </cell>
        </row>
        <row r="888">
          <cell r="B888">
            <v>15791635</v>
          </cell>
          <cell r="C888">
            <v>1</v>
          </cell>
          <cell r="D888" t="str">
            <v>MOLINA MOLINA BRENDA JENNIFFER</v>
          </cell>
          <cell r="E888" t="str">
            <v>VRF400008</v>
          </cell>
          <cell r="F888">
            <v>44</v>
          </cell>
          <cell r="G888">
            <v>30</v>
          </cell>
          <cell r="H888" t="str">
            <v>BMOLINA@UTALCA.CL</v>
          </cell>
        </row>
        <row r="889">
          <cell r="B889">
            <v>15795849</v>
          </cell>
          <cell r="C889">
            <v>6</v>
          </cell>
          <cell r="D889" t="str">
            <v>LEMUS CASTILLO YENNIFER WALESK</v>
          </cell>
          <cell r="E889" t="str">
            <v>FOD350001</v>
          </cell>
          <cell r="F889">
            <v>44</v>
          </cell>
          <cell r="G889">
            <v>30</v>
          </cell>
          <cell r="H889" t="str">
            <v>YENNIFER.LEMUS@UTALCA.CL</v>
          </cell>
        </row>
        <row r="890">
          <cell r="B890">
            <v>15805362</v>
          </cell>
          <cell r="C890">
            <v>4</v>
          </cell>
          <cell r="D890" t="str">
            <v>DROGUETT OSSA DANIEL ANDRES</v>
          </cell>
          <cell r="E890" t="str">
            <v>FOD320002</v>
          </cell>
          <cell r="F890">
            <v>22</v>
          </cell>
          <cell r="G890">
            <v>30</v>
          </cell>
          <cell r="H890" t="str">
            <v>DDROGUETT@UTALCA.CL</v>
          </cell>
        </row>
        <row r="891">
          <cell r="B891">
            <v>15808734</v>
          </cell>
          <cell r="C891">
            <v>0</v>
          </cell>
          <cell r="D891" t="str">
            <v>GARCIA JEREZ MARIA ELENA</v>
          </cell>
          <cell r="E891" t="str">
            <v>FED310002</v>
          </cell>
          <cell r="F891">
            <v>44</v>
          </cell>
          <cell r="G891">
            <v>30</v>
          </cell>
          <cell r="H891" t="str">
            <v>MARIA.GARCIA@UTALCA.CL</v>
          </cell>
        </row>
        <row r="892">
          <cell r="B892">
            <v>15809256</v>
          </cell>
          <cell r="C892">
            <v>5</v>
          </cell>
          <cell r="D892" t="str">
            <v>NUÑEZ SAEZ JOSE JOAQUIN</v>
          </cell>
          <cell r="E892" t="str">
            <v>VRF400009</v>
          </cell>
          <cell r="F892">
            <v>44</v>
          </cell>
          <cell r="G892">
            <v>30</v>
          </cell>
          <cell r="H892" t="str">
            <v>JONUNEZ@UTALCA.CL</v>
          </cell>
        </row>
        <row r="893">
          <cell r="B893">
            <v>15835342</v>
          </cell>
          <cell r="C893">
            <v>3</v>
          </cell>
          <cell r="D893" t="str">
            <v>MEZA GONZALEZ BEKY ORELLA</v>
          </cell>
          <cell r="E893" t="str">
            <v>ICB300001</v>
          </cell>
          <cell r="F893">
            <v>44</v>
          </cell>
          <cell r="G893">
            <v>30</v>
          </cell>
          <cell r="H893" t="str">
            <v>BMEZA@UTALCA.CL</v>
          </cell>
        </row>
        <row r="894">
          <cell r="B894">
            <v>15843371</v>
          </cell>
          <cell r="C894">
            <v>0</v>
          </cell>
          <cell r="D894" t="str">
            <v>PERALTA MIRANDA JUAN PABLO</v>
          </cell>
          <cell r="E894" t="str">
            <v>FCS320009</v>
          </cell>
          <cell r="F894">
            <v>44</v>
          </cell>
          <cell r="G894">
            <v>30</v>
          </cell>
          <cell r="H894" t="str">
            <v>JPERALTA@UTALCA.CL</v>
          </cell>
        </row>
        <row r="895">
          <cell r="B895">
            <v>15855433</v>
          </cell>
          <cell r="C895" t="str">
            <v>K</v>
          </cell>
          <cell r="D895" t="str">
            <v>ORELLANA MOLINA MAURICIO ALEJA</v>
          </cell>
          <cell r="E895" t="str">
            <v>FCS320011</v>
          </cell>
          <cell r="F895">
            <v>44</v>
          </cell>
          <cell r="G895">
            <v>30</v>
          </cell>
          <cell r="H895" t="str">
            <v>MAUORELLANA@UTALCA.CL</v>
          </cell>
        </row>
        <row r="896">
          <cell r="B896">
            <v>15855698</v>
          </cell>
          <cell r="C896">
            <v>7</v>
          </cell>
          <cell r="D896" t="str">
            <v>SOLAR GARCIA CARLA PAMELA</v>
          </cell>
          <cell r="E896" t="str">
            <v>FCS320001</v>
          </cell>
          <cell r="F896">
            <v>22</v>
          </cell>
          <cell r="G896">
            <v>30</v>
          </cell>
          <cell r="H896" t="str">
            <v>CARLA.SOLAR@UTALCA.CL</v>
          </cell>
        </row>
        <row r="897">
          <cell r="B897">
            <v>15875139</v>
          </cell>
          <cell r="C897">
            <v>9</v>
          </cell>
          <cell r="D897" t="str">
            <v>MARDONES SEPULVEDA CRISTIAN MA</v>
          </cell>
          <cell r="E897" t="str">
            <v>IMF300001</v>
          </cell>
          <cell r="F897">
            <v>44</v>
          </cell>
          <cell r="G897">
            <v>30</v>
          </cell>
          <cell r="H897" t="str">
            <v>CRMARDONES@UTALCA.CL</v>
          </cell>
        </row>
        <row r="898">
          <cell r="B898">
            <v>15877215</v>
          </cell>
          <cell r="C898">
            <v>9</v>
          </cell>
          <cell r="D898" t="str">
            <v>TORRES GELDRES ANDREA SUSANA</v>
          </cell>
          <cell r="E898" t="str">
            <v>FCS320011</v>
          </cell>
          <cell r="F898">
            <v>44</v>
          </cell>
          <cell r="G898">
            <v>30</v>
          </cell>
          <cell r="H898" t="str">
            <v>ANDTORRES@UTALCA.CL</v>
          </cell>
        </row>
        <row r="899">
          <cell r="B899">
            <v>15906342</v>
          </cell>
          <cell r="C899">
            <v>9</v>
          </cell>
          <cell r="D899" t="str">
            <v>SALINAS GAONA ALVARO RODRIGO</v>
          </cell>
          <cell r="E899" t="str">
            <v>FCI320004</v>
          </cell>
          <cell r="F899">
            <v>44</v>
          </cell>
          <cell r="G899">
            <v>30</v>
          </cell>
          <cell r="H899" t="str">
            <v>ALVARO.SALINAS@UTALCA.CL</v>
          </cell>
        </row>
        <row r="900">
          <cell r="B900">
            <v>15906533</v>
          </cell>
          <cell r="C900">
            <v>2</v>
          </cell>
          <cell r="D900" t="str">
            <v>ESPINOSA SAN MARTIN MARCELA PA</v>
          </cell>
          <cell r="E900" t="str">
            <v>FOD320001</v>
          </cell>
          <cell r="F900">
            <v>33</v>
          </cell>
          <cell r="G900">
            <v>30</v>
          </cell>
          <cell r="H900" t="str">
            <v>MAESPINOSA@UTALCA.CL</v>
          </cell>
        </row>
        <row r="901">
          <cell r="B901">
            <v>15907172</v>
          </cell>
          <cell r="C901">
            <v>3</v>
          </cell>
          <cell r="D901" t="str">
            <v>SOTO GAETE LUIS ALFREDO</v>
          </cell>
          <cell r="E901" t="str">
            <v>VGE400054</v>
          </cell>
          <cell r="F901">
            <v>44</v>
          </cell>
          <cell r="G901">
            <v>30</v>
          </cell>
          <cell r="H901" t="str">
            <v>LUISOTO@UTALCA.CL</v>
          </cell>
        </row>
        <row r="902">
          <cell r="B902">
            <v>15907208</v>
          </cell>
          <cell r="C902">
            <v>8</v>
          </cell>
          <cell r="D902" t="str">
            <v>QUINTEROS TOLEDO CAROLINA ANDR</v>
          </cell>
          <cell r="E902" t="str">
            <v>IQR300001</v>
          </cell>
          <cell r="F902">
            <v>44</v>
          </cell>
          <cell r="G902">
            <v>30</v>
          </cell>
          <cell r="H902" t="str">
            <v>CQUINTEROST@UTALCA.CL</v>
          </cell>
        </row>
        <row r="903">
          <cell r="B903">
            <v>15907264</v>
          </cell>
          <cell r="C903">
            <v>9</v>
          </cell>
          <cell r="D903" t="str">
            <v>REYES IBAÑEZ MELISSA ANDREA</v>
          </cell>
          <cell r="E903" t="str">
            <v>ADC030185</v>
          </cell>
          <cell r="F903">
            <v>44</v>
          </cell>
          <cell r="G903">
            <v>30</v>
          </cell>
          <cell r="H903" t="str">
            <v>MREYESI@UTALCA.CL</v>
          </cell>
        </row>
        <row r="904">
          <cell r="B904">
            <v>15907505</v>
          </cell>
          <cell r="C904">
            <v>2</v>
          </cell>
          <cell r="D904" t="str">
            <v>MENDOZA NUÑEZ CARLA VERONICA</v>
          </cell>
          <cell r="E904" t="str">
            <v>FPS340002</v>
          </cell>
          <cell r="F904">
            <v>44</v>
          </cell>
          <cell r="G904">
            <v>30</v>
          </cell>
          <cell r="H904" t="str">
            <v>CAMENDOZA@UTALCA.CL</v>
          </cell>
        </row>
        <row r="905">
          <cell r="B905">
            <v>15907530</v>
          </cell>
          <cell r="C905">
            <v>3</v>
          </cell>
          <cell r="D905" t="str">
            <v>VERGARA JAQUE ARIELA PATRICIA</v>
          </cell>
          <cell r="E905" t="str">
            <v>FCI320001</v>
          </cell>
          <cell r="F905">
            <v>44</v>
          </cell>
          <cell r="G905">
            <v>30</v>
          </cell>
          <cell r="H905" t="str">
            <v>ARVERGARA@UTALCA.CL</v>
          </cell>
        </row>
        <row r="906">
          <cell r="B906">
            <v>15920457</v>
          </cell>
          <cell r="C906" t="str">
            <v>K</v>
          </cell>
          <cell r="D906" t="str">
            <v>CARRASCO MEZA ANDREA PAZ</v>
          </cell>
          <cell r="E906" t="str">
            <v>FOD320002</v>
          </cell>
          <cell r="F906">
            <v>22</v>
          </cell>
          <cell r="G906">
            <v>30</v>
          </cell>
          <cell r="H906" t="str">
            <v>ACARRASCO@UTALCA.CL</v>
          </cell>
        </row>
        <row r="907">
          <cell r="B907">
            <v>15920622</v>
          </cell>
          <cell r="C907" t="str">
            <v>K</v>
          </cell>
          <cell r="D907" t="str">
            <v>TAPIA LASTRA PILAR ANDREA</v>
          </cell>
          <cell r="E907" t="str">
            <v>FOD320002</v>
          </cell>
          <cell r="F907">
            <v>22</v>
          </cell>
          <cell r="G907">
            <v>30</v>
          </cell>
          <cell r="H907" t="str">
            <v>PITAPIA@UTALCA.CL</v>
          </cell>
        </row>
        <row r="908">
          <cell r="B908">
            <v>15923231</v>
          </cell>
          <cell r="C908" t="str">
            <v>K</v>
          </cell>
          <cell r="D908" t="str">
            <v>ULLOA HERRERA CAROLINA ANDREA</v>
          </cell>
          <cell r="E908" t="str">
            <v>ADC030180</v>
          </cell>
          <cell r="F908">
            <v>44</v>
          </cell>
          <cell r="G908">
            <v>30</v>
          </cell>
          <cell r="H908" t="str">
            <v>CAROLINA.ULLOA@UTALCA.CL</v>
          </cell>
        </row>
        <row r="909">
          <cell r="B909">
            <v>15923848</v>
          </cell>
          <cell r="C909">
            <v>2</v>
          </cell>
          <cell r="D909" t="str">
            <v>GONZALEZ MUÑOZ YENNY KAREN</v>
          </cell>
          <cell r="E909" t="str">
            <v>FCS310007</v>
          </cell>
          <cell r="F909">
            <v>44</v>
          </cell>
          <cell r="G909">
            <v>30</v>
          </cell>
          <cell r="H909" t="str">
            <v>YENNY.GONZALEZ@UTALCA.CL</v>
          </cell>
        </row>
        <row r="910">
          <cell r="B910">
            <v>15927876</v>
          </cell>
          <cell r="C910" t="str">
            <v>K</v>
          </cell>
          <cell r="D910" t="str">
            <v>CARRASCO URRA FERNANDO ANDRES</v>
          </cell>
          <cell r="E910" t="str">
            <v>ICB300001</v>
          </cell>
          <cell r="F910">
            <v>44</v>
          </cell>
          <cell r="G910">
            <v>30</v>
          </cell>
          <cell r="H910" t="str">
            <v>FERNANDO.CARRASCO@UTALCA.CL</v>
          </cell>
        </row>
        <row r="911">
          <cell r="B911">
            <v>15928323</v>
          </cell>
          <cell r="C911">
            <v>2</v>
          </cell>
          <cell r="D911" t="str">
            <v>BECAR LABRAÑA EMILIO JOSE</v>
          </cell>
          <cell r="E911" t="str">
            <v>VAC400024</v>
          </cell>
          <cell r="F911">
            <v>44</v>
          </cell>
          <cell r="G911">
            <v>30</v>
          </cell>
          <cell r="H911" t="str">
            <v>EMILIO.BECAR@UTALCA.CL</v>
          </cell>
        </row>
        <row r="912">
          <cell r="B912">
            <v>15934963</v>
          </cell>
          <cell r="C912">
            <v>2</v>
          </cell>
          <cell r="D912" t="str">
            <v>BOPP MONTERO CARLOS</v>
          </cell>
          <cell r="E912" t="str">
            <v>VAC400024</v>
          </cell>
          <cell r="F912">
            <v>44</v>
          </cell>
          <cell r="G912">
            <v>30</v>
          </cell>
          <cell r="H912" t="str">
            <v>CBOPPM@GMAIL.COM</v>
          </cell>
        </row>
        <row r="913">
          <cell r="B913">
            <v>15940003</v>
          </cell>
          <cell r="C913">
            <v>4</v>
          </cell>
          <cell r="D913" t="str">
            <v>IBARRA MARTINEZ ANDREA PATRICI</v>
          </cell>
          <cell r="E913" t="str">
            <v>VDE400012</v>
          </cell>
          <cell r="F913">
            <v>22</v>
          </cell>
          <cell r="G913">
            <v>30</v>
          </cell>
          <cell r="H913" t="str">
            <v>ANDREA.IBARRA@UTALCA.CL</v>
          </cell>
        </row>
        <row r="914">
          <cell r="B914">
            <v>15943002</v>
          </cell>
          <cell r="C914">
            <v>2</v>
          </cell>
          <cell r="D914" t="str">
            <v>URRUTIA URRUTIA GABRIEL AGUSTI</v>
          </cell>
          <cell r="E914" t="str">
            <v>FCS320010</v>
          </cell>
          <cell r="F914">
            <v>44</v>
          </cell>
          <cell r="G914">
            <v>30</v>
          </cell>
          <cell r="H914" t="str">
            <v>GURRUTIA@UTALCA.CL</v>
          </cell>
        </row>
        <row r="915">
          <cell r="B915">
            <v>15946319</v>
          </cell>
          <cell r="C915">
            <v>2</v>
          </cell>
          <cell r="D915" t="str">
            <v>CABRERA MANCILLA MARIA ALEJAND</v>
          </cell>
          <cell r="E915" t="str">
            <v>FCI310009</v>
          </cell>
          <cell r="F915">
            <v>44</v>
          </cell>
          <cell r="G915">
            <v>30</v>
          </cell>
          <cell r="H915" t="str">
            <v>MCABRERA@UTALCA.CL</v>
          </cell>
        </row>
        <row r="916">
          <cell r="B916">
            <v>15946968</v>
          </cell>
          <cell r="C916">
            <v>9</v>
          </cell>
          <cell r="D916" t="str">
            <v>ESCOBAR TORRES LORENA CECILIA</v>
          </cell>
          <cell r="E916" t="str">
            <v>VGE400003</v>
          </cell>
          <cell r="F916">
            <v>44</v>
          </cell>
          <cell r="G916">
            <v>30</v>
          </cell>
          <cell r="H916" t="str">
            <v>LORENAESCOBAR@UTALCA.CL</v>
          </cell>
        </row>
        <row r="917">
          <cell r="B917">
            <v>15983861</v>
          </cell>
          <cell r="C917">
            <v>7</v>
          </cell>
          <cell r="D917" t="str">
            <v>SOLIS BURGOS CARLOS GABRIEL</v>
          </cell>
          <cell r="E917" t="str">
            <v>VGE400053</v>
          </cell>
          <cell r="F917">
            <v>44</v>
          </cell>
          <cell r="G917">
            <v>30</v>
          </cell>
          <cell r="H917" t="str">
            <v>CARLOS.SOLIS@UTALCA.CL</v>
          </cell>
        </row>
        <row r="918">
          <cell r="B918">
            <v>15991561</v>
          </cell>
          <cell r="C918">
            <v>1</v>
          </cell>
          <cell r="D918" t="str">
            <v>MARINKOVIC GONZALEZ ELISA JOSE</v>
          </cell>
          <cell r="E918" t="str">
            <v>FCS320007</v>
          </cell>
          <cell r="F918">
            <v>44</v>
          </cell>
          <cell r="G918">
            <v>30</v>
          </cell>
          <cell r="H918" t="str">
            <v>EMARINKOVIC@UTALCA.CL</v>
          </cell>
        </row>
        <row r="919">
          <cell r="B919">
            <v>15991682</v>
          </cell>
          <cell r="C919">
            <v>0</v>
          </cell>
          <cell r="D919" t="str">
            <v>BENAVIDES ROCA GLORIA ANGELICA</v>
          </cell>
          <cell r="E919" t="str">
            <v>FCS320010</v>
          </cell>
          <cell r="F919">
            <v>44</v>
          </cell>
          <cell r="G919">
            <v>30</v>
          </cell>
          <cell r="H919" t="str">
            <v>GBENAVIDES@UTALCA.CL</v>
          </cell>
        </row>
        <row r="920">
          <cell r="B920">
            <v>15992357</v>
          </cell>
          <cell r="C920">
            <v>6</v>
          </cell>
          <cell r="D920" t="str">
            <v>OLATE OLAVE VERONICA RACHEL</v>
          </cell>
          <cell r="E920" t="str">
            <v>FCS320001</v>
          </cell>
          <cell r="F920">
            <v>44</v>
          </cell>
          <cell r="G920">
            <v>30</v>
          </cell>
          <cell r="H920" t="str">
            <v>VOLATE@UTALCA.CL</v>
          </cell>
        </row>
        <row r="921">
          <cell r="B921">
            <v>16001282</v>
          </cell>
          <cell r="C921" t="str">
            <v>K</v>
          </cell>
          <cell r="D921" t="str">
            <v>RETAMAL MORGADO MARIA PAZ</v>
          </cell>
          <cell r="E921" t="str">
            <v>VGE400008</v>
          </cell>
          <cell r="F921">
            <v>44</v>
          </cell>
          <cell r="G921">
            <v>30</v>
          </cell>
          <cell r="H921" t="str">
            <v>MARIA.RETAMAL@UTALCA.CL</v>
          </cell>
        </row>
        <row r="922">
          <cell r="B922">
            <v>16001355</v>
          </cell>
          <cell r="C922">
            <v>9</v>
          </cell>
          <cell r="D922" t="str">
            <v>GONZALEZ FERNANDEZ DANIELA FRA</v>
          </cell>
          <cell r="E922" t="str">
            <v>FCS320010</v>
          </cell>
          <cell r="F922">
            <v>22</v>
          </cell>
          <cell r="G922">
            <v>30</v>
          </cell>
          <cell r="H922" t="str">
            <v>DANIELA.GONZALEZ@UTALCA.CL</v>
          </cell>
        </row>
        <row r="923">
          <cell r="B923">
            <v>16001476</v>
          </cell>
          <cell r="C923">
            <v>8</v>
          </cell>
          <cell r="D923" t="str">
            <v>VASQUEZ CAMPOS MIGUEL ALONSO</v>
          </cell>
          <cell r="E923" t="str">
            <v>FCS320010</v>
          </cell>
          <cell r="F923">
            <v>44</v>
          </cell>
          <cell r="G923">
            <v>30</v>
          </cell>
          <cell r="H923" t="str">
            <v>MIVASQUEZ@UTALCA.CL</v>
          </cell>
        </row>
        <row r="924">
          <cell r="B924">
            <v>16001748</v>
          </cell>
          <cell r="C924">
            <v>1</v>
          </cell>
          <cell r="D924" t="str">
            <v>SUAZO SOTO DELLANAI ALEJANDRA</v>
          </cell>
          <cell r="E924" t="str">
            <v>VAC400082</v>
          </cell>
          <cell r="F924">
            <v>44</v>
          </cell>
          <cell r="G924">
            <v>30</v>
          </cell>
          <cell r="H924" t="str">
            <v>DESUAZO@UTALCA.CL</v>
          </cell>
        </row>
        <row r="925">
          <cell r="B925">
            <v>16001754</v>
          </cell>
          <cell r="C925">
            <v>6</v>
          </cell>
          <cell r="D925" t="str">
            <v>FERNANDEZ GONZALEZ CONSTANZA E</v>
          </cell>
          <cell r="E925" t="str">
            <v>FOD320001</v>
          </cell>
          <cell r="F925">
            <v>44</v>
          </cell>
          <cell r="G925">
            <v>30</v>
          </cell>
          <cell r="H925" t="str">
            <v>COFERNANDEZ@UTALCA.CL</v>
          </cell>
        </row>
        <row r="926">
          <cell r="B926">
            <v>16001930</v>
          </cell>
          <cell r="C926">
            <v>1</v>
          </cell>
          <cell r="D926" t="str">
            <v>GONZALEZ HERRERA CARLOS FERNAN</v>
          </cell>
          <cell r="E926" t="str">
            <v>FCS320010</v>
          </cell>
          <cell r="F926">
            <v>44</v>
          </cell>
          <cell r="G926">
            <v>30</v>
          </cell>
          <cell r="H926" t="str">
            <v>CARLOGONZALEZ@UTALCA.CL</v>
          </cell>
        </row>
        <row r="927">
          <cell r="B927">
            <v>16002040</v>
          </cell>
          <cell r="C927">
            <v>7</v>
          </cell>
          <cell r="D927" t="str">
            <v>AVENDAÑO BUSTAMANTE MAURICIO A</v>
          </cell>
          <cell r="E927" t="str">
            <v>ADC030112</v>
          </cell>
          <cell r="F927">
            <v>44</v>
          </cell>
          <cell r="G927">
            <v>30</v>
          </cell>
          <cell r="H927" t="str">
            <v>MAURICIO.AVENDANO@UTALCA.CL</v>
          </cell>
        </row>
        <row r="928">
          <cell r="B928">
            <v>16002184</v>
          </cell>
          <cell r="C928">
            <v>5</v>
          </cell>
          <cell r="D928" t="str">
            <v>VALENZUELA TAPIA MIGUEL ANGEL</v>
          </cell>
          <cell r="E928" t="str">
            <v>ADC024006</v>
          </cell>
          <cell r="F928">
            <v>44</v>
          </cell>
          <cell r="G928">
            <v>30</v>
          </cell>
          <cell r="H928" t="str">
            <v>MIVALENZUELA@UTALCA.CL</v>
          </cell>
        </row>
        <row r="929">
          <cell r="B929">
            <v>16002492</v>
          </cell>
          <cell r="C929">
            <v>5</v>
          </cell>
          <cell r="D929" t="str">
            <v>VALDES ESCOBAR PABLO JOSE</v>
          </cell>
          <cell r="E929" t="str">
            <v>VGE400056</v>
          </cell>
          <cell r="F929">
            <v>44</v>
          </cell>
          <cell r="G929">
            <v>30</v>
          </cell>
          <cell r="H929" t="str">
            <v>PABVALDES@UTALCA.CL</v>
          </cell>
        </row>
        <row r="930">
          <cell r="B930">
            <v>16002843</v>
          </cell>
          <cell r="C930">
            <v>2</v>
          </cell>
          <cell r="D930" t="str">
            <v>PALMA ENCINA MABEL ANDREA</v>
          </cell>
          <cell r="E930" t="str">
            <v>VAC400001</v>
          </cell>
          <cell r="F930">
            <v>44</v>
          </cell>
          <cell r="G930">
            <v>27</v>
          </cell>
          <cell r="H930" t="str">
            <v>MABEL.PALMA@UTALCA.CL</v>
          </cell>
        </row>
        <row r="931">
          <cell r="B931">
            <v>16003145</v>
          </cell>
          <cell r="C931" t="str">
            <v>K</v>
          </cell>
          <cell r="D931" t="str">
            <v>MENDEZ JARA LORENA VALESCA</v>
          </cell>
          <cell r="E931" t="str">
            <v>VGE400054</v>
          </cell>
          <cell r="F931">
            <v>44</v>
          </cell>
          <cell r="G931">
            <v>30</v>
          </cell>
          <cell r="H931" t="str">
            <v>LMENDEZ@UTALCA.CL</v>
          </cell>
        </row>
        <row r="932">
          <cell r="B932">
            <v>16003232</v>
          </cell>
          <cell r="C932">
            <v>4</v>
          </cell>
          <cell r="D932" t="str">
            <v>ASCENCIO ACUÑA JOSE ALEJANDRO</v>
          </cell>
          <cell r="E932" t="str">
            <v/>
          </cell>
          <cell r="F932">
            <v>44</v>
          </cell>
          <cell r="G932">
            <v>30</v>
          </cell>
          <cell r="H932" t="str">
            <v>JASCENCIO@UTALCA.CL</v>
          </cell>
        </row>
        <row r="933">
          <cell r="B933">
            <v>16009785</v>
          </cell>
          <cell r="C933" t="str">
            <v>K</v>
          </cell>
          <cell r="D933" t="str">
            <v>MEDINA VILLEGAS MIREYA ALEJAND</v>
          </cell>
          <cell r="E933" t="str">
            <v>VGE400052</v>
          </cell>
          <cell r="F933">
            <v>44</v>
          </cell>
          <cell r="G933">
            <v>30</v>
          </cell>
          <cell r="H933" t="str">
            <v>MIREYA.MEDINA@UTALCA.CL</v>
          </cell>
        </row>
        <row r="934">
          <cell r="B934">
            <v>16011274</v>
          </cell>
          <cell r="C934">
            <v>3</v>
          </cell>
          <cell r="D934" t="str">
            <v>JEGO MENDOZA LIZA ELIANA</v>
          </cell>
          <cell r="E934" t="str">
            <v>FCI320009</v>
          </cell>
          <cell r="F934">
            <v>44</v>
          </cell>
          <cell r="G934">
            <v>30</v>
          </cell>
          <cell r="H934" t="str">
            <v>LJEGO@UTALCA.CL</v>
          </cell>
        </row>
        <row r="935">
          <cell r="B935">
            <v>16018044</v>
          </cell>
          <cell r="C935">
            <v>7</v>
          </cell>
          <cell r="D935" t="str">
            <v>AYALA GODOY JUAN EDUARDO</v>
          </cell>
          <cell r="E935" t="str">
            <v>VGE400005</v>
          </cell>
          <cell r="F935">
            <v>44</v>
          </cell>
          <cell r="G935">
            <v>30</v>
          </cell>
          <cell r="H935" t="str">
            <v>JUAN.AYALA@UTALCA.CL</v>
          </cell>
        </row>
        <row r="936">
          <cell r="B936">
            <v>16023257</v>
          </cell>
          <cell r="C936">
            <v>9</v>
          </cell>
          <cell r="D936" t="str">
            <v>GONZALEZ BRAVO MARIA ANGELICA</v>
          </cell>
          <cell r="E936" t="str">
            <v>FCS320011</v>
          </cell>
          <cell r="F936">
            <v>33</v>
          </cell>
          <cell r="G936">
            <v>30</v>
          </cell>
          <cell r="H936" t="str">
            <v>MARGONZALEZB@UTALCA.CL</v>
          </cell>
        </row>
        <row r="937">
          <cell r="B937">
            <v>16024913</v>
          </cell>
          <cell r="C937">
            <v>7</v>
          </cell>
          <cell r="D937" t="str">
            <v>MORAGA CRUZ CARLOS ALEJANDRO</v>
          </cell>
          <cell r="E937" t="str">
            <v>FCI320008</v>
          </cell>
          <cell r="F937">
            <v>44</v>
          </cell>
          <cell r="G937">
            <v>30</v>
          </cell>
          <cell r="H937" t="str">
            <v>CARMORAGA@UTALCA.CL</v>
          </cell>
        </row>
        <row r="938">
          <cell r="B938">
            <v>16025515</v>
          </cell>
          <cell r="C938">
            <v>3</v>
          </cell>
          <cell r="D938" t="str">
            <v>ARDILES CARDENAS CATALINA LOUR</v>
          </cell>
          <cell r="E938" t="str">
            <v/>
          </cell>
          <cell r="F938">
            <v>44</v>
          </cell>
          <cell r="G938">
            <v>30</v>
          </cell>
          <cell r="H938" t="str">
            <v>CATALINA.ARDILES@UTALCA.CL</v>
          </cell>
        </row>
        <row r="939">
          <cell r="B939">
            <v>16043277</v>
          </cell>
          <cell r="C939">
            <v>2</v>
          </cell>
          <cell r="D939" t="str">
            <v>SALINAS BARRIOS ABIGAIL NOEMÍ</v>
          </cell>
          <cell r="E939" t="str">
            <v>FCI200001</v>
          </cell>
          <cell r="F939">
            <v>44</v>
          </cell>
          <cell r="G939">
            <v>30</v>
          </cell>
          <cell r="H939" t="str">
            <v>ABIGAIL.SALINAS@UTALCA.CL</v>
          </cell>
        </row>
        <row r="940">
          <cell r="B940">
            <v>16062986</v>
          </cell>
          <cell r="C940" t="str">
            <v>K</v>
          </cell>
          <cell r="D940" t="str">
            <v>POBLETE VILCHES HORACIO NELSON</v>
          </cell>
          <cell r="E940" t="str">
            <v>FCI320001</v>
          </cell>
          <cell r="F940">
            <v>44</v>
          </cell>
          <cell r="G940">
            <v>30</v>
          </cell>
          <cell r="H940" t="str">
            <v>HOPOBLETE@UTALCA.CL</v>
          </cell>
        </row>
        <row r="941">
          <cell r="B941">
            <v>16064805</v>
          </cell>
          <cell r="C941">
            <v>8</v>
          </cell>
          <cell r="D941" t="str">
            <v>GONZALEZ CORNEJO MARCELA ALEJA</v>
          </cell>
          <cell r="E941" t="str">
            <v>VDE400001</v>
          </cell>
          <cell r="F941">
            <v>44</v>
          </cell>
          <cell r="G941">
            <v>30</v>
          </cell>
          <cell r="H941" t="str">
            <v>MARCEGONZALEZ@UTALCA.CL</v>
          </cell>
        </row>
        <row r="942">
          <cell r="B942">
            <v>16071696</v>
          </cell>
          <cell r="C942">
            <v>7</v>
          </cell>
          <cell r="D942" t="str">
            <v>PAVEZ MADARIAGA RODRIGO ANDRES</v>
          </cell>
          <cell r="E942" t="str">
            <v>FCI320003</v>
          </cell>
          <cell r="F942">
            <v>44</v>
          </cell>
          <cell r="G942">
            <v>30</v>
          </cell>
          <cell r="H942" t="str">
            <v>RPAVEZ@UTALCA.CL</v>
          </cell>
        </row>
        <row r="943">
          <cell r="B943">
            <v>16072124</v>
          </cell>
          <cell r="C943">
            <v>3</v>
          </cell>
          <cell r="D943" t="str">
            <v>AZARES AZARES JUAN EDUARDO</v>
          </cell>
          <cell r="E943" t="str">
            <v>FEN310002</v>
          </cell>
          <cell r="F943">
            <v>44</v>
          </cell>
          <cell r="G943">
            <v>30</v>
          </cell>
          <cell r="H943" t="str">
            <v>JAZARES@UTALCA.CL</v>
          </cell>
        </row>
        <row r="944">
          <cell r="B944">
            <v>16073940</v>
          </cell>
          <cell r="C944">
            <v>1</v>
          </cell>
          <cell r="D944" t="str">
            <v>AEDO ESPINOZA FABIOLA ALEJANDR</v>
          </cell>
          <cell r="E944" t="str">
            <v/>
          </cell>
          <cell r="F944">
            <v>44</v>
          </cell>
          <cell r="G944">
            <v>30</v>
          </cell>
          <cell r="H944" t="str">
            <v>FABIOLA.AEDO@UTALCA.CL</v>
          </cell>
        </row>
        <row r="945">
          <cell r="B945">
            <v>16090652</v>
          </cell>
          <cell r="C945">
            <v>9</v>
          </cell>
          <cell r="D945" t="str">
            <v>VALENZUELA FIGUEROA GIOVANNI F</v>
          </cell>
          <cell r="E945" t="str">
            <v/>
          </cell>
          <cell r="F945">
            <v>44</v>
          </cell>
          <cell r="G945">
            <v>30</v>
          </cell>
          <cell r="H945" t="str">
            <v>GIVALENZUELA@UTALCA.CL</v>
          </cell>
        </row>
        <row r="946">
          <cell r="B946">
            <v>16090890</v>
          </cell>
          <cell r="C946">
            <v>4</v>
          </cell>
          <cell r="D946" t="str">
            <v>ALVAREZ OPAZO JAIME FERNANDO</v>
          </cell>
          <cell r="E946" t="str">
            <v>FAD310002</v>
          </cell>
          <cell r="F946">
            <v>44</v>
          </cell>
          <cell r="G946">
            <v>30</v>
          </cell>
          <cell r="H946" t="str">
            <v>JAIALVAREZ@UTALCA.CL</v>
          </cell>
        </row>
        <row r="947">
          <cell r="B947">
            <v>16092616</v>
          </cell>
          <cell r="C947">
            <v>3</v>
          </cell>
          <cell r="D947" t="str">
            <v>HELBIG SOTO FABIOLA MARIA DEL</v>
          </cell>
          <cell r="E947" t="str">
            <v>FPS310002</v>
          </cell>
          <cell r="F947">
            <v>44</v>
          </cell>
          <cell r="G947">
            <v>30</v>
          </cell>
          <cell r="H947" t="str">
            <v>FABIOLA.HELBIG@UTALCA.CL</v>
          </cell>
        </row>
        <row r="948">
          <cell r="B948">
            <v>16093244</v>
          </cell>
          <cell r="C948">
            <v>9</v>
          </cell>
          <cell r="D948" t="str">
            <v>MUÑOZ SANDOVAL CECILIA DE LOS</v>
          </cell>
          <cell r="E948" t="str">
            <v>FOD320001</v>
          </cell>
          <cell r="F948">
            <v>33</v>
          </cell>
          <cell r="G948">
            <v>30</v>
          </cell>
          <cell r="H948" t="str">
            <v>CEMUNOZ@UTALCA.CL</v>
          </cell>
        </row>
        <row r="949">
          <cell r="B949">
            <v>16098726</v>
          </cell>
          <cell r="C949" t="str">
            <v>K</v>
          </cell>
          <cell r="D949" t="str">
            <v>CARREÑO BERNALES CRISS GABRIEL</v>
          </cell>
          <cell r="E949" t="str">
            <v>FCI320004</v>
          </cell>
          <cell r="F949">
            <v>44</v>
          </cell>
          <cell r="G949">
            <v>30</v>
          </cell>
          <cell r="H949" t="str">
            <v>CRICARRENO@UTALCA.CL</v>
          </cell>
        </row>
        <row r="950">
          <cell r="B950">
            <v>16113806</v>
          </cell>
          <cell r="C950">
            <v>1</v>
          </cell>
          <cell r="D950" t="str">
            <v>NORAMBUENA RETAMAL CAROLINE MA</v>
          </cell>
          <cell r="E950" t="str">
            <v>VDE400012</v>
          </cell>
          <cell r="F950">
            <v>44</v>
          </cell>
          <cell r="G950">
            <v>30</v>
          </cell>
          <cell r="H950" t="str">
            <v>CANORAMBUENA@UTALCA.CL</v>
          </cell>
        </row>
        <row r="951">
          <cell r="B951">
            <v>16119636</v>
          </cell>
          <cell r="C951">
            <v>3</v>
          </cell>
          <cell r="D951" t="str">
            <v>PEREIRA MARIN ROBERTO HERNAN</v>
          </cell>
          <cell r="E951" t="str">
            <v>VRF400008</v>
          </cell>
          <cell r="F951">
            <v>44</v>
          </cell>
          <cell r="G951">
            <v>30</v>
          </cell>
          <cell r="H951" t="str">
            <v>RPEREIRA@UTALCA.CL</v>
          </cell>
        </row>
        <row r="952">
          <cell r="B952">
            <v>16130328</v>
          </cell>
          <cell r="C952">
            <v>3</v>
          </cell>
          <cell r="D952" t="str">
            <v>SLATER CLEMENT ROY LAWRENCE</v>
          </cell>
          <cell r="E952" t="str">
            <v/>
          </cell>
          <cell r="F952">
            <v>44</v>
          </cell>
          <cell r="G952">
            <v>30</v>
          </cell>
          <cell r="H952" t="str">
            <v>ROY.SLATER@UTALCA.CL</v>
          </cell>
        </row>
        <row r="953">
          <cell r="B953">
            <v>16140710</v>
          </cell>
          <cell r="C953">
            <v>0</v>
          </cell>
          <cell r="D953" t="str">
            <v>VALDERRAMA BASTIA RICARDO ANTO</v>
          </cell>
          <cell r="E953" t="str">
            <v>FED310002</v>
          </cell>
          <cell r="F953">
            <v>44</v>
          </cell>
          <cell r="G953">
            <v>30</v>
          </cell>
          <cell r="H953" t="str">
            <v>RVALDERRAMA@UTALCA.CL</v>
          </cell>
        </row>
        <row r="954">
          <cell r="B954">
            <v>16148748</v>
          </cell>
          <cell r="C954">
            <v>1</v>
          </cell>
          <cell r="D954" t="str">
            <v>RAMIREZ PACHECO DAYSI VERONICA</v>
          </cell>
          <cell r="E954" t="str">
            <v>FCS320009</v>
          </cell>
          <cell r="F954">
            <v>44</v>
          </cell>
          <cell r="G954">
            <v>30</v>
          </cell>
          <cell r="H954" t="str">
            <v>DARAMIREZ@UTALCA.CL</v>
          </cell>
        </row>
        <row r="955">
          <cell r="B955">
            <v>16156445</v>
          </cell>
          <cell r="C955">
            <v>1</v>
          </cell>
          <cell r="D955" t="str">
            <v>GRANDON AVENDAÑO MADERLINE LIS</v>
          </cell>
          <cell r="E955" t="str">
            <v>VRF400009</v>
          </cell>
          <cell r="F955">
            <v>44</v>
          </cell>
          <cell r="G955">
            <v>30</v>
          </cell>
          <cell r="H955" t="str">
            <v>MGRANDON@UTALCA.CL</v>
          </cell>
        </row>
        <row r="956">
          <cell r="B956">
            <v>16192576</v>
          </cell>
          <cell r="C956">
            <v>4</v>
          </cell>
          <cell r="D956" t="str">
            <v>PAVEZ PARDO ALEJANDRA DENISSE</v>
          </cell>
          <cell r="E956" t="str">
            <v>FED310002</v>
          </cell>
          <cell r="F956">
            <v>44</v>
          </cell>
          <cell r="G956">
            <v>30</v>
          </cell>
          <cell r="H956" t="str">
            <v>ALEJANDRA.PAVEZ@UTALCA.CL</v>
          </cell>
        </row>
        <row r="957">
          <cell r="B957">
            <v>16204534</v>
          </cell>
          <cell r="C957">
            <v>2</v>
          </cell>
          <cell r="D957" t="str">
            <v>GATICA CUEVAS JESSICA CARINA</v>
          </cell>
          <cell r="E957" t="str">
            <v>IMF300001</v>
          </cell>
          <cell r="F957">
            <v>44</v>
          </cell>
          <cell r="G957">
            <v>30</v>
          </cell>
          <cell r="H957" t="str">
            <v>JGATICA@UTALCA.CL</v>
          </cell>
        </row>
        <row r="958">
          <cell r="B958">
            <v>16208252</v>
          </cell>
          <cell r="C958">
            <v>3</v>
          </cell>
          <cell r="D958" t="str">
            <v>FAUNDEZ MORALES FRANCISCA MICH</v>
          </cell>
          <cell r="E958" t="str">
            <v/>
          </cell>
          <cell r="F958">
            <v>11</v>
          </cell>
          <cell r="G958">
            <v>30</v>
          </cell>
          <cell r="H958" t="str">
            <v>FRANCISCA.FAUNDEZ@UTALCA.CL</v>
          </cell>
        </row>
        <row r="959">
          <cell r="B959">
            <v>16211372</v>
          </cell>
          <cell r="C959">
            <v>0</v>
          </cell>
          <cell r="D959" t="str">
            <v>VASQUEZ PEREZ GABRIELA ANDREA</v>
          </cell>
          <cell r="E959" t="str">
            <v>FOD320003</v>
          </cell>
          <cell r="F959">
            <v>11</v>
          </cell>
          <cell r="G959">
            <v>30</v>
          </cell>
          <cell r="H959" t="str">
            <v>GVASQUEZ@UTALCA.CL</v>
          </cell>
        </row>
        <row r="960">
          <cell r="B960">
            <v>16239846</v>
          </cell>
          <cell r="C960">
            <v>6</v>
          </cell>
          <cell r="D960" t="str">
            <v>CARTES SANHUEZA JORGE ANDRES</v>
          </cell>
          <cell r="E960" t="str">
            <v>FAD310002</v>
          </cell>
          <cell r="F960">
            <v>44</v>
          </cell>
          <cell r="G960">
            <v>30</v>
          </cell>
          <cell r="H960" t="str">
            <v>JCARTES@UTALCA.CL</v>
          </cell>
        </row>
        <row r="961">
          <cell r="B961">
            <v>16252055</v>
          </cell>
          <cell r="C961">
            <v>5</v>
          </cell>
          <cell r="D961" t="str">
            <v>ESPINOZA ESPINOZA JORGE EDUARD</v>
          </cell>
          <cell r="E961" t="str">
            <v>IMF300001</v>
          </cell>
          <cell r="F961">
            <v>44</v>
          </cell>
          <cell r="G961">
            <v>30</v>
          </cell>
          <cell r="H961" t="str">
            <v>JOESPINOZA@UTALCA.CL</v>
          </cell>
        </row>
        <row r="962">
          <cell r="B962">
            <v>16255814</v>
          </cell>
          <cell r="C962">
            <v>5</v>
          </cell>
          <cell r="D962" t="str">
            <v>MUÑOZ TAPIA KATERINNE ELIZABET</v>
          </cell>
          <cell r="E962" t="str">
            <v>VRF400002</v>
          </cell>
          <cell r="F962">
            <v>33</v>
          </cell>
          <cell r="G962">
            <v>30</v>
          </cell>
          <cell r="H962" t="str">
            <v>KAMUNOZ@UTALCA.CL</v>
          </cell>
        </row>
        <row r="963">
          <cell r="B963">
            <v>16255911</v>
          </cell>
          <cell r="C963">
            <v>7</v>
          </cell>
          <cell r="D963" t="str">
            <v>LOPEZ ESPINOZA MARCELO SEBASTI</v>
          </cell>
          <cell r="E963" t="str">
            <v>FOD320001</v>
          </cell>
          <cell r="F963">
            <v>32</v>
          </cell>
          <cell r="G963">
            <v>30</v>
          </cell>
          <cell r="H963" t="str">
            <v>MARCLOPEZ@UTALCA.CL</v>
          </cell>
        </row>
        <row r="964">
          <cell r="B964">
            <v>16255924</v>
          </cell>
          <cell r="C964">
            <v>9</v>
          </cell>
          <cell r="D964" t="str">
            <v>VALENZUELA MONSALVEZ CLAUDIO A</v>
          </cell>
          <cell r="E964" t="str">
            <v>FCS310007</v>
          </cell>
          <cell r="F964">
            <v>44</v>
          </cell>
          <cell r="G964">
            <v>30</v>
          </cell>
          <cell r="H964" t="str">
            <v>CLAUDIO.VALENZUELA@UTALCA.CL</v>
          </cell>
        </row>
        <row r="965">
          <cell r="B965">
            <v>16261214</v>
          </cell>
          <cell r="C965" t="str">
            <v>K</v>
          </cell>
          <cell r="D965" t="str">
            <v>CANALES BECERRA FRANCISCA LORE</v>
          </cell>
          <cell r="E965" t="str">
            <v>FAM340001</v>
          </cell>
          <cell r="F965">
            <v>44</v>
          </cell>
          <cell r="G965">
            <v>30</v>
          </cell>
          <cell r="H965" t="str">
            <v>FCANALES@UTALCA.CL</v>
          </cell>
        </row>
        <row r="966">
          <cell r="B966">
            <v>16269493</v>
          </cell>
          <cell r="C966">
            <v>6</v>
          </cell>
          <cell r="D966" t="str">
            <v>REVECO ROJAS EDITH CATALINA</v>
          </cell>
          <cell r="E966" t="str">
            <v>VGE400019</v>
          </cell>
          <cell r="F966">
            <v>44</v>
          </cell>
          <cell r="G966">
            <v>30</v>
          </cell>
          <cell r="H966" t="str">
            <v>EREVECO@UTALCA.CL</v>
          </cell>
        </row>
        <row r="967">
          <cell r="B967">
            <v>16269704</v>
          </cell>
          <cell r="C967">
            <v>8</v>
          </cell>
          <cell r="D967" t="str">
            <v>SUAREZ HIDALGO FELIPE IGNACIO</v>
          </cell>
          <cell r="E967" t="str">
            <v>FCS310007</v>
          </cell>
          <cell r="F967">
            <v>44</v>
          </cell>
          <cell r="G967">
            <v>30</v>
          </cell>
          <cell r="H967" t="str">
            <v>FSUAREZ@UTALCA.CL</v>
          </cell>
        </row>
        <row r="968">
          <cell r="B968">
            <v>16269781</v>
          </cell>
          <cell r="C968">
            <v>1</v>
          </cell>
          <cell r="D968" t="str">
            <v>SUAREZ MOLINA OMAR MANUEL</v>
          </cell>
          <cell r="E968" t="str">
            <v>FAD310001</v>
          </cell>
          <cell r="F968">
            <v>33</v>
          </cell>
          <cell r="G968">
            <v>30</v>
          </cell>
          <cell r="H968" t="str">
            <v>OMAR.SUAREZ@UTALCA.CL</v>
          </cell>
        </row>
        <row r="969">
          <cell r="B969">
            <v>16269831</v>
          </cell>
          <cell r="C969">
            <v>1</v>
          </cell>
          <cell r="D969" t="str">
            <v>ARRIAGADA SEPULVEDA CARLOS AND</v>
          </cell>
          <cell r="E969" t="str">
            <v>VAC400081</v>
          </cell>
          <cell r="F969">
            <v>44</v>
          </cell>
          <cell r="G969">
            <v>30</v>
          </cell>
          <cell r="H969" t="str">
            <v>CARARRIAGADA@UTALCA.CL</v>
          </cell>
        </row>
        <row r="970">
          <cell r="B970">
            <v>16269837</v>
          </cell>
          <cell r="C970">
            <v>0</v>
          </cell>
          <cell r="D970" t="str">
            <v>LOBOS VALENZUELA PAMELA ANDREA</v>
          </cell>
          <cell r="E970" t="str">
            <v>FCS200001</v>
          </cell>
          <cell r="F970">
            <v>44</v>
          </cell>
          <cell r="G970">
            <v>30</v>
          </cell>
          <cell r="H970" t="str">
            <v>PAMELA.LOBOS@UTALCA.CL</v>
          </cell>
        </row>
        <row r="971">
          <cell r="B971">
            <v>16269840</v>
          </cell>
          <cell r="C971">
            <v>0</v>
          </cell>
          <cell r="D971" t="str">
            <v>ROJAS ESPINOZA LUIS DANIEL</v>
          </cell>
          <cell r="E971" t="str">
            <v/>
          </cell>
          <cell r="F971">
            <v>44</v>
          </cell>
          <cell r="G971">
            <v>30</v>
          </cell>
          <cell r="H971" t="str">
            <v>LUIS.ROJAS@UTALCA.CL</v>
          </cell>
        </row>
        <row r="972">
          <cell r="B972">
            <v>16270575</v>
          </cell>
          <cell r="C972" t="str">
            <v>K</v>
          </cell>
          <cell r="D972" t="str">
            <v>VALENZUELA HERNANDEZ MARGARITA</v>
          </cell>
          <cell r="E972" t="str">
            <v>VRF100003</v>
          </cell>
          <cell r="F972">
            <v>44</v>
          </cell>
          <cell r="G972">
            <v>30</v>
          </cell>
          <cell r="H972" t="str">
            <v>MARGVALENZUELA@UTALCA.CL</v>
          </cell>
        </row>
        <row r="973">
          <cell r="B973">
            <v>16270756</v>
          </cell>
          <cell r="C973">
            <v>6</v>
          </cell>
          <cell r="D973" t="str">
            <v>DE LA FUENTE BURDILES CLAUDIA</v>
          </cell>
          <cell r="E973" t="str">
            <v>FCI320009</v>
          </cell>
          <cell r="F973">
            <v>44</v>
          </cell>
          <cell r="G973">
            <v>30</v>
          </cell>
          <cell r="H973" t="str">
            <v>CLAUDIA.DELAFUENTE@UTALCA.CL</v>
          </cell>
        </row>
        <row r="974">
          <cell r="B974">
            <v>16273108</v>
          </cell>
          <cell r="C974">
            <v>4</v>
          </cell>
          <cell r="D974" t="str">
            <v>NAVARRETE PARRA SIMON ALEJANDR</v>
          </cell>
          <cell r="E974" t="str">
            <v>FCS320001</v>
          </cell>
          <cell r="F974">
            <v>44</v>
          </cell>
          <cell r="G974">
            <v>30</v>
          </cell>
          <cell r="H974" t="str">
            <v>SNAVARRETEP@UTALCA.CL</v>
          </cell>
        </row>
        <row r="975">
          <cell r="B975">
            <v>16274039</v>
          </cell>
          <cell r="C975">
            <v>3</v>
          </cell>
          <cell r="D975" t="str">
            <v>CHAMORRO GONZALEZ SANDRA</v>
          </cell>
          <cell r="E975" t="str">
            <v>VDE400001</v>
          </cell>
          <cell r="F975">
            <v>44</v>
          </cell>
          <cell r="G975">
            <v>30</v>
          </cell>
          <cell r="H975" t="str">
            <v>SACHAMORRO@UTALCA.CL</v>
          </cell>
        </row>
        <row r="976">
          <cell r="B976">
            <v>16274323</v>
          </cell>
          <cell r="C976">
            <v>6</v>
          </cell>
          <cell r="D976" t="str">
            <v>GAJARDO ASBUN KAREN PAULINA</v>
          </cell>
          <cell r="E976" t="str">
            <v>FED310002</v>
          </cell>
          <cell r="F976">
            <v>44</v>
          </cell>
          <cell r="G976">
            <v>30</v>
          </cell>
          <cell r="H976" t="str">
            <v>KAREN.GAJARDO@UTALCA.CL</v>
          </cell>
        </row>
        <row r="977">
          <cell r="B977">
            <v>16274713</v>
          </cell>
          <cell r="C977">
            <v>4</v>
          </cell>
          <cell r="D977" t="str">
            <v>TRONCOSO RUIZ ROMINA DEL CARME</v>
          </cell>
          <cell r="E977" t="str">
            <v>FCS310007</v>
          </cell>
          <cell r="F977">
            <v>44</v>
          </cell>
          <cell r="G977">
            <v>30</v>
          </cell>
          <cell r="H977" t="str">
            <v>ROMINA.TRONCOSO@UTALCA.CL</v>
          </cell>
        </row>
        <row r="978">
          <cell r="B978">
            <v>16279558</v>
          </cell>
          <cell r="C978">
            <v>9</v>
          </cell>
          <cell r="D978" t="str">
            <v>CARTAGENA SALAZAR DANIELA MARC</v>
          </cell>
          <cell r="E978" t="str">
            <v>VDE400001</v>
          </cell>
          <cell r="F978">
            <v>44</v>
          </cell>
          <cell r="G978">
            <v>30</v>
          </cell>
          <cell r="H978" t="str">
            <v>DANIELA.CARTAGENA@UTALCA.CL</v>
          </cell>
        </row>
        <row r="979">
          <cell r="B979">
            <v>16283069</v>
          </cell>
          <cell r="C979">
            <v>4</v>
          </cell>
          <cell r="D979" t="str">
            <v>FUENTES SALCEDO FRANCISCO ANDR</v>
          </cell>
          <cell r="E979" t="str">
            <v>FCI320004</v>
          </cell>
          <cell r="F979">
            <v>44</v>
          </cell>
          <cell r="G979">
            <v>30</v>
          </cell>
          <cell r="H979" t="str">
            <v>FRANCISCOFUENTES@UTALCA.CL</v>
          </cell>
        </row>
        <row r="980">
          <cell r="B980">
            <v>16289767</v>
          </cell>
          <cell r="C980">
            <v>5</v>
          </cell>
          <cell r="D980" t="str">
            <v>HERNANDEZ HERNANDEZ ANA PATRIC</v>
          </cell>
          <cell r="E980" t="str">
            <v>VDE400011</v>
          </cell>
          <cell r="F980">
            <v>44</v>
          </cell>
          <cell r="G980">
            <v>30</v>
          </cell>
          <cell r="H980" t="str">
            <v>AHERNANDEZ@UTALCA.CL</v>
          </cell>
        </row>
        <row r="981">
          <cell r="B981">
            <v>16290468</v>
          </cell>
          <cell r="C981" t="str">
            <v>K</v>
          </cell>
          <cell r="D981" t="str">
            <v>CONTRERAS SAN MARTIN BAVIERA S</v>
          </cell>
          <cell r="E981" t="str">
            <v>VGE400053</v>
          </cell>
          <cell r="F981">
            <v>44</v>
          </cell>
          <cell r="G981">
            <v>30</v>
          </cell>
          <cell r="H981" t="str">
            <v>BACONTRERAS@UTALCA.CL</v>
          </cell>
        </row>
        <row r="982">
          <cell r="B982">
            <v>16290590</v>
          </cell>
          <cell r="C982">
            <v>2</v>
          </cell>
          <cell r="D982" t="str">
            <v>GUAJARDO VALENZUELA BEATRIZ BL</v>
          </cell>
          <cell r="E982" t="str">
            <v>FAM340001</v>
          </cell>
          <cell r="F982">
            <v>44</v>
          </cell>
          <cell r="G982">
            <v>30</v>
          </cell>
          <cell r="H982" t="str">
            <v>BEATRIZ.GUAJARDO@UTALCA.CL</v>
          </cell>
        </row>
        <row r="983">
          <cell r="B983">
            <v>16290846</v>
          </cell>
          <cell r="C983">
            <v>4</v>
          </cell>
          <cell r="D983" t="str">
            <v>OLIVOS PEREZ AMBROSIO CARLOS</v>
          </cell>
          <cell r="E983" t="str">
            <v>FCI320004</v>
          </cell>
          <cell r="F983">
            <v>44</v>
          </cell>
          <cell r="G983">
            <v>30</v>
          </cell>
          <cell r="H983" t="str">
            <v>AOLIVOS@UTALCA.CL</v>
          </cell>
        </row>
        <row r="984">
          <cell r="B984">
            <v>16292862</v>
          </cell>
          <cell r="C984">
            <v>7</v>
          </cell>
          <cell r="D984" t="str">
            <v>CANALES ARAVENA EDUARDO ANTONI</v>
          </cell>
          <cell r="E984" t="str">
            <v>FOD200001</v>
          </cell>
          <cell r="F984">
            <v>44</v>
          </cell>
          <cell r="G984">
            <v>30</v>
          </cell>
          <cell r="H984" t="str">
            <v>ECANALES@UTALCA.CL</v>
          </cell>
        </row>
        <row r="985">
          <cell r="B985">
            <v>16294026</v>
          </cell>
          <cell r="C985">
            <v>0</v>
          </cell>
          <cell r="D985" t="str">
            <v>LOYOLA MATAMALA CAROLINA ESTEF</v>
          </cell>
          <cell r="E985" t="str">
            <v>FCS310002</v>
          </cell>
          <cell r="F985">
            <v>44</v>
          </cell>
          <cell r="G985">
            <v>30</v>
          </cell>
          <cell r="H985" t="str">
            <v>CAROLINA.LOYOLA@UTALCA.CL</v>
          </cell>
        </row>
        <row r="986">
          <cell r="B986">
            <v>16294065</v>
          </cell>
          <cell r="C986">
            <v>1</v>
          </cell>
          <cell r="D986" t="str">
            <v>VERGARA CISTERNAS RODRIGO ALEJ</v>
          </cell>
          <cell r="E986" t="str">
            <v/>
          </cell>
          <cell r="F986">
            <v>40</v>
          </cell>
          <cell r="G986">
            <v>30</v>
          </cell>
          <cell r="H986" t="str">
            <v>R.VERGARA@UTALCA.CL</v>
          </cell>
        </row>
        <row r="987">
          <cell r="B987">
            <v>16294313</v>
          </cell>
          <cell r="C987">
            <v>8</v>
          </cell>
          <cell r="D987" t="str">
            <v>YAÑEZ ASTUDILLO FRANCISCO EDUA</v>
          </cell>
          <cell r="E987" t="str">
            <v>FAD310004</v>
          </cell>
          <cell r="F987">
            <v>44</v>
          </cell>
          <cell r="G987">
            <v>30</v>
          </cell>
          <cell r="H987" t="str">
            <v>FRYANEZ@UTALCA.CL</v>
          </cell>
        </row>
        <row r="988">
          <cell r="B988">
            <v>16294778</v>
          </cell>
          <cell r="C988">
            <v>8</v>
          </cell>
          <cell r="D988" t="str">
            <v>JARA ALMUNA JUAN JOSE</v>
          </cell>
          <cell r="E988" t="str">
            <v>FED310002</v>
          </cell>
          <cell r="F988">
            <v>44</v>
          </cell>
          <cell r="G988">
            <v>30</v>
          </cell>
          <cell r="H988" t="str">
            <v>JUANJARA@UTALCA.CL</v>
          </cell>
        </row>
        <row r="989">
          <cell r="B989">
            <v>16298026</v>
          </cell>
          <cell r="C989">
            <v>2</v>
          </cell>
          <cell r="D989" t="str">
            <v>ARELLANO ARRIAGADA ALVARO IGNA</v>
          </cell>
          <cell r="E989" t="str">
            <v>FOD310001</v>
          </cell>
          <cell r="F989">
            <v>44</v>
          </cell>
          <cell r="G989">
            <v>30</v>
          </cell>
          <cell r="H989" t="str">
            <v>ALARELLANO@UTALCA.CL</v>
          </cell>
        </row>
        <row r="990">
          <cell r="B990">
            <v>16298160</v>
          </cell>
          <cell r="C990">
            <v>9</v>
          </cell>
          <cell r="D990" t="str">
            <v>BESOAIN PINO FELIPE ANDRES</v>
          </cell>
          <cell r="E990" t="str">
            <v>FCI320009</v>
          </cell>
          <cell r="F990">
            <v>44</v>
          </cell>
          <cell r="G990">
            <v>30</v>
          </cell>
          <cell r="H990" t="str">
            <v>FBESOAIN@UTALCA.CL</v>
          </cell>
        </row>
        <row r="991">
          <cell r="B991">
            <v>16298280</v>
          </cell>
          <cell r="C991" t="str">
            <v>K</v>
          </cell>
          <cell r="D991" t="str">
            <v>MARTINEZ MONDACA NATALIA ARACE</v>
          </cell>
          <cell r="E991" t="str">
            <v>VRF400009</v>
          </cell>
          <cell r="F991">
            <v>44</v>
          </cell>
          <cell r="G991">
            <v>30</v>
          </cell>
          <cell r="H991" t="str">
            <v>NMARTINEZ@UTALCA.CL</v>
          </cell>
        </row>
        <row r="992">
          <cell r="B992">
            <v>16298307</v>
          </cell>
          <cell r="C992">
            <v>5</v>
          </cell>
          <cell r="D992" t="str">
            <v>SAAVEDRA SAAVEDRA CAROL STEFAN</v>
          </cell>
          <cell r="E992" t="str">
            <v/>
          </cell>
          <cell r="F992">
            <v>44</v>
          </cell>
          <cell r="G992">
            <v>30</v>
          </cell>
          <cell r="H992" t="str">
            <v>CAROLSAAVEDRA@UTALCA.CL</v>
          </cell>
        </row>
        <row r="993">
          <cell r="B993">
            <v>16298359</v>
          </cell>
          <cell r="C993">
            <v>8</v>
          </cell>
          <cell r="D993" t="str">
            <v>VALDES ESPINOZA ANDREA VALESKA</v>
          </cell>
          <cell r="E993" t="str">
            <v>VDE400009</v>
          </cell>
          <cell r="F993">
            <v>44</v>
          </cell>
          <cell r="G993">
            <v>29</v>
          </cell>
          <cell r="H993" t="str">
            <v>ANVALDES@UTALCA.CL</v>
          </cell>
        </row>
        <row r="994">
          <cell r="B994">
            <v>16298661</v>
          </cell>
          <cell r="C994">
            <v>9</v>
          </cell>
          <cell r="D994" t="str">
            <v>RAMIREZ VASQUEZ SERGIO ANTONIO</v>
          </cell>
          <cell r="E994" t="str">
            <v>ADC021005</v>
          </cell>
          <cell r="F994">
            <v>44</v>
          </cell>
          <cell r="G994">
            <v>30</v>
          </cell>
          <cell r="H994" t="str">
            <v>SERAMIREZ@UTALCA.CL</v>
          </cell>
        </row>
        <row r="995">
          <cell r="B995">
            <v>16298715</v>
          </cell>
          <cell r="C995">
            <v>1</v>
          </cell>
          <cell r="D995" t="str">
            <v>FRAILE MUÑOZ MARLENNE IRENE</v>
          </cell>
          <cell r="E995" t="str">
            <v>FAM310001</v>
          </cell>
          <cell r="F995">
            <v>44</v>
          </cell>
          <cell r="G995">
            <v>30</v>
          </cell>
          <cell r="H995" t="str">
            <v>MARLENNE.FRAILE@GMAIL.COM</v>
          </cell>
        </row>
        <row r="996">
          <cell r="B996">
            <v>16299001</v>
          </cell>
          <cell r="C996">
            <v>2</v>
          </cell>
          <cell r="D996" t="str">
            <v>REYES BASTIAS CONSTANZA JAVIER</v>
          </cell>
          <cell r="E996" t="str">
            <v>FEN310002</v>
          </cell>
          <cell r="F996">
            <v>44</v>
          </cell>
          <cell r="G996">
            <v>30</v>
          </cell>
          <cell r="H996" t="str">
            <v>COREYES@UTALCA.CL</v>
          </cell>
        </row>
        <row r="997">
          <cell r="B997">
            <v>16299114</v>
          </cell>
          <cell r="C997">
            <v>0</v>
          </cell>
          <cell r="D997" t="str">
            <v>MOSCOSO DOMINGUEZ MANUEL  ALEJ</v>
          </cell>
          <cell r="E997" t="str">
            <v/>
          </cell>
          <cell r="F997">
            <v>44</v>
          </cell>
          <cell r="G997">
            <v>30</v>
          </cell>
          <cell r="H997" t="str">
            <v>MMOSCOSO@UTALCA.CL</v>
          </cell>
        </row>
        <row r="998">
          <cell r="B998">
            <v>16299229</v>
          </cell>
          <cell r="C998">
            <v>5</v>
          </cell>
          <cell r="D998" t="str">
            <v>PIZARRO BRIONES JEANNETTE MACA</v>
          </cell>
          <cell r="E998" t="str">
            <v>FCS200001</v>
          </cell>
          <cell r="F998">
            <v>44</v>
          </cell>
          <cell r="G998">
            <v>29</v>
          </cell>
          <cell r="H998" t="str">
            <v>JEPIZARRO@UTALCA.CL</v>
          </cell>
        </row>
        <row r="999">
          <cell r="B999">
            <v>16299343</v>
          </cell>
          <cell r="C999">
            <v>7</v>
          </cell>
          <cell r="D999" t="str">
            <v>JOFRE MORENO ALEJANDRO ARIEL</v>
          </cell>
          <cell r="E999" t="str">
            <v>FCI320007</v>
          </cell>
          <cell r="F999">
            <v>44</v>
          </cell>
          <cell r="G999">
            <v>30</v>
          </cell>
          <cell r="H999" t="str">
            <v>ALEJANDRO.JOFRE@UTALCA.CL</v>
          </cell>
        </row>
        <row r="1000">
          <cell r="B1000">
            <v>16302264</v>
          </cell>
          <cell r="C1000">
            <v>8</v>
          </cell>
          <cell r="D1000" t="str">
            <v>PLAZA MUÑOZ DAVID  RICARDO</v>
          </cell>
          <cell r="E1000" t="str">
            <v>IMF300001</v>
          </cell>
          <cell r="F1000">
            <v>44</v>
          </cell>
          <cell r="G1000">
            <v>30</v>
          </cell>
          <cell r="H1000" t="str">
            <v>DPLAZA@UTALCA.CL</v>
          </cell>
        </row>
        <row r="1001">
          <cell r="B1001">
            <v>16335038</v>
          </cell>
          <cell r="C1001">
            <v>6</v>
          </cell>
          <cell r="D1001" t="str">
            <v>ROJAS COTAL JONATHAN ALEJANDRO</v>
          </cell>
          <cell r="E1001" t="str">
            <v>ADC021005</v>
          </cell>
          <cell r="F1001">
            <v>44</v>
          </cell>
          <cell r="G1001">
            <v>30</v>
          </cell>
          <cell r="H1001" t="str">
            <v>JONATHANROJAS@UTALCA.CL</v>
          </cell>
        </row>
        <row r="1002">
          <cell r="B1002">
            <v>16336754</v>
          </cell>
          <cell r="C1002">
            <v>8</v>
          </cell>
          <cell r="D1002" t="str">
            <v>ARELLANO IBAR CARLA ARLETTE</v>
          </cell>
          <cell r="E1002" t="str">
            <v>VRF400003</v>
          </cell>
          <cell r="F1002">
            <v>44</v>
          </cell>
          <cell r="G1002">
            <v>30</v>
          </cell>
          <cell r="H1002" t="str">
            <v>CARELLANO@UTALCA.CL</v>
          </cell>
        </row>
        <row r="1003">
          <cell r="B1003">
            <v>16336782</v>
          </cell>
          <cell r="C1003">
            <v>3</v>
          </cell>
          <cell r="D1003" t="str">
            <v>UBAL RIVAS GONZALO MATIAS</v>
          </cell>
          <cell r="E1003" t="str">
            <v>ADC030185</v>
          </cell>
          <cell r="F1003">
            <v>44</v>
          </cell>
          <cell r="G1003">
            <v>30</v>
          </cell>
          <cell r="H1003" t="str">
            <v>GUBAL@UTALCA.CL</v>
          </cell>
        </row>
        <row r="1004">
          <cell r="B1004">
            <v>16350400</v>
          </cell>
          <cell r="C1004">
            <v>6</v>
          </cell>
          <cell r="D1004" t="str">
            <v>ESPINOZA ROBLES CAROLINA ELIZA</v>
          </cell>
          <cell r="E1004" t="str">
            <v>FCS320001</v>
          </cell>
          <cell r="F1004">
            <v>33</v>
          </cell>
          <cell r="G1004">
            <v>30</v>
          </cell>
          <cell r="H1004" t="str">
            <v>CARESPINOZA@UTALCA.CL</v>
          </cell>
        </row>
        <row r="1005">
          <cell r="B1005">
            <v>16358641</v>
          </cell>
          <cell r="C1005" t="str">
            <v>K</v>
          </cell>
          <cell r="D1005" t="str">
            <v>LARRUCEA SAN MARTIN CARLO ANDR</v>
          </cell>
          <cell r="E1005" t="str">
            <v>FOD320001</v>
          </cell>
          <cell r="F1005">
            <v>13</v>
          </cell>
          <cell r="G1005">
            <v>30</v>
          </cell>
          <cell r="H1005" t="str">
            <v>CLARRUCEA@UTALCA.CL</v>
          </cell>
        </row>
        <row r="1006">
          <cell r="B1006">
            <v>16383968</v>
          </cell>
          <cell r="C1006">
            <v>7</v>
          </cell>
          <cell r="D1006" t="str">
            <v>LEITON MUÑOZ ANDREA JAZMIN</v>
          </cell>
          <cell r="E1006" t="str">
            <v>FCS320009</v>
          </cell>
          <cell r="F1006">
            <v>44</v>
          </cell>
          <cell r="G1006">
            <v>30</v>
          </cell>
          <cell r="H1006" t="str">
            <v>ALEITON@UTALCA.CL</v>
          </cell>
        </row>
        <row r="1007">
          <cell r="B1007">
            <v>16393830</v>
          </cell>
          <cell r="C1007">
            <v>8</v>
          </cell>
          <cell r="D1007" t="str">
            <v>YAÑEZ VALDES JOSE GABRIEL</v>
          </cell>
          <cell r="E1007" t="str">
            <v>FAM200001</v>
          </cell>
          <cell r="F1007">
            <v>44</v>
          </cell>
          <cell r="G1007">
            <v>30</v>
          </cell>
          <cell r="H1007" t="str">
            <v>JOSE.YANEZ@UTALCA.CL</v>
          </cell>
        </row>
        <row r="1008">
          <cell r="B1008">
            <v>16422978</v>
          </cell>
          <cell r="C1008">
            <v>5</v>
          </cell>
          <cell r="D1008" t="str">
            <v>FREDES HENRÍQUEZ CAROLA NATALI</v>
          </cell>
          <cell r="E1008" t="str">
            <v>FAD310004</v>
          </cell>
          <cell r="F1008">
            <v>22</v>
          </cell>
          <cell r="G1008">
            <v>30</v>
          </cell>
          <cell r="H1008" t="str">
            <v>CAROLA.FREDES@UTALCA.CL</v>
          </cell>
        </row>
        <row r="1009">
          <cell r="B1009">
            <v>16429070</v>
          </cell>
          <cell r="C1009">
            <v>0</v>
          </cell>
          <cell r="D1009" t="str">
            <v>PERALTA CLEMENT PAMELA ANDREA</v>
          </cell>
          <cell r="E1009" t="str">
            <v>VGE400052</v>
          </cell>
          <cell r="F1009">
            <v>44</v>
          </cell>
          <cell r="G1009">
            <v>30</v>
          </cell>
          <cell r="H1009" t="str">
            <v>PAMELA.PERALTA@UTALCA.CL</v>
          </cell>
        </row>
        <row r="1010">
          <cell r="B1010">
            <v>16429870</v>
          </cell>
          <cell r="C1010">
            <v>1</v>
          </cell>
          <cell r="D1010" t="str">
            <v>VEGA MUÑOZ MARCELA NATALIA</v>
          </cell>
          <cell r="E1010" t="str">
            <v>FCI200001</v>
          </cell>
          <cell r="F1010">
            <v>44</v>
          </cell>
          <cell r="G1010">
            <v>30</v>
          </cell>
          <cell r="H1010" t="str">
            <v>MARCELA.VEGA@UTALCA.CL</v>
          </cell>
        </row>
        <row r="1011">
          <cell r="B1011">
            <v>16433438</v>
          </cell>
          <cell r="C1011">
            <v>4</v>
          </cell>
          <cell r="D1011" t="str">
            <v>ORTIZ SANDOVAL MANUEL JESUS</v>
          </cell>
          <cell r="E1011" t="str">
            <v/>
          </cell>
          <cell r="F1011">
            <v>44</v>
          </cell>
          <cell r="G1011">
            <v>30</v>
          </cell>
          <cell r="H1011" t="str">
            <v>MANUEL.ORTIZ@UTALCA.CL</v>
          </cell>
        </row>
        <row r="1012">
          <cell r="B1012">
            <v>16448282</v>
          </cell>
          <cell r="C1012">
            <v>0</v>
          </cell>
          <cell r="D1012" t="str">
            <v>RUBIO MATURANA ROMINA NATALIA</v>
          </cell>
          <cell r="E1012" t="str">
            <v>ADC040001</v>
          </cell>
          <cell r="F1012">
            <v>44</v>
          </cell>
          <cell r="G1012">
            <v>30</v>
          </cell>
          <cell r="H1012" t="str">
            <v>RRUBIO@UTALCA.CL</v>
          </cell>
        </row>
        <row r="1013">
          <cell r="B1013">
            <v>16453752</v>
          </cell>
          <cell r="C1013">
            <v>8</v>
          </cell>
          <cell r="D1013" t="str">
            <v>SANCHEZ MEJIAS JOSE BERNARDINO</v>
          </cell>
          <cell r="E1013" t="str">
            <v>ADC024006</v>
          </cell>
          <cell r="F1013">
            <v>44</v>
          </cell>
          <cell r="G1013">
            <v>30</v>
          </cell>
          <cell r="H1013" t="str">
            <v>JOSSANCHEZ@UTALCA.CL</v>
          </cell>
        </row>
        <row r="1014">
          <cell r="B1014">
            <v>16453959</v>
          </cell>
          <cell r="C1014">
            <v>8</v>
          </cell>
          <cell r="D1014" t="str">
            <v>HORMAZABAL GONZALEZ NICOLAS AL</v>
          </cell>
          <cell r="E1014" t="str">
            <v>FED200001</v>
          </cell>
          <cell r="F1014">
            <v>44</v>
          </cell>
          <cell r="G1014">
            <v>30</v>
          </cell>
          <cell r="H1014" t="str">
            <v>NIHORMAZABAL@UTALCA.CL</v>
          </cell>
        </row>
        <row r="1015">
          <cell r="B1015">
            <v>16454042</v>
          </cell>
          <cell r="C1015">
            <v>1</v>
          </cell>
          <cell r="D1015" t="str">
            <v>ACUÑA ARIAS PATRICIA ALEJANDRA</v>
          </cell>
          <cell r="E1015" t="str">
            <v>FOD350001</v>
          </cell>
          <cell r="F1015">
            <v>44</v>
          </cell>
          <cell r="G1015">
            <v>30</v>
          </cell>
          <cell r="H1015" t="str">
            <v>PATRICIA.ACUNA@UTALCA.CL</v>
          </cell>
        </row>
        <row r="1016">
          <cell r="B1016">
            <v>16454059</v>
          </cell>
          <cell r="C1016">
            <v>6</v>
          </cell>
          <cell r="D1016" t="str">
            <v>RAMIREZ CACERES MAURICIO ANDRE</v>
          </cell>
          <cell r="E1016" t="str">
            <v>VGE400054</v>
          </cell>
          <cell r="F1016">
            <v>44</v>
          </cell>
          <cell r="G1016">
            <v>30</v>
          </cell>
          <cell r="H1016" t="str">
            <v>MAURAMIREZ@UTALCA.CL</v>
          </cell>
        </row>
        <row r="1017">
          <cell r="B1017">
            <v>16454320</v>
          </cell>
          <cell r="C1017" t="str">
            <v>K</v>
          </cell>
          <cell r="D1017" t="str">
            <v>ANDRADES RODRIGUEZ EMMANUEL MI</v>
          </cell>
          <cell r="E1017" t="str">
            <v>FCS310007</v>
          </cell>
          <cell r="F1017">
            <v>44</v>
          </cell>
          <cell r="G1017">
            <v>30</v>
          </cell>
          <cell r="H1017" t="str">
            <v>EANDRADES@UTALCA.CL</v>
          </cell>
        </row>
        <row r="1018">
          <cell r="B1018">
            <v>16454384</v>
          </cell>
          <cell r="C1018">
            <v>6</v>
          </cell>
          <cell r="D1018" t="str">
            <v>SAN CRISTOBAL GAJARDO MARIA MA</v>
          </cell>
          <cell r="E1018" t="str">
            <v>FED310002</v>
          </cell>
          <cell r="F1018">
            <v>44</v>
          </cell>
          <cell r="G1018">
            <v>30</v>
          </cell>
          <cell r="H1018" t="str">
            <v>MSANCRISTOBAL@UTALCA.CL</v>
          </cell>
        </row>
        <row r="1019">
          <cell r="B1019">
            <v>16455053</v>
          </cell>
          <cell r="C1019">
            <v>2</v>
          </cell>
          <cell r="D1019" t="str">
            <v>CANCINO BARROS ILICH AUGUSTO</v>
          </cell>
          <cell r="E1019" t="str">
            <v>FCS340010</v>
          </cell>
          <cell r="F1019">
            <v>11.88</v>
          </cell>
          <cell r="G1019">
            <v>30</v>
          </cell>
          <cell r="H1019" t="str">
            <v>ICANCINO@UTALCA.CL</v>
          </cell>
        </row>
        <row r="1020">
          <cell r="B1020">
            <v>16455055</v>
          </cell>
          <cell r="C1020">
            <v>9</v>
          </cell>
          <cell r="D1020" t="str">
            <v>BALMACEDA NAVARRETE CLAUDIA AL</v>
          </cell>
          <cell r="E1020" t="str">
            <v>ADC030190</v>
          </cell>
          <cell r="F1020">
            <v>44</v>
          </cell>
          <cell r="G1020">
            <v>30</v>
          </cell>
          <cell r="H1020" t="str">
            <v>CLAUDIA.BALMACEDA@UTALCA.CL</v>
          </cell>
        </row>
        <row r="1021">
          <cell r="B1021">
            <v>16455118</v>
          </cell>
          <cell r="C1021">
            <v>0</v>
          </cell>
          <cell r="D1021" t="str">
            <v>BOBADILLA ARAYA WLADIMIR ALEXA</v>
          </cell>
          <cell r="E1021" t="str">
            <v>ADC030112</v>
          </cell>
          <cell r="F1021">
            <v>44</v>
          </cell>
          <cell r="G1021">
            <v>30</v>
          </cell>
          <cell r="H1021" t="str">
            <v>WLADIMIR.BOBADILLA@UTALCA.CL</v>
          </cell>
        </row>
        <row r="1022">
          <cell r="B1022">
            <v>16455400</v>
          </cell>
          <cell r="C1022">
            <v>7</v>
          </cell>
          <cell r="D1022" t="str">
            <v>URRA SOTO ROSA ISABEL</v>
          </cell>
          <cell r="E1022" t="str">
            <v>FCA200001</v>
          </cell>
          <cell r="F1022">
            <v>44</v>
          </cell>
          <cell r="G1022">
            <v>30</v>
          </cell>
          <cell r="H1022" t="str">
            <v>ROSA.URRA@UTALCA.CL</v>
          </cell>
        </row>
        <row r="1023">
          <cell r="B1023">
            <v>16455726</v>
          </cell>
          <cell r="C1023" t="str">
            <v>K</v>
          </cell>
          <cell r="D1023" t="str">
            <v>RIQUELME ORELLANA ELIZABETH AN</v>
          </cell>
          <cell r="E1023" t="str">
            <v>VGE400008</v>
          </cell>
          <cell r="F1023">
            <v>44</v>
          </cell>
          <cell r="G1023">
            <v>30</v>
          </cell>
          <cell r="H1023" t="str">
            <v>ERIQUELME@UTALCA.CL</v>
          </cell>
        </row>
        <row r="1024">
          <cell r="B1024">
            <v>16456025</v>
          </cell>
          <cell r="C1024">
            <v>2</v>
          </cell>
          <cell r="D1024" t="str">
            <v>CRUZAT REYES CATALINA ANDREA</v>
          </cell>
          <cell r="E1024" t="str">
            <v>VDE400001</v>
          </cell>
          <cell r="F1024">
            <v>44</v>
          </cell>
          <cell r="G1024">
            <v>30</v>
          </cell>
          <cell r="H1024" t="str">
            <v>CACRUZAT@UTALCA.CL</v>
          </cell>
        </row>
        <row r="1025">
          <cell r="B1025">
            <v>16456223</v>
          </cell>
          <cell r="C1025">
            <v>9</v>
          </cell>
          <cell r="D1025" t="str">
            <v>BARRIOS CACERES LAYLA ROMINA F</v>
          </cell>
          <cell r="E1025" t="str">
            <v>VDE400001</v>
          </cell>
          <cell r="F1025">
            <v>44</v>
          </cell>
          <cell r="G1025">
            <v>30</v>
          </cell>
          <cell r="H1025" t="str">
            <v>LBARRIOS@UTALCA.CL</v>
          </cell>
        </row>
        <row r="1026">
          <cell r="B1026">
            <v>16456248</v>
          </cell>
          <cell r="C1026">
            <v>4</v>
          </cell>
          <cell r="D1026" t="str">
            <v>SALGADO REYES FELIPE IGNACIO</v>
          </cell>
          <cell r="E1026" t="str">
            <v>FPS310002</v>
          </cell>
          <cell r="F1026">
            <v>44</v>
          </cell>
          <cell r="G1026">
            <v>30</v>
          </cell>
          <cell r="H1026" t="str">
            <v>FSALGADO@UTALCA.CL</v>
          </cell>
        </row>
        <row r="1027">
          <cell r="B1027">
            <v>16456334</v>
          </cell>
          <cell r="C1027">
            <v>0</v>
          </cell>
          <cell r="D1027" t="str">
            <v>ALBORNOZ ROJAS CATALINA BEATRI</v>
          </cell>
          <cell r="E1027" t="str">
            <v>VGE400004</v>
          </cell>
          <cell r="F1027">
            <v>44</v>
          </cell>
          <cell r="G1027">
            <v>30</v>
          </cell>
          <cell r="H1027" t="str">
            <v>CALBORNOZR@UTALCA.CL</v>
          </cell>
        </row>
        <row r="1028">
          <cell r="B1028">
            <v>16456459</v>
          </cell>
          <cell r="C1028">
            <v>2</v>
          </cell>
          <cell r="D1028" t="str">
            <v>LOPEZ VARGAS RODRIGO</v>
          </cell>
          <cell r="E1028" t="str">
            <v>VGE400021</v>
          </cell>
          <cell r="F1028">
            <v>44</v>
          </cell>
          <cell r="G1028">
            <v>30</v>
          </cell>
          <cell r="H1028" t="str">
            <v>RODLOPEZ@UTALCA.CL</v>
          </cell>
        </row>
        <row r="1029">
          <cell r="B1029">
            <v>16456773</v>
          </cell>
          <cell r="C1029">
            <v>7</v>
          </cell>
          <cell r="D1029" t="str">
            <v>NUÑEZ REYES KATHERINE ELIZABET</v>
          </cell>
          <cell r="E1029" t="str">
            <v>VAC400061</v>
          </cell>
          <cell r="F1029">
            <v>33</v>
          </cell>
          <cell r="G1029">
            <v>30</v>
          </cell>
          <cell r="H1029" t="str">
            <v>KNUNEZ@UTALCA.CL</v>
          </cell>
        </row>
        <row r="1030">
          <cell r="B1030">
            <v>16457221</v>
          </cell>
          <cell r="C1030">
            <v>8</v>
          </cell>
          <cell r="D1030" t="str">
            <v>ROJAS MUÑOZ CLAUDIA INES</v>
          </cell>
          <cell r="E1030" t="str">
            <v>ADC021001</v>
          </cell>
          <cell r="F1030">
            <v>44</v>
          </cell>
          <cell r="G1030">
            <v>30</v>
          </cell>
          <cell r="H1030" t="str">
            <v>CLAUDIAROJAS@UTALCA.CL</v>
          </cell>
        </row>
        <row r="1031">
          <cell r="B1031">
            <v>16457326</v>
          </cell>
          <cell r="C1031">
            <v>5</v>
          </cell>
          <cell r="D1031" t="str">
            <v>GUTIERREZ GAJARDO NATALIA LORE</v>
          </cell>
          <cell r="E1031" t="str">
            <v/>
          </cell>
          <cell r="F1031">
            <v>44</v>
          </cell>
          <cell r="G1031">
            <v>30</v>
          </cell>
          <cell r="H1031" t="str">
            <v>NATALIA.GUTIERREZ@UTALCA.CL</v>
          </cell>
        </row>
        <row r="1032">
          <cell r="B1032">
            <v>16480428</v>
          </cell>
          <cell r="C1032">
            <v>3</v>
          </cell>
          <cell r="D1032" t="str">
            <v>FLORES QUIROZ MARTÍN ANDRÉS</v>
          </cell>
          <cell r="E1032" t="str">
            <v>FED310002</v>
          </cell>
          <cell r="F1032">
            <v>44</v>
          </cell>
          <cell r="G1032">
            <v>30</v>
          </cell>
          <cell r="H1032" t="str">
            <v>MARTIN.FLORES@UTALCA.CL</v>
          </cell>
        </row>
        <row r="1033">
          <cell r="B1033">
            <v>16484439</v>
          </cell>
          <cell r="C1033">
            <v>0</v>
          </cell>
          <cell r="D1033" t="str">
            <v>LOPEZ ALEGRIA PABLO ANDRES</v>
          </cell>
          <cell r="E1033" t="str">
            <v>FPS310002</v>
          </cell>
          <cell r="F1033">
            <v>44</v>
          </cell>
          <cell r="G1033">
            <v>30</v>
          </cell>
          <cell r="H1033" t="str">
            <v>PABLO.LOPEZ@UTALCA.CL</v>
          </cell>
        </row>
        <row r="1034">
          <cell r="B1034">
            <v>16484972</v>
          </cell>
          <cell r="C1034">
            <v>4</v>
          </cell>
          <cell r="D1034" t="str">
            <v>FUENTEALBA ANDRADES NATALIA ES</v>
          </cell>
          <cell r="E1034" t="str">
            <v>IQR300001</v>
          </cell>
          <cell r="F1034">
            <v>44</v>
          </cell>
          <cell r="G1034">
            <v>30</v>
          </cell>
          <cell r="H1034" t="str">
            <v>NFUENTEALBA@UTALCA.CL</v>
          </cell>
        </row>
        <row r="1035">
          <cell r="B1035">
            <v>16505833</v>
          </cell>
          <cell r="C1035" t="str">
            <v>K</v>
          </cell>
          <cell r="D1035" t="str">
            <v>DIAZ BESOAIN DANIEL ESTEBAN</v>
          </cell>
          <cell r="E1035" t="str">
            <v>FCI320007</v>
          </cell>
          <cell r="F1035">
            <v>44</v>
          </cell>
          <cell r="G1035">
            <v>30</v>
          </cell>
          <cell r="H1035" t="str">
            <v>DDIAZ@UTALCA.CL</v>
          </cell>
        </row>
        <row r="1036">
          <cell r="B1036">
            <v>16505886</v>
          </cell>
          <cell r="C1036">
            <v>0</v>
          </cell>
          <cell r="D1036" t="str">
            <v>ROJAS RAMÍREZ DANIELA CECILIA</v>
          </cell>
          <cell r="E1036" t="str">
            <v>FCJ340001</v>
          </cell>
          <cell r="F1036">
            <v>44</v>
          </cell>
          <cell r="G1036">
            <v>30</v>
          </cell>
          <cell r="H1036" t="str">
            <v>DAROJAS@UTALCA.CL</v>
          </cell>
        </row>
        <row r="1037">
          <cell r="B1037">
            <v>16522565</v>
          </cell>
          <cell r="C1037">
            <v>1</v>
          </cell>
          <cell r="D1037" t="str">
            <v>REYES CACERES CRISTOBAL ANDRES</v>
          </cell>
          <cell r="E1037" t="str">
            <v>FED310009</v>
          </cell>
          <cell r="F1037">
            <v>44</v>
          </cell>
          <cell r="G1037">
            <v>30</v>
          </cell>
          <cell r="H1037" t="str">
            <v>CRISTOBAL.REYES@UTALCA.CL</v>
          </cell>
        </row>
        <row r="1038">
          <cell r="B1038">
            <v>16524518</v>
          </cell>
          <cell r="C1038">
            <v>0</v>
          </cell>
          <cell r="D1038" t="str">
            <v>CERDA ALARCON ALADINO ALEXIS</v>
          </cell>
          <cell r="E1038" t="str">
            <v>FCS320007</v>
          </cell>
          <cell r="F1038">
            <v>44</v>
          </cell>
          <cell r="G1038">
            <v>30</v>
          </cell>
          <cell r="H1038" t="str">
            <v>ALCERDA@UTALCA.CL</v>
          </cell>
        </row>
        <row r="1039">
          <cell r="B1039">
            <v>16532997</v>
          </cell>
          <cell r="C1039" t="str">
            <v>K</v>
          </cell>
          <cell r="D1039" t="str">
            <v>BRIONES HORMAZABAL CARMENLUZ A</v>
          </cell>
          <cell r="E1039" t="str">
            <v>ADC024001</v>
          </cell>
          <cell r="F1039">
            <v>44</v>
          </cell>
          <cell r="G1039">
            <v>30</v>
          </cell>
          <cell r="H1039" t="str">
            <v>CBRIONES@UTALCA.CL</v>
          </cell>
        </row>
        <row r="1040">
          <cell r="B1040">
            <v>16536311</v>
          </cell>
          <cell r="C1040">
            <v>6</v>
          </cell>
          <cell r="D1040" t="str">
            <v>CANCINO MUÑOZ DIEGO ARTURO</v>
          </cell>
          <cell r="E1040" t="str">
            <v>VGE400031</v>
          </cell>
          <cell r="F1040">
            <v>44</v>
          </cell>
          <cell r="G1040">
            <v>30</v>
          </cell>
          <cell r="H1040" t="str">
            <v>DCANCINO@UTALCA.CL</v>
          </cell>
        </row>
        <row r="1041">
          <cell r="B1041">
            <v>16536542</v>
          </cell>
          <cell r="C1041">
            <v>9</v>
          </cell>
          <cell r="D1041" t="str">
            <v>ANTÚNEZ CONTRERAS SYLVIA PAZ</v>
          </cell>
          <cell r="E1041" t="str">
            <v>FED200001</v>
          </cell>
          <cell r="F1041">
            <v>44</v>
          </cell>
          <cell r="G1041">
            <v>30</v>
          </cell>
          <cell r="H1041" t="str">
            <v>SANTUNEZ@UTALCA.CL</v>
          </cell>
        </row>
        <row r="1042">
          <cell r="B1042">
            <v>16537510</v>
          </cell>
          <cell r="C1042">
            <v>6</v>
          </cell>
          <cell r="D1042" t="str">
            <v>MUÑOZ PEREIRA ADOLFO JOSÉ</v>
          </cell>
          <cell r="E1042" t="str">
            <v>VRF400044</v>
          </cell>
          <cell r="F1042">
            <v>44</v>
          </cell>
          <cell r="G1042">
            <v>30</v>
          </cell>
          <cell r="H1042" t="str">
            <v>ADOLFO.MUNOZ@UTALCA.CL</v>
          </cell>
        </row>
        <row r="1043">
          <cell r="B1043">
            <v>16542024</v>
          </cell>
          <cell r="C1043">
            <v>1</v>
          </cell>
          <cell r="D1043" t="str">
            <v>RIVERA CASTRO EVELYN VALERIA</v>
          </cell>
          <cell r="E1043" t="str">
            <v>ADC015001</v>
          </cell>
          <cell r="F1043">
            <v>44</v>
          </cell>
          <cell r="G1043">
            <v>30</v>
          </cell>
          <cell r="H1043" t="str">
            <v>EVELYN.RIVERA@UTALCA.CL</v>
          </cell>
        </row>
        <row r="1044">
          <cell r="B1044">
            <v>16547779</v>
          </cell>
          <cell r="C1044">
            <v>0</v>
          </cell>
          <cell r="D1044" t="str">
            <v>RETAMAL MENARES MARGARITA ISAB</v>
          </cell>
          <cell r="E1044" t="str">
            <v>FCS320007</v>
          </cell>
          <cell r="F1044">
            <v>44</v>
          </cell>
          <cell r="G1044">
            <v>30</v>
          </cell>
          <cell r="H1044" t="str">
            <v>MARETAMAL@UTALCA.CL</v>
          </cell>
        </row>
        <row r="1045">
          <cell r="B1045">
            <v>16554863</v>
          </cell>
          <cell r="C1045">
            <v>9</v>
          </cell>
          <cell r="D1045" t="str">
            <v>HONORATO VALDES FRANCISCO EMIL</v>
          </cell>
          <cell r="E1045" t="str">
            <v>VRF400044</v>
          </cell>
          <cell r="F1045">
            <v>44</v>
          </cell>
          <cell r="G1045">
            <v>30</v>
          </cell>
          <cell r="H1045" t="str">
            <v>FHONORATO@UTALCA.CL</v>
          </cell>
        </row>
        <row r="1046">
          <cell r="B1046">
            <v>16555097</v>
          </cell>
          <cell r="C1046">
            <v>8</v>
          </cell>
          <cell r="D1046" t="str">
            <v>MUÑOZ ROJAS FRANCISCO JAVIER</v>
          </cell>
          <cell r="E1046" t="str">
            <v>ADC030115</v>
          </cell>
          <cell r="F1046">
            <v>44</v>
          </cell>
          <cell r="G1046">
            <v>30</v>
          </cell>
          <cell r="H1046" t="str">
            <v>FRANCISCO.MUNOZR@UTALCA.CL</v>
          </cell>
        </row>
        <row r="1047">
          <cell r="B1047">
            <v>16555109</v>
          </cell>
          <cell r="C1047">
            <v>5</v>
          </cell>
          <cell r="D1047" t="str">
            <v>TRONCOSO GAJARDO PIA FERNANDA</v>
          </cell>
          <cell r="E1047" t="str">
            <v>FOD320003</v>
          </cell>
          <cell r="F1047">
            <v>22</v>
          </cell>
          <cell r="G1047">
            <v>30</v>
          </cell>
          <cell r="H1047" t="str">
            <v>PIATRONCOSO@UTALCA.CL</v>
          </cell>
        </row>
        <row r="1048">
          <cell r="B1048">
            <v>16556611</v>
          </cell>
          <cell r="C1048">
            <v>4</v>
          </cell>
          <cell r="D1048" t="str">
            <v>ROMAGOSA GARCÍA JUAN</v>
          </cell>
          <cell r="E1048" t="str">
            <v>FEN310003</v>
          </cell>
          <cell r="F1048">
            <v>33</v>
          </cell>
          <cell r="G1048">
            <v>30</v>
          </cell>
          <cell r="H1048" t="str">
            <v>JUAN.ROMAGOSA@UTALCA.CL</v>
          </cell>
        </row>
        <row r="1049">
          <cell r="B1049">
            <v>16569157</v>
          </cell>
          <cell r="C1049">
            <v>1</v>
          </cell>
          <cell r="D1049" t="str">
            <v>LEON FUENTES JUAN SEBASTIAN</v>
          </cell>
          <cell r="E1049" t="str">
            <v>FPS310002</v>
          </cell>
          <cell r="F1049">
            <v>44</v>
          </cell>
          <cell r="G1049">
            <v>30</v>
          </cell>
          <cell r="H1049" t="str">
            <v>JUAN.LEON@UTALCA.CL</v>
          </cell>
        </row>
        <row r="1050">
          <cell r="B1050">
            <v>16583307</v>
          </cell>
          <cell r="C1050">
            <v>4</v>
          </cell>
          <cell r="D1050" t="str">
            <v>BARRIOS CASTRO CAROLINA ALEJAN</v>
          </cell>
          <cell r="E1050" t="str">
            <v>FOD320003</v>
          </cell>
          <cell r="F1050">
            <v>19</v>
          </cell>
          <cell r="G1050">
            <v>30</v>
          </cell>
          <cell r="H1050" t="str">
            <v>CAROLINA.BARRIOS@UTALCA.CL</v>
          </cell>
        </row>
        <row r="1051">
          <cell r="B1051">
            <v>16588453</v>
          </cell>
          <cell r="C1051">
            <v>1</v>
          </cell>
          <cell r="D1051" t="str">
            <v>MARCHANT PALOMERA FELIPE ARTUR</v>
          </cell>
          <cell r="E1051" t="str">
            <v>VDE400011</v>
          </cell>
          <cell r="F1051">
            <v>22</v>
          </cell>
          <cell r="G1051">
            <v>30</v>
          </cell>
          <cell r="H1051" t="str">
            <v>FELIPE.MARCHANT@UTALCA.CL</v>
          </cell>
        </row>
        <row r="1052">
          <cell r="B1052">
            <v>16588621</v>
          </cell>
          <cell r="C1052">
            <v>6</v>
          </cell>
          <cell r="D1052" t="str">
            <v>RODRIGUEZ AZUA ROSIO ANGELICA</v>
          </cell>
          <cell r="E1052" t="str">
            <v>FOD200001</v>
          </cell>
          <cell r="F1052">
            <v>22</v>
          </cell>
          <cell r="G1052">
            <v>30</v>
          </cell>
          <cell r="H1052" t="str">
            <v>RORODRIGUEZ@UTALCA.CL</v>
          </cell>
        </row>
        <row r="1053">
          <cell r="B1053">
            <v>16588910</v>
          </cell>
          <cell r="C1053" t="str">
            <v>K</v>
          </cell>
          <cell r="D1053" t="str">
            <v>OJEDA GONZALEZ MARCELO EDUARDO</v>
          </cell>
          <cell r="E1053" t="str">
            <v>FAD310001</v>
          </cell>
          <cell r="F1053">
            <v>44</v>
          </cell>
          <cell r="G1053">
            <v>30</v>
          </cell>
          <cell r="H1053" t="str">
            <v>MARCELO.OJEDA@UTALCA.CL</v>
          </cell>
        </row>
        <row r="1054">
          <cell r="B1054">
            <v>16590535</v>
          </cell>
          <cell r="C1054">
            <v>0</v>
          </cell>
          <cell r="D1054" t="str">
            <v>BASS LE- FORT DANIELA IGNACIA</v>
          </cell>
          <cell r="E1054" t="str">
            <v>ADC024007</v>
          </cell>
          <cell r="F1054">
            <v>44</v>
          </cell>
          <cell r="G1054">
            <v>30</v>
          </cell>
          <cell r="H1054" t="str">
            <v>DBASS@UTALCA.CL</v>
          </cell>
        </row>
        <row r="1055">
          <cell r="B1055">
            <v>16590594</v>
          </cell>
          <cell r="C1055">
            <v>6</v>
          </cell>
          <cell r="D1055" t="str">
            <v>FUENTES QUINTEROS EDUARDO JAVI</v>
          </cell>
          <cell r="E1055" t="str">
            <v>FCS320001</v>
          </cell>
          <cell r="F1055">
            <v>44</v>
          </cell>
          <cell r="G1055">
            <v>30</v>
          </cell>
          <cell r="H1055" t="str">
            <v>EDFUENTES@UTALCA.CL</v>
          </cell>
        </row>
        <row r="1056">
          <cell r="B1056">
            <v>16590798</v>
          </cell>
          <cell r="C1056">
            <v>1</v>
          </cell>
          <cell r="D1056" t="str">
            <v>GONZALEZ REYES SERGIO DANIEL</v>
          </cell>
          <cell r="E1056" t="str">
            <v>FCI320002</v>
          </cell>
          <cell r="F1056">
            <v>44</v>
          </cell>
          <cell r="G1056">
            <v>30</v>
          </cell>
          <cell r="H1056" t="str">
            <v>SGONZALEZR@UTALCA.CL</v>
          </cell>
        </row>
        <row r="1057">
          <cell r="B1057">
            <v>16598744</v>
          </cell>
          <cell r="C1057">
            <v>6</v>
          </cell>
          <cell r="D1057" t="str">
            <v>BAEZA BARRA IVAN RODRIGO</v>
          </cell>
          <cell r="E1057" t="str">
            <v/>
          </cell>
          <cell r="F1057">
            <v>44</v>
          </cell>
          <cell r="G1057">
            <v>30</v>
          </cell>
          <cell r="H1057" t="str">
            <v>IBAEZA@UTALCA.CL</v>
          </cell>
        </row>
        <row r="1058">
          <cell r="B1058">
            <v>16600210</v>
          </cell>
          <cell r="C1058">
            <v>9</v>
          </cell>
          <cell r="D1058" t="str">
            <v>RIQUELME FUENTES ALAN ENRIQUE</v>
          </cell>
          <cell r="E1058" t="str">
            <v>VGE400056</v>
          </cell>
          <cell r="F1058">
            <v>44</v>
          </cell>
          <cell r="G1058">
            <v>30</v>
          </cell>
          <cell r="H1058" t="str">
            <v>ARIQUELME@UTALCA.CL</v>
          </cell>
        </row>
        <row r="1059">
          <cell r="B1059">
            <v>16616620</v>
          </cell>
          <cell r="C1059">
            <v>9</v>
          </cell>
          <cell r="D1059" t="str">
            <v>LILLO ROJAS MARIA IGNACIA</v>
          </cell>
          <cell r="E1059" t="str">
            <v>VGE400009</v>
          </cell>
          <cell r="F1059">
            <v>44</v>
          </cell>
          <cell r="G1059">
            <v>30</v>
          </cell>
          <cell r="H1059" t="str">
            <v>MARIA.LILLO@UTALCA.CL</v>
          </cell>
        </row>
        <row r="1060">
          <cell r="B1060">
            <v>16621641</v>
          </cell>
          <cell r="C1060">
            <v>9</v>
          </cell>
          <cell r="D1060" t="str">
            <v>SALINAS CORNEJO JOSSELYN ANDRE</v>
          </cell>
          <cell r="E1060" t="str">
            <v>ICB300001</v>
          </cell>
          <cell r="F1060">
            <v>22</v>
          </cell>
          <cell r="G1060">
            <v>30</v>
          </cell>
          <cell r="H1060" t="str">
            <v>JOSALINAS@UTALCA.CL</v>
          </cell>
        </row>
        <row r="1061">
          <cell r="B1061">
            <v>16651144</v>
          </cell>
          <cell r="C1061">
            <v>5</v>
          </cell>
          <cell r="D1061" t="str">
            <v>ALFARO QUEZADA JUAN FELIPE</v>
          </cell>
          <cell r="E1061" t="str">
            <v>VAC400024</v>
          </cell>
          <cell r="F1061">
            <v>44</v>
          </cell>
          <cell r="G1061">
            <v>30</v>
          </cell>
          <cell r="H1061" t="str">
            <v>JUAN.ALFARO@UTALCA.CL</v>
          </cell>
        </row>
        <row r="1062">
          <cell r="B1062">
            <v>16656538</v>
          </cell>
          <cell r="C1062">
            <v>3</v>
          </cell>
          <cell r="D1062" t="str">
            <v>AUSENSI TAPIA CAMILA</v>
          </cell>
          <cell r="E1062" t="str">
            <v>ADC021004</v>
          </cell>
          <cell r="F1062">
            <v>44</v>
          </cell>
          <cell r="G1062">
            <v>30</v>
          </cell>
          <cell r="H1062" t="str">
            <v>CAMILAAUSENSI@UTALCA.CL</v>
          </cell>
        </row>
        <row r="1063">
          <cell r="B1063">
            <v>16656789</v>
          </cell>
          <cell r="C1063">
            <v>0</v>
          </cell>
          <cell r="D1063" t="str">
            <v>DIAZ O RYAN CRISTIAN ANDRES</v>
          </cell>
          <cell r="E1063" t="str">
            <v>ADC021005</v>
          </cell>
          <cell r="F1063">
            <v>44</v>
          </cell>
          <cell r="G1063">
            <v>30</v>
          </cell>
          <cell r="H1063" t="str">
            <v>CRISTIANDIAZ@UTALCA.CL</v>
          </cell>
        </row>
        <row r="1064">
          <cell r="B1064">
            <v>16660151</v>
          </cell>
          <cell r="C1064">
            <v>7</v>
          </cell>
          <cell r="D1064" t="str">
            <v>MANCILLA IBACACHE GLORIA VALES</v>
          </cell>
          <cell r="E1064" t="str">
            <v/>
          </cell>
          <cell r="F1064">
            <v>33</v>
          </cell>
          <cell r="G1064">
            <v>30</v>
          </cell>
          <cell r="H1064" t="str">
            <v>GLORIAI.MANCILLA@UTALCA.CL</v>
          </cell>
        </row>
        <row r="1065">
          <cell r="B1065">
            <v>16679439</v>
          </cell>
          <cell r="C1065">
            <v>0</v>
          </cell>
          <cell r="D1065" t="str">
            <v>CASTILLO SALGADO GONZALO ANÍBA</v>
          </cell>
          <cell r="E1065" t="str">
            <v>ADC013003</v>
          </cell>
          <cell r="F1065">
            <v>44</v>
          </cell>
          <cell r="G1065">
            <v>30</v>
          </cell>
          <cell r="H1065" t="str">
            <v>GONZALO.CASTILLO@UTALCA.CL</v>
          </cell>
        </row>
        <row r="1066">
          <cell r="B1066">
            <v>16688913</v>
          </cell>
          <cell r="C1066">
            <v>8</v>
          </cell>
          <cell r="D1066" t="str">
            <v>CORTES GUERRERO FERNANDO ANDRÉ</v>
          </cell>
          <cell r="E1066" t="str">
            <v>FCI320004</v>
          </cell>
          <cell r="F1066">
            <v>44</v>
          </cell>
          <cell r="G1066">
            <v>30</v>
          </cell>
          <cell r="H1066" t="str">
            <v>FERNANDO.CORTES@UTALCA.CL</v>
          </cell>
        </row>
        <row r="1067">
          <cell r="B1067">
            <v>16725902</v>
          </cell>
          <cell r="C1067">
            <v>2</v>
          </cell>
          <cell r="D1067" t="str">
            <v>VELASQUEZ HERRERA. DIEGO TOMAS</v>
          </cell>
          <cell r="E1067" t="str">
            <v/>
          </cell>
          <cell r="F1067">
            <v>44</v>
          </cell>
          <cell r="G1067">
            <v>30</v>
          </cell>
          <cell r="H1067" t="str">
            <v>DVELASQUEZ@UTALCA.CL</v>
          </cell>
        </row>
        <row r="1068">
          <cell r="B1068">
            <v>16726018</v>
          </cell>
          <cell r="C1068">
            <v>7</v>
          </cell>
          <cell r="D1068" t="str">
            <v>GARCIA PEÑAILILLO CRISTIAN FRA</v>
          </cell>
          <cell r="E1068" t="str">
            <v>FCI320007</v>
          </cell>
          <cell r="F1068">
            <v>44</v>
          </cell>
          <cell r="G1068">
            <v>30</v>
          </cell>
          <cell r="H1068" t="str">
            <v>CRISTIAN.GARCIA@UTALCA.CL</v>
          </cell>
        </row>
        <row r="1069">
          <cell r="B1069">
            <v>16726056</v>
          </cell>
          <cell r="C1069" t="str">
            <v>K</v>
          </cell>
          <cell r="D1069" t="str">
            <v>SEPULVEDA OPAZO FRANCISCA PILA</v>
          </cell>
          <cell r="E1069" t="str">
            <v>FCS340010</v>
          </cell>
          <cell r="F1069">
            <v>22</v>
          </cell>
          <cell r="G1069">
            <v>30</v>
          </cell>
          <cell r="H1069" t="str">
            <v>FRANCISCA.SEPULVEDA@UTALCA.CL</v>
          </cell>
        </row>
        <row r="1070">
          <cell r="B1070">
            <v>16726280</v>
          </cell>
          <cell r="C1070">
            <v>5</v>
          </cell>
          <cell r="D1070" t="str">
            <v>SOTO SALAZAR FLAVIA LETICIA</v>
          </cell>
          <cell r="E1070" t="str">
            <v>VAC400082</v>
          </cell>
          <cell r="F1070">
            <v>44</v>
          </cell>
          <cell r="G1070">
            <v>30</v>
          </cell>
          <cell r="H1070" t="str">
            <v>FLSOTO@UTALCA.CL</v>
          </cell>
        </row>
        <row r="1071">
          <cell r="B1071">
            <v>16726320</v>
          </cell>
          <cell r="C1071">
            <v>8</v>
          </cell>
          <cell r="D1071" t="str">
            <v>HERRERA NUÑEZ MARIA PAZ</v>
          </cell>
          <cell r="E1071" t="str">
            <v>FCA310001</v>
          </cell>
          <cell r="F1071">
            <v>44</v>
          </cell>
          <cell r="G1071">
            <v>30</v>
          </cell>
          <cell r="H1071" t="str">
            <v>MARIA.HERRERA@UTALCA.CL</v>
          </cell>
        </row>
        <row r="1072">
          <cell r="B1072">
            <v>16726555</v>
          </cell>
          <cell r="C1072">
            <v>3</v>
          </cell>
          <cell r="D1072" t="str">
            <v>FIGUEROA MARTINEZ FELIPE ALEJA</v>
          </cell>
          <cell r="E1072" t="str">
            <v/>
          </cell>
          <cell r="F1072">
            <v>44</v>
          </cell>
          <cell r="G1072">
            <v>30</v>
          </cell>
          <cell r="H1072" t="str">
            <v>FFIGUEROA@UTALCA.CL</v>
          </cell>
        </row>
        <row r="1073">
          <cell r="B1073">
            <v>16726708</v>
          </cell>
          <cell r="C1073">
            <v>4</v>
          </cell>
          <cell r="D1073" t="str">
            <v>CASTRO DE LUISA DARIO ALEJANDR</v>
          </cell>
          <cell r="E1073" t="str">
            <v>VGE400003</v>
          </cell>
          <cell r="F1073">
            <v>44</v>
          </cell>
          <cell r="G1073">
            <v>30</v>
          </cell>
          <cell r="H1073" t="str">
            <v>DARIO.CASTRO@UTALCA.CL</v>
          </cell>
        </row>
        <row r="1074">
          <cell r="B1074">
            <v>16726871</v>
          </cell>
          <cell r="C1074">
            <v>4</v>
          </cell>
          <cell r="D1074" t="str">
            <v>GONZALEZ CASTILLO MATIAS FRANC</v>
          </cell>
          <cell r="E1074" t="str">
            <v>VDE400001</v>
          </cell>
          <cell r="F1074">
            <v>44</v>
          </cell>
          <cell r="G1074">
            <v>30</v>
          </cell>
          <cell r="H1074" t="str">
            <v>MATGONZALEZ@UTALCA.CL</v>
          </cell>
        </row>
        <row r="1075">
          <cell r="B1075">
            <v>16727032</v>
          </cell>
          <cell r="C1075">
            <v>8</v>
          </cell>
          <cell r="D1075" t="str">
            <v>OROZCO CHAVEZ IGNACIO ANDRES</v>
          </cell>
          <cell r="E1075" t="str">
            <v>FCS320009</v>
          </cell>
          <cell r="F1075">
            <v>44</v>
          </cell>
          <cell r="G1075">
            <v>30</v>
          </cell>
          <cell r="H1075" t="str">
            <v>IOROZCO@UTALCA.CL</v>
          </cell>
        </row>
        <row r="1076">
          <cell r="B1076">
            <v>16728564</v>
          </cell>
          <cell r="C1076">
            <v>3</v>
          </cell>
          <cell r="D1076" t="str">
            <v>BRAVO TOBAR CAROLINA ELIZABETH</v>
          </cell>
          <cell r="E1076" t="str">
            <v>FED200001</v>
          </cell>
          <cell r="F1076">
            <v>44</v>
          </cell>
          <cell r="G1076">
            <v>30</v>
          </cell>
          <cell r="H1076" t="str">
            <v>CAROLBRAVO@UTALCA.CL</v>
          </cell>
        </row>
        <row r="1077">
          <cell r="B1077">
            <v>16728566</v>
          </cell>
          <cell r="C1077" t="str">
            <v>K</v>
          </cell>
          <cell r="D1077" t="str">
            <v>CERECEDA VALENZUELA DANIEL ALE</v>
          </cell>
          <cell r="E1077" t="str">
            <v>VGE400054</v>
          </cell>
          <cell r="F1077">
            <v>44</v>
          </cell>
          <cell r="G1077">
            <v>30</v>
          </cell>
          <cell r="H1077" t="str">
            <v>ALCERECEDA@UTALCA.CL</v>
          </cell>
        </row>
        <row r="1078">
          <cell r="B1078">
            <v>16728823</v>
          </cell>
          <cell r="C1078">
            <v>5</v>
          </cell>
          <cell r="D1078" t="str">
            <v>VALENZUELA BRIONES CAMILA MARI</v>
          </cell>
          <cell r="E1078" t="str">
            <v>FCS340010</v>
          </cell>
          <cell r="F1078">
            <v>44</v>
          </cell>
          <cell r="G1078">
            <v>30</v>
          </cell>
          <cell r="H1078" t="str">
            <v>CAMILA.VALENZUELA@UTALCA.CL</v>
          </cell>
        </row>
        <row r="1079">
          <cell r="B1079">
            <v>16729127</v>
          </cell>
          <cell r="C1079">
            <v>9</v>
          </cell>
          <cell r="D1079" t="str">
            <v>DIAZ CANCINO MIGUEL ARIEL</v>
          </cell>
          <cell r="E1079" t="str">
            <v>VGE400031</v>
          </cell>
          <cell r="F1079">
            <v>44</v>
          </cell>
          <cell r="G1079">
            <v>30</v>
          </cell>
          <cell r="H1079" t="str">
            <v>MIGUEL.DIAZ@UTALCA.CL</v>
          </cell>
        </row>
        <row r="1080">
          <cell r="B1080">
            <v>16729137</v>
          </cell>
          <cell r="C1080">
            <v>6</v>
          </cell>
          <cell r="D1080" t="str">
            <v>CORDOVA MOYA PABLO ENRIQUE</v>
          </cell>
          <cell r="E1080" t="str">
            <v>ICB300001</v>
          </cell>
          <cell r="F1080">
            <v>44</v>
          </cell>
          <cell r="G1080">
            <v>30</v>
          </cell>
          <cell r="H1080" t="str">
            <v>PCORDOVA@UTALCA.CL</v>
          </cell>
        </row>
        <row r="1081">
          <cell r="B1081">
            <v>16729368</v>
          </cell>
          <cell r="C1081">
            <v>9</v>
          </cell>
          <cell r="D1081" t="str">
            <v>SOTO ALBORNOZ CAMILA  IGNACIA</v>
          </cell>
          <cell r="E1081" t="str">
            <v>ADC021005</v>
          </cell>
          <cell r="F1081">
            <v>44</v>
          </cell>
          <cell r="G1081">
            <v>30</v>
          </cell>
          <cell r="H1081" t="str">
            <v>CAMILASOTO@UTALCA.CL</v>
          </cell>
        </row>
        <row r="1082">
          <cell r="B1082">
            <v>16729497</v>
          </cell>
          <cell r="C1082">
            <v>9</v>
          </cell>
          <cell r="D1082" t="str">
            <v>GAJARDO ORELLANA LINDA CRISTEL</v>
          </cell>
          <cell r="E1082" t="str">
            <v>VGE400054</v>
          </cell>
          <cell r="F1082">
            <v>44</v>
          </cell>
          <cell r="G1082">
            <v>30</v>
          </cell>
          <cell r="H1082" t="str">
            <v>LGAJARDO@UTALCA.CL</v>
          </cell>
        </row>
        <row r="1083">
          <cell r="B1083">
            <v>16729754</v>
          </cell>
          <cell r="C1083">
            <v>4</v>
          </cell>
          <cell r="D1083" t="str">
            <v>MORALES AVACA MARIA JOSE</v>
          </cell>
          <cell r="E1083" t="str">
            <v/>
          </cell>
          <cell r="F1083">
            <v>44</v>
          </cell>
          <cell r="G1083">
            <v>30</v>
          </cell>
          <cell r="H1083" t="str">
            <v>MAMORALES@UTALCA.CL</v>
          </cell>
        </row>
        <row r="1084">
          <cell r="B1084">
            <v>16730096</v>
          </cell>
          <cell r="C1084">
            <v>0</v>
          </cell>
          <cell r="D1084" t="str">
            <v>FUENTES GARCIA ELIZABETH NOEMI</v>
          </cell>
          <cell r="E1084" t="str">
            <v>ADC021001</v>
          </cell>
          <cell r="F1084">
            <v>44</v>
          </cell>
          <cell r="G1084">
            <v>30</v>
          </cell>
          <cell r="H1084" t="str">
            <v>E.FUENTES@UTALCA.CL</v>
          </cell>
        </row>
        <row r="1085">
          <cell r="B1085">
            <v>16730555</v>
          </cell>
          <cell r="C1085">
            <v>5</v>
          </cell>
          <cell r="D1085" t="str">
            <v>STAPPUNG GONZALEZ YAZMINA SOLE</v>
          </cell>
          <cell r="E1085" t="str">
            <v>ICB300001</v>
          </cell>
          <cell r="F1085">
            <v>44</v>
          </cell>
          <cell r="G1085">
            <v>30</v>
          </cell>
          <cell r="H1085" t="str">
            <v>YSTAPPUNG@UTALCA.CL</v>
          </cell>
        </row>
        <row r="1086">
          <cell r="B1086">
            <v>16730712</v>
          </cell>
          <cell r="C1086">
            <v>4</v>
          </cell>
          <cell r="D1086" t="str">
            <v>BRAVO TAPIA FRANCISCO JAVIER</v>
          </cell>
          <cell r="E1086" t="str">
            <v>IAM320001</v>
          </cell>
          <cell r="F1086">
            <v>44</v>
          </cell>
          <cell r="G1086">
            <v>30</v>
          </cell>
          <cell r="H1086" t="str">
            <v>FJBRAVO@UTALCA.CL</v>
          </cell>
        </row>
        <row r="1087">
          <cell r="B1087">
            <v>16731057</v>
          </cell>
          <cell r="C1087">
            <v>5</v>
          </cell>
          <cell r="D1087" t="str">
            <v>RAVELLO MEDEL MARTA NATALIA</v>
          </cell>
          <cell r="E1087" t="str">
            <v>FCS320011</v>
          </cell>
          <cell r="F1087">
            <v>44</v>
          </cell>
          <cell r="G1087">
            <v>30</v>
          </cell>
          <cell r="H1087" t="str">
            <v>MRAVELLO@UTALCA.CL</v>
          </cell>
        </row>
        <row r="1088">
          <cell r="B1088">
            <v>16731188</v>
          </cell>
          <cell r="C1088">
            <v>1</v>
          </cell>
          <cell r="D1088" t="str">
            <v>IMAS VENEGAS ALFREDO ALEJANDRO</v>
          </cell>
          <cell r="E1088" t="str">
            <v>VGE400057</v>
          </cell>
          <cell r="F1088">
            <v>44</v>
          </cell>
          <cell r="G1088">
            <v>30</v>
          </cell>
          <cell r="H1088" t="str">
            <v>ALFREDO.IMAS@UTALCA.CL</v>
          </cell>
        </row>
        <row r="1089">
          <cell r="B1089">
            <v>16731276</v>
          </cell>
          <cell r="C1089">
            <v>4</v>
          </cell>
          <cell r="D1089" t="str">
            <v>NOVOA BAEZA BLANCA DEL CARMEN</v>
          </cell>
          <cell r="E1089" t="str">
            <v>VDE400001</v>
          </cell>
          <cell r="F1089">
            <v>44</v>
          </cell>
          <cell r="G1089">
            <v>30</v>
          </cell>
          <cell r="H1089" t="str">
            <v>BNOVOA@UTALCA.CL</v>
          </cell>
        </row>
        <row r="1090">
          <cell r="B1090">
            <v>16731701</v>
          </cell>
          <cell r="C1090">
            <v>4</v>
          </cell>
          <cell r="D1090" t="str">
            <v>SANDOVAL SALAS DALILA MACARENA</v>
          </cell>
          <cell r="E1090" t="str">
            <v>FOD320002</v>
          </cell>
          <cell r="F1090">
            <v>33</v>
          </cell>
          <cell r="G1090">
            <v>30</v>
          </cell>
          <cell r="H1090" t="str">
            <v>DALSANDOVAL@UTALCA.CL</v>
          </cell>
        </row>
        <row r="1091">
          <cell r="B1091">
            <v>16731887</v>
          </cell>
          <cell r="C1091">
            <v>8</v>
          </cell>
          <cell r="D1091" t="str">
            <v>TORO URREA SANDY SISTAL</v>
          </cell>
          <cell r="E1091" t="str">
            <v>VGE400004</v>
          </cell>
          <cell r="F1091">
            <v>44</v>
          </cell>
          <cell r="G1091">
            <v>30</v>
          </cell>
          <cell r="H1091" t="str">
            <v>STORO@UTALCA.CL</v>
          </cell>
        </row>
        <row r="1092">
          <cell r="B1092">
            <v>16731948</v>
          </cell>
          <cell r="C1092">
            <v>3</v>
          </cell>
          <cell r="D1092" t="str">
            <v>TORRES RAMIREZ JESSICA FERNAND</v>
          </cell>
          <cell r="E1092" t="str">
            <v>VGE400008</v>
          </cell>
          <cell r="F1092">
            <v>44</v>
          </cell>
          <cell r="G1092">
            <v>30</v>
          </cell>
          <cell r="H1092" t="str">
            <v>JETORRES@UTALCA.CL</v>
          </cell>
        </row>
        <row r="1093">
          <cell r="B1093">
            <v>16737166</v>
          </cell>
          <cell r="C1093">
            <v>3</v>
          </cell>
          <cell r="D1093" t="str">
            <v>ROMERO TAPIA ANDREA FERNANDA</v>
          </cell>
          <cell r="E1093" t="str">
            <v>FED310008</v>
          </cell>
          <cell r="F1093">
            <v>44</v>
          </cell>
          <cell r="G1093">
            <v>30</v>
          </cell>
          <cell r="H1093" t="str">
            <v>ANDREA.ROMERO@UTALCA.CL</v>
          </cell>
        </row>
        <row r="1094">
          <cell r="B1094">
            <v>16739290</v>
          </cell>
          <cell r="C1094">
            <v>3</v>
          </cell>
          <cell r="D1094" t="str">
            <v>ESCOBEDO ECHEVERRIA VICTOR MAN</v>
          </cell>
          <cell r="E1094" t="str">
            <v>VAC400024</v>
          </cell>
          <cell r="F1094">
            <v>44</v>
          </cell>
          <cell r="G1094">
            <v>30</v>
          </cell>
          <cell r="H1094" t="str">
            <v>VICTOR.ESCOBEDO@UTALCA.CL</v>
          </cell>
        </row>
        <row r="1095">
          <cell r="B1095">
            <v>16773985</v>
          </cell>
          <cell r="C1095">
            <v>7</v>
          </cell>
          <cell r="D1095" t="str">
            <v>QUILAQUEO SAEZ DANIELA</v>
          </cell>
          <cell r="E1095" t="str">
            <v>FCS320010</v>
          </cell>
          <cell r="F1095">
            <v>44</v>
          </cell>
          <cell r="G1095">
            <v>30</v>
          </cell>
          <cell r="H1095" t="str">
            <v>DQUILAQUEO@UTALCA.CL</v>
          </cell>
        </row>
        <row r="1096">
          <cell r="B1096">
            <v>16792278</v>
          </cell>
          <cell r="C1096">
            <v>3</v>
          </cell>
          <cell r="D1096" t="str">
            <v>URRA GONZALEZ FERNANDO PATRICI</v>
          </cell>
          <cell r="E1096" t="str">
            <v>FCI320007</v>
          </cell>
          <cell r="F1096">
            <v>44</v>
          </cell>
          <cell r="G1096">
            <v>30</v>
          </cell>
          <cell r="H1096" t="str">
            <v>FEURRA@UTALCA.CL</v>
          </cell>
        </row>
        <row r="1097">
          <cell r="B1097">
            <v>16792921</v>
          </cell>
          <cell r="C1097">
            <v>4</v>
          </cell>
          <cell r="D1097" t="str">
            <v>GONZÁLEZ TRONCOSO MOISÉS SALOM</v>
          </cell>
          <cell r="E1097" t="str">
            <v>FEN310004</v>
          </cell>
          <cell r="F1097">
            <v>44</v>
          </cell>
          <cell r="G1097">
            <v>30</v>
          </cell>
          <cell r="H1097" t="str">
            <v>MOISES.GONZALEZ@UTALCA.CL</v>
          </cell>
        </row>
        <row r="1098">
          <cell r="B1098">
            <v>16826570</v>
          </cell>
          <cell r="C1098">
            <v>0</v>
          </cell>
          <cell r="D1098" t="str">
            <v>ACEVEDO GARRIDO IGNACIO ENRIQU</v>
          </cell>
          <cell r="E1098" t="str">
            <v>FOD320001</v>
          </cell>
          <cell r="F1098">
            <v>22</v>
          </cell>
          <cell r="G1098">
            <v>30</v>
          </cell>
          <cell r="H1098" t="str">
            <v>IACEVEDO@UTALCA.CL</v>
          </cell>
        </row>
        <row r="1099">
          <cell r="B1099">
            <v>16826681</v>
          </cell>
          <cell r="C1099">
            <v>2</v>
          </cell>
          <cell r="D1099" t="str">
            <v>CERECEDA LEYTON CRISTINA ALEJA</v>
          </cell>
          <cell r="E1099" t="str">
            <v>FCI310003</v>
          </cell>
          <cell r="F1099">
            <v>44</v>
          </cell>
          <cell r="G1099">
            <v>30</v>
          </cell>
          <cell r="H1099" t="str">
            <v>CCERECEDA@UTALCA.CL</v>
          </cell>
        </row>
        <row r="1100">
          <cell r="B1100">
            <v>16827773</v>
          </cell>
          <cell r="C1100">
            <v>3</v>
          </cell>
          <cell r="D1100" t="str">
            <v>ACUÑA PEREIRA MARIA GISELLE</v>
          </cell>
          <cell r="E1100" t="str">
            <v/>
          </cell>
          <cell r="F1100">
            <v>44</v>
          </cell>
          <cell r="G1100">
            <v>30</v>
          </cell>
          <cell r="H1100" t="str">
            <v>MACUNA@UTALCA.CL</v>
          </cell>
        </row>
        <row r="1101">
          <cell r="B1101">
            <v>16835895</v>
          </cell>
          <cell r="C1101">
            <v>4</v>
          </cell>
          <cell r="D1101" t="str">
            <v>REBOLLEDO CANALES LAUTARO EMIL</v>
          </cell>
          <cell r="E1101" t="str">
            <v>VDE400009</v>
          </cell>
          <cell r="F1101">
            <v>30</v>
          </cell>
          <cell r="G1101">
            <v>30</v>
          </cell>
          <cell r="H1101" t="str">
            <v>DRLAUTAROREBOLLEDO@GMAIL.COM</v>
          </cell>
        </row>
        <row r="1102">
          <cell r="B1102">
            <v>16837202</v>
          </cell>
          <cell r="C1102">
            <v>7</v>
          </cell>
          <cell r="D1102" t="str">
            <v>SAN MARTIN ALCANTAR STEFANIE F</v>
          </cell>
          <cell r="E1102" t="str">
            <v>VGE400008</v>
          </cell>
          <cell r="F1102">
            <v>44</v>
          </cell>
          <cell r="G1102">
            <v>30</v>
          </cell>
          <cell r="H1102" t="str">
            <v>STEFANIE.SANMARTIN@UTALCA.CL</v>
          </cell>
        </row>
        <row r="1103">
          <cell r="B1103">
            <v>16837260</v>
          </cell>
          <cell r="C1103">
            <v>4</v>
          </cell>
          <cell r="D1103" t="str">
            <v>YAÑEZ GONZALEZ MARCO AURELIO</v>
          </cell>
          <cell r="E1103" t="str">
            <v>VGE400032</v>
          </cell>
          <cell r="F1103">
            <v>44</v>
          </cell>
          <cell r="G1103">
            <v>30</v>
          </cell>
          <cell r="H1103" t="str">
            <v>MARCO.YANEZ@UTALCA.CL</v>
          </cell>
        </row>
        <row r="1104">
          <cell r="B1104">
            <v>16838549</v>
          </cell>
          <cell r="C1104">
            <v>8</v>
          </cell>
          <cell r="D1104" t="str">
            <v>VERDUGO MEZA MARIA FERNANDA</v>
          </cell>
          <cell r="E1104" t="str">
            <v>VAC400001</v>
          </cell>
          <cell r="F1104">
            <v>44</v>
          </cell>
          <cell r="G1104">
            <v>30</v>
          </cell>
          <cell r="H1104" t="str">
            <v>MARIA.VERDUGO@UTALCA.CL</v>
          </cell>
        </row>
        <row r="1105">
          <cell r="B1105">
            <v>16838567</v>
          </cell>
          <cell r="C1105">
            <v>6</v>
          </cell>
          <cell r="D1105" t="str">
            <v>REYES VEGA NANCY ANDREA</v>
          </cell>
          <cell r="E1105" t="str">
            <v>VRF400003</v>
          </cell>
          <cell r="F1105">
            <v>44</v>
          </cell>
          <cell r="G1105">
            <v>29</v>
          </cell>
          <cell r="H1105" t="str">
            <v>NANCY.REYES@UTALCA.CL</v>
          </cell>
        </row>
        <row r="1106">
          <cell r="B1106">
            <v>16846727</v>
          </cell>
          <cell r="C1106">
            <v>3</v>
          </cell>
          <cell r="D1106" t="str">
            <v>SUAZO PACHECO FABIAN ANIBAL</v>
          </cell>
          <cell r="E1106" t="str">
            <v>ADC021006</v>
          </cell>
          <cell r="F1106">
            <v>44</v>
          </cell>
          <cell r="G1106">
            <v>30</v>
          </cell>
          <cell r="H1106" t="str">
            <v>FABIAN.SUAZO@UTALCA.CL</v>
          </cell>
        </row>
        <row r="1107">
          <cell r="B1107">
            <v>16856963</v>
          </cell>
          <cell r="C1107">
            <v>7</v>
          </cell>
          <cell r="D1107" t="str">
            <v>WALTER SAAVEDRA ANDREA DEL CAR</v>
          </cell>
          <cell r="E1107" t="str">
            <v>IMF300001</v>
          </cell>
          <cell r="F1107">
            <v>44</v>
          </cell>
          <cell r="G1107">
            <v>30</v>
          </cell>
          <cell r="H1107" t="str">
            <v>ANDREA.WALTER@UTALCA.CL</v>
          </cell>
        </row>
        <row r="1108">
          <cell r="B1108">
            <v>16857453</v>
          </cell>
          <cell r="C1108">
            <v>3</v>
          </cell>
          <cell r="D1108" t="str">
            <v>BARRA GUTIERREZ JAVIER ANDRES</v>
          </cell>
          <cell r="E1108" t="str">
            <v>VAC400074</v>
          </cell>
          <cell r="F1108">
            <v>44</v>
          </cell>
          <cell r="G1108">
            <v>30</v>
          </cell>
          <cell r="H1108" t="str">
            <v>JBARRA@UTALCA.CL</v>
          </cell>
        </row>
        <row r="1109">
          <cell r="B1109">
            <v>16859154</v>
          </cell>
          <cell r="C1109">
            <v>3</v>
          </cell>
          <cell r="D1109" t="str">
            <v>VALENZUELA MARTINEZ EVELYN DEL</v>
          </cell>
          <cell r="E1109" t="str">
            <v>VRF400005</v>
          </cell>
          <cell r="F1109">
            <v>44</v>
          </cell>
          <cell r="G1109">
            <v>30</v>
          </cell>
          <cell r="H1109" t="str">
            <v>EVELYN.VALENZUELA@UTALCA.CL</v>
          </cell>
        </row>
        <row r="1110">
          <cell r="B1110">
            <v>16859986</v>
          </cell>
          <cell r="C1110">
            <v>2</v>
          </cell>
          <cell r="D1110" t="str">
            <v>REYES ASTORGA NICOLAS ALONSO</v>
          </cell>
          <cell r="E1110" t="str">
            <v>VGE400009</v>
          </cell>
          <cell r="F1110">
            <v>44</v>
          </cell>
          <cell r="G1110">
            <v>30</v>
          </cell>
          <cell r="H1110" t="str">
            <v>NREYES@UTALCA.CL</v>
          </cell>
        </row>
        <row r="1111">
          <cell r="B1111">
            <v>16863798</v>
          </cell>
          <cell r="C1111">
            <v>5</v>
          </cell>
          <cell r="D1111" t="str">
            <v>RAMIREZ ALEGRIA ROBERTO ORLAND</v>
          </cell>
          <cell r="E1111" t="str">
            <v>FCI320007</v>
          </cell>
          <cell r="F1111">
            <v>44</v>
          </cell>
          <cell r="G1111">
            <v>30</v>
          </cell>
          <cell r="H1111" t="str">
            <v>RORAMIREZ@UTALCA.CL</v>
          </cell>
        </row>
        <row r="1112">
          <cell r="B1112">
            <v>16879544</v>
          </cell>
          <cell r="C1112">
            <v>0</v>
          </cell>
          <cell r="D1112" t="str">
            <v>MADRID ESPINOZA JOSE ANTONIO</v>
          </cell>
          <cell r="E1112" t="str">
            <v>ICB300001</v>
          </cell>
          <cell r="F1112">
            <v>22</v>
          </cell>
          <cell r="G1112">
            <v>30</v>
          </cell>
          <cell r="H1112" t="str">
            <v>JMADRID@UTALCA.CL</v>
          </cell>
        </row>
        <row r="1113">
          <cell r="B1113">
            <v>16900022</v>
          </cell>
          <cell r="C1113">
            <v>0</v>
          </cell>
          <cell r="D1113" t="str">
            <v>MIÑO CHAMORRO ERIKA CECILIA</v>
          </cell>
          <cell r="E1113" t="str">
            <v>FOD320001</v>
          </cell>
          <cell r="F1113">
            <v>22</v>
          </cell>
          <cell r="G1113">
            <v>30</v>
          </cell>
          <cell r="H1113" t="str">
            <v>EMINO@UTALCA.CL</v>
          </cell>
        </row>
        <row r="1114">
          <cell r="B1114">
            <v>16923757</v>
          </cell>
          <cell r="C1114">
            <v>3</v>
          </cell>
          <cell r="D1114" t="str">
            <v>GARCIA YAÑEZ KATHERINE ESTEFAN</v>
          </cell>
          <cell r="E1114" t="str">
            <v>FED310003</v>
          </cell>
          <cell r="F1114">
            <v>35</v>
          </cell>
          <cell r="G1114">
            <v>30</v>
          </cell>
          <cell r="H1114" t="str">
            <v>KATHERINE.GARCIA.IN@GMAIL.COM</v>
          </cell>
        </row>
        <row r="1115">
          <cell r="B1115">
            <v>16938969</v>
          </cell>
          <cell r="C1115">
            <v>1</v>
          </cell>
          <cell r="D1115" t="str">
            <v>OPAZO ALMARZA MARCELA PAZ</v>
          </cell>
          <cell r="E1115" t="str">
            <v>FPS310002</v>
          </cell>
          <cell r="F1115">
            <v>44</v>
          </cell>
          <cell r="G1115">
            <v>30</v>
          </cell>
          <cell r="H1115" t="str">
            <v>MARCELA.OPAZO@UTALCA.CL</v>
          </cell>
        </row>
        <row r="1116">
          <cell r="B1116">
            <v>16969233</v>
          </cell>
          <cell r="C1116">
            <v>5</v>
          </cell>
          <cell r="D1116" t="str">
            <v>FLEMING SOTO BHERNNY JESUS</v>
          </cell>
          <cell r="E1116" t="str">
            <v>FCJ340009</v>
          </cell>
          <cell r="F1116">
            <v>33</v>
          </cell>
          <cell r="G1116">
            <v>30</v>
          </cell>
          <cell r="H1116" t="str">
            <v>BFLEMING@UTALCA.CL</v>
          </cell>
        </row>
        <row r="1117">
          <cell r="B1117">
            <v>16975565</v>
          </cell>
          <cell r="C1117">
            <v>5</v>
          </cell>
          <cell r="D1117" t="str">
            <v>BAHAMONDEZ TORRES RICARDO ANDR</v>
          </cell>
          <cell r="E1117" t="str">
            <v>FAD310004</v>
          </cell>
          <cell r="F1117">
            <v>44</v>
          </cell>
          <cell r="G1117">
            <v>30</v>
          </cell>
          <cell r="H1117" t="str">
            <v>RICARDO.BAHAMONDEZ@UTALCA.CL</v>
          </cell>
        </row>
        <row r="1118">
          <cell r="B1118">
            <v>16978676</v>
          </cell>
          <cell r="C1118">
            <v>3</v>
          </cell>
          <cell r="D1118" t="str">
            <v>MUÑOZ AHUMADA CINDY ISABEL</v>
          </cell>
          <cell r="E1118" t="str">
            <v>ADC040001</v>
          </cell>
          <cell r="F1118">
            <v>44</v>
          </cell>
          <cell r="G1118">
            <v>30</v>
          </cell>
          <cell r="H1118" t="str">
            <v>CIDMUNOZ@UTALCA.CL</v>
          </cell>
        </row>
        <row r="1119">
          <cell r="B1119">
            <v>16980617</v>
          </cell>
          <cell r="C1119">
            <v>9</v>
          </cell>
          <cell r="D1119" t="str">
            <v>TORRES LEAL FERNANDO DANIEL AL</v>
          </cell>
          <cell r="E1119" t="str">
            <v>FCI320007</v>
          </cell>
          <cell r="F1119">
            <v>44</v>
          </cell>
          <cell r="G1119">
            <v>30</v>
          </cell>
          <cell r="H1119" t="str">
            <v>FETORRES@UTALCA.CL</v>
          </cell>
        </row>
        <row r="1120">
          <cell r="B1120">
            <v>16997754</v>
          </cell>
          <cell r="C1120">
            <v>2</v>
          </cell>
          <cell r="D1120" t="str">
            <v>ADRIAZOLA DIAZ FRANCISCA PILAR</v>
          </cell>
          <cell r="E1120" t="str">
            <v>FCS320012</v>
          </cell>
          <cell r="F1120">
            <v>44</v>
          </cell>
          <cell r="G1120">
            <v>30</v>
          </cell>
          <cell r="H1120" t="str">
            <v>FADRIAZOLA@UTALCA.CL</v>
          </cell>
        </row>
        <row r="1121">
          <cell r="B1121">
            <v>16998214</v>
          </cell>
          <cell r="C1121">
            <v>7</v>
          </cell>
          <cell r="D1121" t="str">
            <v>GARCIA ZERENE MARIA DEL PILAR</v>
          </cell>
          <cell r="E1121" t="str">
            <v>FPS340002</v>
          </cell>
          <cell r="F1121">
            <v>44</v>
          </cell>
          <cell r="G1121">
            <v>30</v>
          </cell>
          <cell r="H1121" t="str">
            <v>MGARCIAZ@UTALCA.CL</v>
          </cell>
        </row>
        <row r="1122">
          <cell r="B1122">
            <v>16998776</v>
          </cell>
          <cell r="C1122">
            <v>9</v>
          </cell>
          <cell r="D1122" t="str">
            <v>TORRES HERRERA IGNACIO JAVIER</v>
          </cell>
          <cell r="E1122" t="str">
            <v>FCI320007</v>
          </cell>
          <cell r="F1122">
            <v>44</v>
          </cell>
          <cell r="G1122">
            <v>30</v>
          </cell>
          <cell r="H1122" t="str">
            <v>IGTORRES@UTALCA.CL</v>
          </cell>
        </row>
        <row r="1123">
          <cell r="B1123">
            <v>16998942</v>
          </cell>
          <cell r="C1123">
            <v>7</v>
          </cell>
          <cell r="D1123" t="str">
            <v>INOSTROZA CACERES PEDRO ANDRES</v>
          </cell>
          <cell r="E1123" t="str">
            <v>VRF400008</v>
          </cell>
          <cell r="F1123">
            <v>44</v>
          </cell>
          <cell r="G1123">
            <v>30</v>
          </cell>
          <cell r="H1123" t="str">
            <v>PINOSTROZA@UTALCA.CL</v>
          </cell>
        </row>
        <row r="1124">
          <cell r="B1124">
            <v>16999327</v>
          </cell>
          <cell r="C1124">
            <v>0</v>
          </cell>
          <cell r="D1124" t="str">
            <v>OLAVE ROJAS DANIELA ESTEFANIA</v>
          </cell>
          <cell r="E1124" t="str">
            <v>FCI320004</v>
          </cell>
          <cell r="F1124">
            <v>44</v>
          </cell>
          <cell r="G1124">
            <v>30</v>
          </cell>
          <cell r="H1124" t="str">
            <v>DANIELA.OLAVE@UTALCA.CL</v>
          </cell>
        </row>
        <row r="1125">
          <cell r="B1125">
            <v>17024647</v>
          </cell>
          <cell r="C1125">
            <v>0</v>
          </cell>
          <cell r="D1125" t="str">
            <v>BARRON OYARCE IGNACIO ANDRES</v>
          </cell>
          <cell r="E1125" t="str">
            <v>FOD350001</v>
          </cell>
          <cell r="F1125">
            <v>11</v>
          </cell>
          <cell r="G1125">
            <v>30</v>
          </cell>
          <cell r="H1125" t="str">
            <v>IGNACIO.BARRON@UTALCA.CL</v>
          </cell>
        </row>
        <row r="1126">
          <cell r="B1126">
            <v>17027026</v>
          </cell>
          <cell r="C1126">
            <v>6</v>
          </cell>
          <cell r="D1126" t="str">
            <v>ERRAZURIZ MONTANARES MISAEL AN</v>
          </cell>
          <cell r="E1126" t="str">
            <v>ADC024006</v>
          </cell>
          <cell r="F1126">
            <v>44</v>
          </cell>
          <cell r="G1126">
            <v>30</v>
          </cell>
          <cell r="H1126" t="str">
            <v>MISAEL.ERRAZURIZ@UTALCA.CL</v>
          </cell>
        </row>
        <row r="1127">
          <cell r="B1127">
            <v>17039428</v>
          </cell>
          <cell r="C1127">
            <v>3</v>
          </cell>
          <cell r="D1127" t="str">
            <v>ROJAS AMIGO CARLA BERNARDITA</v>
          </cell>
          <cell r="E1127" t="str">
            <v>VDE400009</v>
          </cell>
          <cell r="F1127">
            <v>44</v>
          </cell>
          <cell r="G1127">
            <v>30</v>
          </cell>
          <cell r="H1127" t="str">
            <v>CARLA.ROJASA@UTALCA.CL</v>
          </cell>
        </row>
        <row r="1128">
          <cell r="B1128">
            <v>17039830</v>
          </cell>
          <cell r="C1128">
            <v>0</v>
          </cell>
          <cell r="D1128" t="str">
            <v>ROBLES FUENTES PATRICIO ANDRES</v>
          </cell>
          <cell r="E1128" t="str">
            <v>FCS320007</v>
          </cell>
          <cell r="F1128">
            <v>37</v>
          </cell>
          <cell r="G1128">
            <v>30</v>
          </cell>
          <cell r="H1128" t="str">
            <v>PROBLES@UTALCA.CL</v>
          </cell>
        </row>
        <row r="1129">
          <cell r="B1129">
            <v>17039851</v>
          </cell>
          <cell r="C1129">
            <v>3</v>
          </cell>
          <cell r="D1129" t="str">
            <v>ROJAS SEPULVEDA ALEX IGNACIO</v>
          </cell>
          <cell r="E1129" t="str">
            <v>VRF400063</v>
          </cell>
          <cell r="F1129">
            <v>44</v>
          </cell>
          <cell r="G1129">
            <v>30</v>
          </cell>
          <cell r="H1129" t="str">
            <v>ALEXROJAS@UTALCA.CL</v>
          </cell>
        </row>
        <row r="1130">
          <cell r="B1130">
            <v>17039914</v>
          </cell>
          <cell r="C1130">
            <v>5</v>
          </cell>
          <cell r="D1130" t="str">
            <v>ROMERO URRUTIA MARIA JOSE</v>
          </cell>
          <cell r="E1130" t="str">
            <v>ICB300001</v>
          </cell>
          <cell r="F1130">
            <v>44</v>
          </cell>
          <cell r="G1130">
            <v>30</v>
          </cell>
          <cell r="H1130" t="str">
            <v>MROMERO@UTALCA.CL</v>
          </cell>
        </row>
        <row r="1131">
          <cell r="B1131">
            <v>17040374</v>
          </cell>
          <cell r="C1131">
            <v>6</v>
          </cell>
          <cell r="D1131" t="str">
            <v>BRAVO ADASME NATALIA STHEFANIA</v>
          </cell>
          <cell r="E1131" t="str">
            <v>FEN310002</v>
          </cell>
          <cell r="F1131">
            <v>33</v>
          </cell>
          <cell r="G1131">
            <v>30</v>
          </cell>
          <cell r="H1131" t="str">
            <v>NBRAVO@UTALCA.CL</v>
          </cell>
        </row>
        <row r="1132">
          <cell r="B1132">
            <v>17040519</v>
          </cell>
          <cell r="C1132">
            <v>6</v>
          </cell>
          <cell r="D1132" t="str">
            <v>RAMIREZ JARA JOSUE ISAAC</v>
          </cell>
          <cell r="E1132" t="str">
            <v>VDE400002</v>
          </cell>
          <cell r="F1132">
            <v>44</v>
          </cell>
          <cell r="G1132">
            <v>30</v>
          </cell>
          <cell r="H1132" t="str">
            <v>JOSRAMIREZ@UTALCA.CL</v>
          </cell>
        </row>
        <row r="1133">
          <cell r="B1133">
            <v>17040710</v>
          </cell>
          <cell r="C1133">
            <v>5</v>
          </cell>
          <cell r="D1133" t="str">
            <v>BEAUDOUT VILLENA MARIA FERNAND</v>
          </cell>
          <cell r="E1133" t="str">
            <v>FAD310002</v>
          </cell>
          <cell r="F1133">
            <v>44</v>
          </cell>
          <cell r="G1133">
            <v>16</v>
          </cell>
          <cell r="H1133" t="str">
            <v>FERNANDAVEAUDOUT@GMAIL.COM</v>
          </cell>
        </row>
        <row r="1134">
          <cell r="B1134">
            <v>17040717</v>
          </cell>
          <cell r="C1134">
            <v>2</v>
          </cell>
          <cell r="D1134" t="str">
            <v>BECERRA TORRES GABRIELA VICTOR</v>
          </cell>
          <cell r="E1134" t="str">
            <v>VGE400003</v>
          </cell>
          <cell r="F1134">
            <v>44</v>
          </cell>
          <cell r="G1134">
            <v>30</v>
          </cell>
          <cell r="H1134" t="str">
            <v>GBECERRA@UTALCA.CL</v>
          </cell>
        </row>
        <row r="1135">
          <cell r="B1135">
            <v>17046723</v>
          </cell>
          <cell r="C1135" t="str">
            <v>K</v>
          </cell>
          <cell r="D1135" t="str">
            <v>TURNER PANTOJA AILEEN XIMENA</v>
          </cell>
          <cell r="E1135" t="str">
            <v>ICB300001</v>
          </cell>
          <cell r="F1135">
            <v>44</v>
          </cell>
          <cell r="G1135">
            <v>30</v>
          </cell>
          <cell r="H1135" t="str">
            <v>ATURNER@UTALCA.CL</v>
          </cell>
        </row>
        <row r="1136">
          <cell r="B1136">
            <v>17059038</v>
          </cell>
          <cell r="C1136">
            <v>4</v>
          </cell>
          <cell r="D1136" t="str">
            <v>ARENAS TORRES FELIPE EDUARDO</v>
          </cell>
          <cell r="E1136" t="str">
            <v>FEN310004</v>
          </cell>
          <cell r="F1136">
            <v>44</v>
          </cell>
          <cell r="G1136">
            <v>30</v>
          </cell>
          <cell r="H1136" t="str">
            <v>FARENAS@UTALCA.CL</v>
          </cell>
        </row>
        <row r="1137">
          <cell r="B1137">
            <v>17059230</v>
          </cell>
          <cell r="C1137">
            <v>1</v>
          </cell>
          <cell r="D1137" t="str">
            <v>ESPINOZA ZAMBRANO MACARENA IVO</v>
          </cell>
          <cell r="E1137" t="str">
            <v>ADC040001</v>
          </cell>
          <cell r="F1137">
            <v>44</v>
          </cell>
          <cell r="G1137">
            <v>30</v>
          </cell>
          <cell r="H1137" t="str">
            <v>MACARENA.ESPINOZA@UTALCA.CL</v>
          </cell>
        </row>
        <row r="1138">
          <cell r="B1138">
            <v>17061498</v>
          </cell>
          <cell r="C1138">
            <v>4</v>
          </cell>
          <cell r="D1138" t="str">
            <v>BUSTOS URRA KARLA MARGARITA</v>
          </cell>
          <cell r="E1138" t="str">
            <v>FED310002</v>
          </cell>
          <cell r="F1138">
            <v>44</v>
          </cell>
          <cell r="G1138">
            <v>30</v>
          </cell>
          <cell r="H1138" t="str">
            <v>KBUSTOS@UTALCA.CL</v>
          </cell>
        </row>
        <row r="1139">
          <cell r="B1139">
            <v>17128265</v>
          </cell>
          <cell r="C1139">
            <v>9</v>
          </cell>
          <cell r="D1139" t="str">
            <v>RODRIGUEZ DUQUE MARIA NATALIA</v>
          </cell>
          <cell r="E1139" t="str">
            <v>FCS320009</v>
          </cell>
          <cell r="F1139">
            <v>33</v>
          </cell>
          <cell r="G1139">
            <v>30</v>
          </cell>
          <cell r="H1139" t="str">
            <v>MRODRIGUEZD@UTALCA.CL</v>
          </cell>
        </row>
        <row r="1140">
          <cell r="B1140">
            <v>17130856</v>
          </cell>
          <cell r="C1140">
            <v>9</v>
          </cell>
          <cell r="D1140" t="str">
            <v>JIMENEZ ACUÑA DANIEL FELIPE</v>
          </cell>
          <cell r="E1140" t="str">
            <v>VDE400009</v>
          </cell>
          <cell r="F1140">
            <v>44</v>
          </cell>
          <cell r="G1140">
            <v>30</v>
          </cell>
          <cell r="H1140" t="str">
            <v>DJIMENEZ@UTALCA.CL</v>
          </cell>
        </row>
        <row r="1141">
          <cell r="B1141">
            <v>17131265</v>
          </cell>
          <cell r="C1141">
            <v>5</v>
          </cell>
          <cell r="D1141" t="str">
            <v>VARAS CONCHA HENRY BERNARD</v>
          </cell>
          <cell r="E1141" t="str">
            <v>VGE400050</v>
          </cell>
          <cell r="F1141">
            <v>44</v>
          </cell>
          <cell r="G1141">
            <v>30</v>
          </cell>
          <cell r="H1141" t="str">
            <v>HVARAS@UTALCA.CL</v>
          </cell>
        </row>
        <row r="1142">
          <cell r="B1142">
            <v>17134334</v>
          </cell>
          <cell r="C1142">
            <v>8</v>
          </cell>
          <cell r="D1142" t="str">
            <v>NUÑEZ ABARCA FERNANDA BEATRIZ</v>
          </cell>
          <cell r="E1142" t="str">
            <v/>
          </cell>
          <cell r="F1142">
            <v>44</v>
          </cell>
          <cell r="G1142">
            <v>30</v>
          </cell>
          <cell r="H1142" t="str">
            <v>FNUNEZ@UTALCA.CL</v>
          </cell>
        </row>
        <row r="1143">
          <cell r="B1143">
            <v>17139889</v>
          </cell>
          <cell r="C1143">
            <v>4</v>
          </cell>
          <cell r="D1143" t="str">
            <v>VERGARA PEREZ ROXANA DEL CARME</v>
          </cell>
          <cell r="E1143" t="str">
            <v>VAC400060</v>
          </cell>
          <cell r="F1143">
            <v>44</v>
          </cell>
          <cell r="G1143">
            <v>30</v>
          </cell>
          <cell r="H1143" t="str">
            <v>RVERGARA@UTALCA.CL</v>
          </cell>
        </row>
        <row r="1144">
          <cell r="B1144">
            <v>17144810</v>
          </cell>
          <cell r="C1144">
            <v>7</v>
          </cell>
          <cell r="D1144" t="str">
            <v>MARTINEZ DIAZ DARIAN ROBINSON</v>
          </cell>
          <cell r="E1144" t="str">
            <v>IMF300001</v>
          </cell>
          <cell r="F1144">
            <v>44</v>
          </cell>
          <cell r="G1144">
            <v>30</v>
          </cell>
          <cell r="H1144" t="str">
            <v>DAMARTINEZ@UTALCA.CL</v>
          </cell>
        </row>
        <row r="1145">
          <cell r="B1145">
            <v>17144822</v>
          </cell>
          <cell r="C1145">
            <v>0</v>
          </cell>
          <cell r="D1145" t="str">
            <v>GAMBOA GAMBOA CRISTINA ANDREA</v>
          </cell>
          <cell r="E1145" t="str">
            <v>FCI200001</v>
          </cell>
          <cell r="F1145">
            <v>44</v>
          </cell>
          <cell r="G1145">
            <v>30</v>
          </cell>
          <cell r="H1145" t="str">
            <v>CGAMBOA@UTALCA.CL</v>
          </cell>
        </row>
        <row r="1146">
          <cell r="B1146">
            <v>17147360</v>
          </cell>
          <cell r="C1146">
            <v>8</v>
          </cell>
          <cell r="D1146" t="str">
            <v>YAÑEZ ESPARZA TATIANA ALEJANDR</v>
          </cell>
          <cell r="E1146" t="str">
            <v>VDE400001</v>
          </cell>
          <cell r="F1146">
            <v>44</v>
          </cell>
          <cell r="G1146">
            <v>30</v>
          </cell>
          <cell r="H1146" t="str">
            <v>TYANEZ@UTALCA.CL</v>
          </cell>
        </row>
        <row r="1147">
          <cell r="B1147">
            <v>17155336</v>
          </cell>
          <cell r="C1147">
            <v>9</v>
          </cell>
          <cell r="D1147" t="str">
            <v>QUEZADA SEPULVEDA FRANCISCO AL</v>
          </cell>
          <cell r="E1147" t="str">
            <v>VGE400055</v>
          </cell>
          <cell r="F1147">
            <v>44</v>
          </cell>
          <cell r="G1147">
            <v>30</v>
          </cell>
          <cell r="H1147" t="str">
            <v>FRANCISCO.QUEZADA@UTALCA.CL</v>
          </cell>
        </row>
        <row r="1148">
          <cell r="B1148">
            <v>17155790</v>
          </cell>
          <cell r="C1148">
            <v>9</v>
          </cell>
          <cell r="D1148" t="str">
            <v>ROJAS MORALES GIOVANNA GRAY</v>
          </cell>
          <cell r="E1148" t="str">
            <v>VDE400001</v>
          </cell>
          <cell r="F1148">
            <v>44</v>
          </cell>
          <cell r="G1148">
            <v>29</v>
          </cell>
          <cell r="H1148" t="str">
            <v>G.ROJAS@UTALCA.CL</v>
          </cell>
        </row>
        <row r="1149">
          <cell r="B1149">
            <v>17157431</v>
          </cell>
          <cell r="C1149">
            <v>5</v>
          </cell>
          <cell r="D1149" t="str">
            <v>TORRES MORENO JOSE IGNACIO</v>
          </cell>
          <cell r="E1149" t="str">
            <v>FAD310002</v>
          </cell>
          <cell r="F1149">
            <v>33</v>
          </cell>
          <cell r="G1149">
            <v>30</v>
          </cell>
          <cell r="H1149" t="str">
            <v>JOSE.TORRES@UTALCA.CL</v>
          </cell>
        </row>
        <row r="1150">
          <cell r="B1150">
            <v>17166658</v>
          </cell>
          <cell r="C1150">
            <v>9</v>
          </cell>
          <cell r="D1150" t="str">
            <v>SILVA CANCINO CRISTIAN ALEXIS</v>
          </cell>
          <cell r="E1150" t="str">
            <v>VRF400005</v>
          </cell>
          <cell r="F1150">
            <v>44</v>
          </cell>
          <cell r="G1150">
            <v>30</v>
          </cell>
          <cell r="H1150" t="str">
            <v>CSILVA@UTALCA.CL</v>
          </cell>
        </row>
        <row r="1151">
          <cell r="B1151">
            <v>17183624</v>
          </cell>
          <cell r="C1151">
            <v>7</v>
          </cell>
          <cell r="D1151" t="str">
            <v>ROJAS GUTIERREZ URBANO ANTONIO</v>
          </cell>
          <cell r="E1151" t="str">
            <v>VRF400023</v>
          </cell>
          <cell r="F1151">
            <v>44</v>
          </cell>
          <cell r="G1151">
            <v>30</v>
          </cell>
          <cell r="H1151" t="str">
            <v>UROJAS@UTALCA.CL</v>
          </cell>
        </row>
        <row r="1152">
          <cell r="B1152">
            <v>17183705</v>
          </cell>
          <cell r="C1152">
            <v>7</v>
          </cell>
          <cell r="D1152" t="str">
            <v>RUBINA MUÑOZ VICTORIA STEPHANI</v>
          </cell>
          <cell r="E1152" t="str">
            <v>VRF400043</v>
          </cell>
          <cell r="F1152">
            <v>44</v>
          </cell>
          <cell r="G1152">
            <v>30</v>
          </cell>
          <cell r="H1152" t="str">
            <v>VICTORIA.RUBINA@UTALCA.CL</v>
          </cell>
        </row>
        <row r="1153">
          <cell r="B1153">
            <v>17183869</v>
          </cell>
          <cell r="C1153" t="str">
            <v>K</v>
          </cell>
          <cell r="D1153" t="str">
            <v>BUENO RAMIREZ CLAUDIA FRANCISC</v>
          </cell>
          <cell r="E1153" t="str">
            <v>IMF300001</v>
          </cell>
          <cell r="F1153">
            <v>44</v>
          </cell>
          <cell r="G1153">
            <v>30</v>
          </cell>
          <cell r="H1153" t="str">
            <v>CBUENO@UTALCA.CL</v>
          </cell>
        </row>
        <row r="1154">
          <cell r="B1154">
            <v>17184394</v>
          </cell>
          <cell r="C1154">
            <v>4</v>
          </cell>
          <cell r="D1154" t="str">
            <v>ROJAS ESPINOZA FRANCISCO IGNAC</v>
          </cell>
          <cell r="E1154" t="str">
            <v>VGE400021</v>
          </cell>
          <cell r="F1154">
            <v>44</v>
          </cell>
          <cell r="G1154">
            <v>30</v>
          </cell>
          <cell r="H1154" t="str">
            <v>FRANROJAS@UTALCA.CL</v>
          </cell>
        </row>
        <row r="1155">
          <cell r="B1155">
            <v>17184475</v>
          </cell>
          <cell r="C1155">
            <v>4</v>
          </cell>
          <cell r="D1155" t="str">
            <v>FUENTES ARAVENA CRISTIAN ADOLF</v>
          </cell>
          <cell r="E1155" t="str">
            <v>VGE400058</v>
          </cell>
          <cell r="F1155">
            <v>44</v>
          </cell>
          <cell r="G1155">
            <v>30</v>
          </cell>
          <cell r="H1155" t="str">
            <v>CRISTIAN.FUENTES@UTALCA.CL</v>
          </cell>
        </row>
        <row r="1156">
          <cell r="B1156">
            <v>17184765</v>
          </cell>
          <cell r="C1156">
            <v>6</v>
          </cell>
          <cell r="D1156" t="str">
            <v>SALGADO HERNÁNDEZ JOSÉ LUIS</v>
          </cell>
          <cell r="E1156" t="str">
            <v>VGE400055</v>
          </cell>
          <cell r="F1156">
            <v>44</v>
          </cell>
          <cell r="G1156">
            <v>30</v>
          </cell>
          <cell r="H1156" t="str">
            <v/>
          </cell>
        </row>
        <row r="1157">
          <cell r="B1157">
            <v>17185213</v>
          </cell>
          <cell r="C1157">
            <v>7</v>
          </cell>
          <cell r="D1157" t="str">
            <v>LOPEZ LOPEZ DANIELA NICOLE</v>
          </cell>
          <cell r="E1157" t="str">
            <v>FCS310007</v>
          </cell>
          <cell r="F1157">
            <v>22</v>
          </cell>
          <cell r="G1157">
            <v>30</v>
          </cell>
          <cell r="H1157" t="str">
            <v>DANIELA.LOPEZ@UTALCA.CL</v>
          </cell>
        </row>
        <row r="1158">
          <cell r="B1158">
            <v>17185238</v>
          </cell>
          <cell r="C1158">
            <v>2</v>
          </cell>
          <cell r="D1158" t="str">
            <v>MARDONES MENDEZ GABRIELA DE LO</v>
          </cell>
          <cell r="E1158" t="str">
            <v>VGE400019</v>
          </cell>
          <cell r="F1158">
            <v>44</v>
          </cell>
          <cell r="G1158">
            <v>30</v>
          </cell>
          <cell r="H1158" t="str">
            <v>G.MARDONES@UTALCA.CL</v>
          </cell>
        </row>
        <row r="1159">
          <cell r="B1159">
            <v>17185608</v>
          </cell>
          <cell r="C1159">
            <v>6</v>
          </cell>
          <cell r="D1159" t="str">
            <v>NORAMBUENA GONZALEZ RAMON ANTO</v>
          </cell>
          <cell r="E1159" t="str">
            <v>FCS320007</v>
          </cell>
          <cell r="F1159">
            <v>22</v>
          </cell>
          <cell r="G1159">
            <v>30</v>
          </cell>
          <cell r="H1159" t="str">
            <v>RAMON.NORAMBUENA@UTALCA.CL</v>
          </cell>
        </row>
        <row r="1160">
          <cell r="B1160">
            <v>17185987</v>
          </cell>
          <cell r="C1160">
            <v>5</v>
          </cell>
          <cell r="D1160" t="str">
            <v>ANDAUR PACHECO YORDANA VALESKA</v>
          </cell>
          <cell r="E1160" t="str">
            <v>ADC030114</v>
          </cell>
          <cell r="F1160">
            <v>44</v>
          </cell>
          <cell r="G1160">
            <v>30</v>
          </cell>
          <cell r="H1160" t="str">
            <v>YANDAUR@UTALCA.CL</v>
          </cell>
        </row>
        <row r="1161">
          <cell r="B1161">
            <v>17186139</v>
          </cell>
          <cell r="C1161" t="str">
            <v>K</v>
          </cell>
          <cell r="D1161" t="str">
            <v>MUÑOZ RIOS KAREN ALEJANDRA</v>
          </cell>
          <cell r="E1161" t="str">
            <v>VDE400001</v>
          </cell>
          <cell r="F1161">
            <v>44</v>
          </cell>
          <cell r="G1161">
            <v>30</v>
          </cell>
          <cell r="H1161" t="str">
            <v>KAREN.MUNOZ@UTALCA.CL</v>
          </cell>
        </row>
        <row r="1162">
          <cell r="B1162">
            <v>17186438</v>
          </cell>
          <cell r="C1162">
            <v>0</v>
          </cell>
          <cell r="D1162" t="str">
            <v>ROJAS OKUINGHTTONS CARLA JAVIE</v>
          </cell>
          <cell r="E1162" t="str">
            <v>FCA200001</v>
          </cell>
          <cell r="F1162">
            <v>44</v>
          </cell>
          <cell r="G1162">
            <v>30</v>
          </cell>
          <cell r="H1162" t="str">
            <v>CARLA.ROJAS@UTALCA.CL</v>
          </cell>
        </row>
        <row r="1163">
          <cell r="B1163">
            <v>17187067</v>
          </cell>
          <cell r="C1163">
            <v>4</v>
          </cell>
          <cell r="D1163" t="str">
            <v>AVILA JIMENEZ CESAR ANTONIO</v>
          </cell>
          <cell r="E1163" t="str">
            <v>FCS320007</v>
          </cell>
          <cell r="F1163">
            <v>44</v>
          </cell>
          <cell r="G1163">
            <v>30</v>
          </cell>
          <cell r="H1163" t="str">
            <v>CESAR.AVILA@UTALCA.CL</v>
          </cell>
        </row>
        <row r="1164">
          <cell r="B1164">
            <v>17187393</v>
          </cell>
          <cell r="C1164">
            <v>2</v>
          </cell>
          <cell r="D1164" t="str">
            <v>ARAYA BUSTOS MARIA FRANCISCA</v>
          </cell>
          <cell r="E1164" t="str">
            <v>FOD320001</v>
          </cell>
          <cell r="F1164">
            <v>22</v>
          </cell>
          <cell r="G1164">
            <v>30</v>
          </cell>
          <cell r="H1164" t="str">
            <v>M.ARAYA@UTALCA.CL</v>
          </cell>
        </row>
        <row r="1165">
          <cell r="B1165">
            <v>17192092</v>
          </cell>
          <cell r="C1165">
            <v>2</v>
          </cell>
          <cell r="D1165" t="str">
            <v>FUENTES ACEVEDO FRANCISCO ANTO</v>
          </cell>
          <cell r="E1165" t="str">
            <v/>
          </cell>
          <cell r="F1165">
            <v>44</v>
          </cell>
          <cell r="G1165">
            <v>30</v>
          </cell>
          <cell r="H1165" t="str">
            <v/>
          </cell>
        </row>
        <row r="1166">
          <cell r="B1166">
            <v>17207756</v>
          </cell>
          <cell r="C1166">
            <v>0</v>
          </cell>
          <cell r="D1166" t="str">
            <v>CABRERA BURGOS MARGARITA ELENA</v>
          </cell>
          <cell r="E1166" t="str">
            <v>VRF400023</v>
          </cell>
          <cell r="F1166">
            <v>44</v>
          </cell>
          <cell r="G1166">
            <v>30</v>
          </cell>
          <cell r="H1166" t="str">
            <v>MARGARITA.CABRERA@UTALCA.CL</v>
          </cell>
        </row>
        <row r="1167">
          <cell r="B1167">
            <v>17246495</v>
          </cell>
          <cell r="C1167">
            <v>5</v>
          </cell>
          <cell r="D1167" t="str">
            <v>ROJAS ESCOBAR GUILLERMO ISAIAS</v>
          </cell>
          <cell r="E1167" t="str">
            <v>VGE400005</v>
          </cell>
          <cell r="F1167">
            <v>44</v>
          </cell>
          <cell r="G1167">
            <v>30</v>
          </cell>
          <cell r="H1167" t="str">
            <v>GUILLERMO.ROJAS@UTALCA.CL</v>
          </cell>
        </row>
        <row r="1168">
          <cell r="B1168">
            <v>17259127</v>
          </cell>
          <cell r="C1168">
            <v>2</v>
          </cell>
          <cell r="D1168" t="str">
            <v>MELENDEZ BECERRA KASANDRA YUDY</v>
          </cell>
          <cell r="E1168" t="str">
            <v/>
          </cell>
          <cell r="F1168">
            <v>22</v>
          </cell>
          <cell r="G1168">
            <v>30</v>
          </cell>
          <cell r="H1168" t="str">
            <v>KASANDRA.MELENDEZ@UTALCA.CL</v>
          </cell>
        </row>
        <row r="1169">
          <cell r="B1169">
            <v>17267021</v>
          </cell>
          <cell r="C1169">
            <v>0</v>
          </cell>
          <cell r="D1169" t="str">
            <v>IBAÑEZ PEÑA MIGUEL ANTONIO</v>
          </cell>
          <cell r="E1169" t="str">
            <v>ADC021005</v>
          </cell>
          <cell r="F1169">
            <v>44</v>
          </cell>
          <cell r="G1169">
            <v>30</v>
          </cell>
          <cell r="H1169" t="str">
            <v>MIGUELIBANEZ@UTALCA.CL</v>
          </cell>
        </row>
        <row r="1170">
          <cell r="B1170">
            <v>17305990</v>
          </cell>
          <cell r="C1170">
            <v>6</v>
          </cell>
          <cell r="D1170" t="str">
            <v>QUIÑONES SAN MARTIN MATIAS JOS</v>
          </cell>
          <cell r="E1170" t="str">
            <v>FCS320007</v>
          </cell>
          <cell r="F1170">
            <v>11</v>
          </cell>
          <cell r="G1170">
            <v>30</v>
          </cell>
          <cell r="H1170" t="str">
            <v>MQUINONES@UTALCA.CL</v>
          </cell>
        </row>
        <row r="1171">
          <cell r="B1171">
            <v>17321878</v>
          </cell>
          <cell r="C1171">
            <v>8</v>
          </cell>
          <cell r="D1171" t="str">
            <v>BUSTOS MUÑOZ JOSE IGNACIO</v>
          </cell>
          <cell r="E1171" t="str">
            <v>FCS320009</v>
          </cell>
          <cell r="F1171">
            <v>33</v>
          </cell>
          <cell r="G1171">
            <v>30</v>
          </cell>
          <cell r="H1171" t="str">
            <v>JOBUSTOS@UTALCA.CL</v>
          </cell>
        </row>
        <row r="1172">
          <cell r="B1172">
            <v>17322443</v>
          </cell>
          <cell r="C1172">
            <v>5</v>
          </cell>
          <cell r="D1172" t="str">
            <v>ORTEGA PIZARRO SEBASTIAN ANDRE</v>
          </cell>
          <cell r="E1172" t="str">
            <v/>
          </cell>
          <cell r="F1172">
            <v>44</v>
          </cell>
          <cell r="G1172">
            <v>30</v>
          </cell>
          <cell r="H1172" t="str">
            <v>SEBORTEGA@UTALCA.CL</v>
          </cell>
        </row>
        <row r="1173">
          <cell r="B1173">
            <v>17322755</v>
          </cell>
          <cell r="C1173">
            <v>8</v>
          </cell>
          <cell r="D1173" t="str">
            <v>ROJAS OPAZO LILIAN FERNANDA</v>
          </cell>
          <cell r="E1173" t="str">
            <v>VRF400043</v>
          </cell>
          <cell r="F1173">
            <v>44</v>
          </cell>
          <cell r="G1173">
            <v>30</v>
          </cell>
          <cell r="H1173" t="str">
            <v>LILROJAS@UTALCA.CL</v>
          </cell>
        </row>
        <row r="1174">
          <cell r="B1174">
            <v>17322887</v>
          </cell>
          <cell r="C1174">
            <v>2</v>
          </cell>
          <cell r="D1174" t="str">
            <v>GUTIERREZ SOLORZA ALVARO IGNAC</v>
          </cell>
          <cell r="E1174" t="str">
            <v>VGE400009</v>
          </cell>
          <cell r="F1174">
            <v>44</v>
          </cell>
          <cell r="G1174">
            <v>30</v>
          </cell>
          <cell r="H1174" t="str">
            <v>ALVARO.GUTIERREZ@UTALCA.CL</v>
          </cell>
        </row>
        <row r="1175">
          <cell r="B1175">
            <v>17347787</v>
          </cell>
          <cell r="C1175">
            <v>2</v>
          </cell>
          <cell r="D1175" t="str">
            <v>ZAPATA FUENTE-ALBA KARLA VALER</v>
          </cell>
          <cell r="E1175" t="str">
            <v>FOD320002</v>
          </cell>
          <cell r="F1175">
            <v>22</v>
          </cell>
          <cell r="G1175">
            <v>30</v>
          </cell>
          <cell r="H1175" t="str">
            <v>AZAPATA@UTALCA.CL</v>
          </cell>
        </row>
        <row r="1176">
          <cell r="B1176">
            <v>17349909</v>
          </cell>
          <cell r="C1176">
            <v>4</v>
          </cell>
          <cell r="D1176" t="str">
            <v>LABRÍN MÉNDEZ MACARENA ALEJAND</v>
          </cell>
          <cell r="E1176" t="str">
            <v>FCS340010</v>
          </cell>
          <cell r="F1176">
            <v>33</v>
          </cell>
          <cell r="G1176">
            <v>30</v>
          </cell>
          <cell r="H1176" t="str">
            <v>MACARENA.LABRIN@UTALCA.CL</v>
          </cell>
        </row>
        <row r="1177">
          <cell r="B1177">
            <v>17350135</v>
          </cell>
          <cell r="C1177">
            <v>8</v>
          </cell>
          <cell r="D1177" t="str">
            <v>FUENTES LAGOS FERNANDA STEPHAN</v>
          </cell>
          <cell r="E1177" t="str">
            <v>IMF300001</v>
          </cell>
          <cell r="F1177">
            <v>44</v>
          </cell>
          <cell r="G1177">
            <v>30</v>
          </cell>
          <cell r="H1177" t="str">
            <v>FEFUENTES@UTALCA.CL</v>
          </cell>
        </row>
        <row r="1178">
          <cell r="B1178">
            <v>17361383</v>
          </cell>
          <cell r="C1178">
            <v>0</v>
          </cell>
          <cell r="D1178" t="str">
            <v>RODRIGUEZ SAAVEDRA FELIPE ALEX</v>
          </cell>
          <cell r="E1178" t="str">
            <v>VGE400050</v>
          </cell>
          <cell r="F1178">
            <v>44</v>
          </cell>
          <cell r="G1178">
            <v>30</v>
          </cell>
          <cell r="H1178" t="str">
            <v>FELIPE.RODRIGUEZS@UTALCA.CL</v>
          </cell>
        </row>
        <row r="1179">
          <cell r="B1179">
            <v>17365582</v>
          </cell>
          <cell r="C1179">
            <v>7</v>
          </cell>
          <cell r="D1179" t="str">
            <v>PACHECO RAMIREZ SOFIA MARIA CO</v>
          </cell>
          <cell r="E1179" t="str">
            <v>ADC015001</v>
          </cell>
          <cell r="F1179">
            <v>44</v>
          </cell>
          <cell r="G1179">
            <v>30</v>
          </cell>
          <cell r="H1179" t="str">
            <v>SPACHECO@UTALCA.CL</v>
          </cell>
        </row>
        <row r="1180">
          <cell r="B1180">
            <v>17395300</v>
          </cell>
          <cell r="C1180">
            <v>3</v>
          </cell>
          <cell r="D1180" t="str">
            <v>PALMA OLATE JONATHAN MATIAS</v>
          </cell>
          <cell r="E1180" t="str">
            <v>FCI320007</v>
          </cell>
          <cell r="F1180">
            <v>44</v>
          </cell>
          <cell r="G1180">
            <v>30</v>
          </cell>
          <cell r="H1180" t="str">
            <v>JONATHAN.PALMA@UTALCA.CL</v>
          </cell>
        </row>
        <row r="1181">
          <cell r="B1181">
            <v>17399987</v>
          </cell>
          <cell r="C1181">
            <v>9</v>
          </cell>
          <cell r="D1181" t="str">
            <v>HENRIQUEZ TORO IVONNE ANDREA</v>
          </cell>
          <cell r="E1181" t="str">
            <v/>
          </cell>
          <cell r="F1181">
            <v>44</v>
          </cell>
          <cell r="G1181">
            <v>30</v>
          </cell>
          <cell r="H1181" t="str">
            <v>IVONNE.HENRIQUEZ@UTALCA.CL</v>
          </cell>
        </row>
        <row r="1182">
          <cell r="B1182">
            <v>17404279</v>
          </cell>
          <cell r="C1182">
            <v>9</v>
          </cell>
          <cell r="D1182" t="str">
            <v>MARTINEZ ESCUDERO NATALIA VALE</v>
          </cell>
          <cell r="E1182" t="str">
            <v>FOD320003</v>
          </cell>
          <cell r="F1182">
            <v>22</v>
          </cell>
          <cell r="G1182">
            <v>30</v>
          </cell>
          <cell r="H1182" t="str">
            <v>NATALIA.MARTINEZ@UTALCA.CL</v>
          </cell>
        </row>
        <row r="1183">
          <cell r="B1183">
            <v>17410221</v>
          </cell>
          <cell r="C1183" t="str">
            <v>K</v>
          </cell>
          <cell r="D1183" t="str">
            <v>TORRES TORRES EDGARD ALFREDO</v>
          </cell>
          <cell r="E1183" t="str">
            <v>FAD310001</v>
          </cell>
          <cell r="F1183">
            <v>44</v>
          </cell>
          <cell r="G1183">
            <v>30</v>
          </cell>
          <cell r="H1183" t="str">
            <v>ETORRES@UTALCA.CL</v>
          </cell>
        </row>
        <row r="1184">
          <cell r="B1184">
            <v>17418463</v>
          </cell>
          <cell r="C1184">
            <v>1</v>
          </cell>
          <cell r="D1184" t="str">
            <v>GUTIERREZ MORALES ESTEBAN ELIA</v>
          </cell>
          <cell r="E1184" t="str">
            <v>VGE400052</v>
          </cell>
          <cell r="F1184">
            <v>44</v>
          </cell>
          <cell r="G1184">
            <v>30</v>
          </cell>
          <cell r="H1184" t="str">
            <v>ESTEBAN.GUTIERREZ@UTALCA.CL</v>
          </cell>
        </row>
        <row r="1185">
          <cell r="B1185">
            <v>17431022</v>
          </cell>
          <cell r="C1185" t="str">
            <v>K</v>
          </cell>
          <cell r="D1185" t="str">
            <v>DURÁN MONTERO FRANCISCA ANDREA</v>
          </cell>
          <cell r="E1185" t="str">
            <v>FOD350001</v>
          </cell>
          <cell r="F1185">
            <v>11</v>
          </cell>
          <cell r="G1185">
            <v>30</v>
          </cell>
          <cell r="H1185" t="str">
            <v>FRANCISCA.DURAN@UTALCA.CL</v>
          </cell>
        </row>
        <row r="1186">
          <cell r="B1186">
            <v>17433432</v>
          </cell>
          <cell r="C1186">
            <v>3</v>
          </cell>
          <cell r="D1186" t="str">
            <v>SARRIAS JERALDO MAURICIO ALEJA</v>
          </cell>
          <cell r="E1186" t="str">
            <v>FEN310001</v>
          </cell>
          <cell r="F1186">
            <v>44</v>
          </cell>
          <cell r="G1186">
            <v>30</v>
          </cell>
          <cell r="H1186" t="str">
            <v>MAURICIO.SARRIAS@UTALCA.CL</v>
          </cell>
        </row>
        <row r="1187">
          <cell r="B1187">
            <v>17441802</v>
          </cell>
          <cell r="C1187">
            <v>0</v>
          </cell>
          <cell r="D1187" t="str">
            <v>RAMOS VEGA VICTOR HUGO</v>
          </cell>
          <cell r="E1187" t="str">
            <v>FCS320007</v>
          </cell>
          <cell r="F1187">
            <v>44</v>
          </cell>
          <cell r="G1187">
            <v>30</v>
          </cell>
          <cell r="H1187" t="str">
            <v>VRAMOS@UTALCA.CL</v>
          </cell>
        </row>
        <row r="1188">
          <cell r="B1188">
            <v>17443485</v>
          </cell>
          <cell r="C1188">
            <v>9</v>
          </cell>
          <cell r="D1188" t="str">
            <v>DIAZ RIQUELME JOSE OMAR</v>
          </cell>
          <cell r="E1188" t="str">
            <v>VRF400005</v>
          </cell>
          <cell r="F1188">
            <v>44</v>
          </cell>
          <cell r="G1188">
            <v>30</v>
          </cell>
          <cell r="H1188" t="str">
            <v>JDIAZ@UTALCA.CL</v>
          </cell>
        </row>
        <row r="1189">
          <cell r="B1189">
            <v>17448904</v>
          </cell>
          <cell r="C1189">
            <v>1</v>
          </cell>
          <cell r="D1189" t="str">
            <v>FUENTES PEÑAILILLO FERNANDO PA</v>
          </cell>
          <cell r="E1189" t="str">
            <v>VAC400024</v>
          </cell>
          <cell r="F1189">
            <v>44</v>
          </cell>
          <cell r="G1189">
            <v>30</v>
          </cell>
          <cell r="H1189" t="str">
            <v>FFUENTESP@UTALCA.CL</v>
          </cell>
        </row>
        <row r="1190">
          <cell r="B1190">
            <v>17449275</v>
          </cell>
          <cell r="C1190">
            <v>1</v>
          </cell>
          <cell r="D1190" t="str">
            <v>ZUÑIGA JAQUE EVA ROCIO</v>
          </cell>
          <cell r="E1190" t="str">
            <v>VGE400003</v>
          </cell>
          <cell r="F1190">
            <v>44</v>
          </cell>
          <cell r="G1190">
            <v>30</v>
          </cell>
          <cell r="H1190" t="str">
            <v>EVA.ZUNIGA@UTALCA.CL</v>
          </cell>
        </row>
        <row r="1191">
          <cell r="B1191">
            <v>17449416</v>
          </cell>
          <cell r="C1191">
            <v>9</v>
          </cell>
          <cell r="D1191" t="str">
            <v>MUÑOZ MUÑOZ FREDDY ALEJANDRO</v>
          </cell>
          <cell r="E1191" t="str">
            <v>VRF400007</v>
          </cell>
          <cell r="F1191">
            <v>44</v>
          </cell>
          <cell r="G1191">
            <v>30</v>
          </cell>
          <cell r="H1191" t="str">
            <v>FRMUNOZ@UTALCA.CL</v>
          </cell>
        </row>
        <row r="1192">
          <cell r="B1192">
            <v>17470472</v>
          </cell>
          <cell r="C1192">
            <v>4</v>
          </cell>
          <cell r="D1192" t="str">
            <v>BRICEÑO OPAZO YESENIA ISABEL</v>
          </cell>
          <cell r="E1192" t="str">
            <v/>
          </cell>
          <cell r="F1192">
            <v>44</v>
          </cell>
          <cell r="G1192">
            <v>30</v>
          </cell>
          <cell r="H1192" t="str">
            <v>YBRICENO@UTALCA.CL</v>
          </cell>
        </row>
        <row r="1193">
          <cell r="B1193">
            <v>17485048</v>
          </cell>
          <cell r="C1193">
            <v>8</v>
          </cell>
          <cell r="D1193" t="str">
            <v>VELASQUEZ RUBILAR MELANIE PAUL</v>
          </cell>
          <cell r="E1193" t="str">
            <v>FAM200001</v>
          </cell>
          <cell r="F1193">
            <v>44</v>
          </cell>
          <cell r="G1193">
            <v>30</v>
          </cell>
          <cell r="H1193" t="str">
            <v>MVELASQUEZ@UTALCA.CL</v>
          </cell>
        </row>
        <row r="1194">
          <cell r="B1194">
            <v>17492243</v>
          </cell>
          <cell r="C1194">
            <v>8</v>
          </cell>
          <cell r="D1194" t="str">
            <v>VIEYRA LUNA EVELYN KIMBERLYN</v>
          </cell>
          <cell r="E1194" t="str">
            <v>FCJ320001</v>
          </cell>
          <cell r="F1194">
            <v>44</v>
          </cell>
          <cell r="G1194">
            <v>30</v>
          </cell>
          <cell r="H1194" t="str">
            <v>EVELYN.VIEYRA@UTALCA.CL</v>
          </cell>
        </row>
        <row r="1195">
          <cell r="B1195">
            <v>17493586</v>
          </cell>
          <cell r="C1195">
            <v>6</v>
          </cell>
          <cell r="D1195" t="str">
            <v>GUTIERREZ BAHAMONDES JIMMY HEN</v>
          </cell>
          <cell r="E1195" t="str">
            <v>FCI320003</v>
          </cell>
          <cell r="F1195">
            <v>44</v>
          </cell>
          <cell r="G1195">
            <v>30</v>
          </cell>
          <cell r="H1195" t="str">
            <v>JGUTIERREZB@UTALCA.CL</v>
          </cell>
        </row>
        <row r="1196">
          <cell r="B1196">
            <v>17493965</v>
          </cell>
          <cell r="C1196">
            <v>9</v>
          </cell>
          <cell r="D1196" t="str">
            <v>AUGUSTO LÓPEZ ELIZABETH DEL CA</v>
          </cell>
          <cell r="E1196" t="str">
            <v>FCS320007</v>
          </cell>
          <cell r="F1196">
            <v>44</v>
          </cell>
          <cell r="G1196">
            <v>30</v>
          </cell>
          <cell r="H1196" t="str">
            <v/>
          </cell>
        </row>
        <row r="1197">
          <cell r="B1197">
            <v>17494015</v>
          </cell>
          <cell r="C1197">
            <v>0</v>
          </cell>
          <cell r="D1197" t="str">
            <v>CONTRERAS GAJARDO CARLOS ANDRE</v>
          </cell>
          <cell r="E1197" t="str">
            <v>VRF400042</v>
          </cell>
          <cell r="F1197">
            <v>44</v>
          </cell>
          <cell r="G1197">
            <v>30</v>
          </cell>
          <cell r="H1197" t="str">
            <v>CARLCONTRERAS@UTALCA.CL</v>
          </cell>
        </row>
        <row r="1198">
          <cell r="B1198">
            <v>17494238</v>
          </cell>
          <cell r="C1198">
            <v>2</v>
          </cell>
          <cell r="D1198" t="str">
            <v>IBARRA FLORES CRISTIAN ALEJAND</v>
          </cell>
          <cell r="E1198" t="str">
            <v>FPS200001</v>
          </cell>
          <cell r="F1198">
            <v>44</v>
          </cell>
          <cell r="G1198">
            <v>30</v>
          </cell>
          <cell r="H1198" t="str">
            <v>CRIBARRA@UTALCA.CL</v>
          </cell>
        </row>
        <row r="1199">
          <cell r="B1199">
            <v>17494313</v>
          </cell>
          <cell r="C1199">
            <v>3</v>
          </cell>
          <cell r="D1199" t="str">
            <v>GONZALEZ ROJAS NICOL IGNACIA</v>
          </cell>
          <cell r="E1199" t="str">
            <v/>
          </cell>
          <cell r="F1199">
            <v>44</v>
          </cell>
          <cell r="G1199">
            <v>30</v>
          </cell>
          <cell r="H1199" t="str">
            <v>NICOL.GONZALEZ@UTALCA.CL</v>
          </cell>
        </row>
        <row r="1200">
          <cell r="B1200">
            <v>17494388</v>
          </cell>
          <cell r="C1200">
            <v>5</v>
          </cell>
          <cell r="D1200" t="str">
            <v>DIAZ MENDEZ GRETYE AMALIA</v>
          </cell>
          <cell r="E1200" t="str">
            <v>VGE400003</v>
          </cell>
          <cell r="F1200">
            <v>44</v>
          </cell>
          <cell r="G1200">
            <v>30</v>
          </cell>
          <cell r="H1200" t="str">
            <v>GRETYE.DIAZ@UTALCA.CL</v>
          </cell>
        </row>
        <row r="1201">
          <cell r="B1201">
            <v>17495429</v>
          </cell>
          <cell r="C1201">
            <v>1</v>
          </cell>
          <cell r="D1201" t="str">
            <v>GUAJARDO RAMIREZ JOSELIN VERON</v>
          </cell>
          <cell r="E1201" t="str">
            <v>ICB300001</v>
          </cell>
          <cell r="F1201">
            <v>44</v>
          </cell>
          <cell r="G1201">
            <v>30</v>
          </cell>
          <cell r="H1201" t="str">
            <v>JOGUAJARDO@UTALCA.CL</v>
          </cell>
        </row>
        <row r="1202">
          <cell r="B1202">
            <v>17495516</v>
          </cell>
          <cell r="C1202">
            <v>6</v>
          </cell>
          <cell r="D1202" t="str">
            <v>ROJAS HERNANDEZ GABRIEL ANDRES</v>
          </cell>
          <cell r="E1202" t="str">
            <v>FCS320009</v>
          </cell>
          <cell r="F1202">
            <v>33</v>
          </cell>
          <cell r="G1202">
            <v>30</v>
          </cell>
          <cell r="H1202" t="str">
            <v>GABRIEL.ROJAS@UTALCA.CL</v>
          </cell>
        </row>
        <row r="1203">
          <cell r="B1203">
            <v>17495545</v>
          </cell>
          <cell r="C1203" t="str">
            <v>K</v>
          </cell>
          <cell r="D1203" t="str">
            <v>VELIZ OLIVOS MARIA NATALIA</v>
          </cell>
          <cell r="E1203" t="str">
            <v>FCS320001</v>
          </cell>
          <cell r="F1203">
            <v>44</v>
          </cell>
          <cell r="G1203">
            <v>30</v>
          </cell>
          <cell r="H1203" t="str">
            <v>MVELIZ@UTALCA.CL</v>
          </cell>
        </row>
        <row r="1204">
          <cell r="B1204">
            <v>17495663</v>
          </cell>
          <cell r="C1204">
            <v>4</v>
          </cell>
          <cell r="D1204" t="str">
            <v>MONTECINOS REBOLLEDO JAVIERA P</v>
          </cell>
          <cell r="E1204" t="str">
            <v>VDE400002</v>
          </cell>
          <cell r="F1204">
            <v>44</v>
          </cell>
          <cell r="G1204">
            <v>30</v>
          </cell>
          <cell r="H1204" t="str">
            <v>JMONTECINOS@UTALCA.CL</v>
          </cell>
        </row>
        <row r="1205">
          <cell r="B1205">
            <v>17495723</v>
          </cell>
          <cell r="C1205">
            <v>1</v>
          </cell>
          <cell r="D1205" t="str">
            <v>ESPINOZA GONZALEZ JAVIERA ALEJ</v>
          </cell>
          <cell r="E1205" t="str">
            <v>FCS320003</v>
          </cell>
          <cell r="F1205">
            <v>16</v>
          </cell>
          <cell r="G1205">
            <v>30</v>
          </cell>
          <cell r="H1205" t="str">
            <v>JAVIERA.ESPINOZA@UTALCA.CL</v>
          </cell>
        </row>
        <row r="1206">
          <cell r="B1206">
            <v>17496032</v>
          </cell>
          <cell r="C1206">
            <v>1</v>
          </cell>
          <cell r="D1206" t="str">
            <v>ITURRA ARAYA YOHANA ELIZABETH</v>
          </cell>
          <cell r="E1206" t="str">
            <v>VGE400007</v>
          </cell>
          <cell r="F1206">
            <v>44</v>
          </cell>
          <cell r="G1206">
            <v>30</v>
          </cell>
          <cell r="H1206" t="str">
            <v>YITURRA@UTALCA.CL</v>
          </cell>
        </row>
        <row r="1207">
          <cell r="B1207">
            <v>17496236</v>
          </cell>
          <cell r="C1207">
            <v>7</v>
          </cell>
          <cell r="D1207" t="str">
            <v>SILVA ARTO LINDA PAZ</v>
          </cell>
          <cell r="E1207" t="str">
            <v>VDE400002</v>
          </cell>
          <cell r="F1207">
            <v>44</v>
          </cell>
          <cell r="G1207">
            <v>30</v>
          </cell>
          <cell r="H1207" t="str">
            <v>LINDA.SILVA@UTALCA.CL</v>
          </cell>
        </row>
        <row r="1208">
          <cell r="B1208">
            <v>17497503</v>
          </cell>
          <cell r="C1208">
            <v>5</v>
          </cell>
          <cell r="D1208" t="str">
            <v>MORENO RODRÍGUEZ ROBOAN ALEJAN</v>
          </cell>
          <cell r="E1208" t="str">
            <v>FCA310001</v>
          </cell>
          <cell r="F1208">
            <v>44</v>
          </cell>
          <cell r="G1208">
            <v>30</v>
          </cell>
          <cell r="H1208" t="str">
            <v>ROBOAN.MORENO@UTALCA.CL</v>
          </cell>
        </row>
        <row r="1209">
          <cell r="B1209">
            <v>17497539</v>
          </cell>
          <cell r="C1209">
            <v>6</v>
          </cell>
          <cell r="D1209" t="str">
            <v>VALDES ROJAS JONNATHAN ALEJAND</v>
          </cell>
          <cell r="E1209" t="str">
            <v>VGE400054</v>
          </cell>
          <cell r="F1209">
            <v>44</v>
          </cell>
          <cell r="G1209">
            <v>30</v>
          </cell>
          <cell r="H1209" t="str">
            <v>JOVALDES@UTALCA.CL</v>
          </cell>
        </row>
        <row r="1210">
          <cell r="B1210">
            <v>17498446</v>
          </cell>
          <cell r="C1210">
            <v>8</v>
          </cell>
          <cell r="D1210" t="str">
            <v>PALMA GUTIERREZ MIGUEL ALEXIS</v>
          </cell>
          <cell r="E1210" t="str">
            <v/>
          </cell>
          <cell r="F1210">
            <v>44</v>
          </cell>
          <cell r="G1210">
            <v>30</v>
          </cell>
          <cell r="H1210" t="str">
            <v>MIGUELPALMA@UTALCA.CL</v>
          </cell>
        </row>
        <row r="1211">
          <cell r="B1211">
            <v>17503895</v>
          </cell>
          <cell r="C1211">
            <v>7</v>
          </cell>
          <cell r="D1211" t="str">
            <v>ZAMORANO CURAQUEO MACARENA ALE</v>
          </cell>
          <cell r="E1211" t="str">
            <v>VAC400024</v>
          </cell>
          <cell r="F1211">
            <v>44</v>
          </cell>
          <cell r="G1211">
            <v>30</v>
          </cell>
          <cell r="H1211" t="str">
            <v>MZAMORANOC10@GMAIL.COM</v>
          </cell>
        </row>
        <row r="1212">
          <cell r="B1212">
            <v>17520361</v>
          </cell>
          <cell r="C1212">
            <v>3</v>
          </cell>
          <cell r="D1212" t="str">
            <v>RIQUELME TAPIA CRISTOPHER EDUA</v>
          </cell>
          <cell r="E1212" t="str">
            <v>VGE400004</v>
          </cell>
          <cell r="F1212">
            <v>44</v>
          </cell>
          <cell r="G1212">
            <v>30</v>
          </cell>
          <cell r="H1212" t="str">
            <v>CRISTOPHER.RIQUELME@UTALCA.CL</v>
          </cell>
        </row>
        <row r="1213">
          <cell r="B1213">
            <v>17579067</v>
          </cell>
          <cell r="C1213">
            <v>5</v>
          </cell>
          <cell r="D1213" t="str">
            <v>GONZALEZ JARA HENRY ALEXIS</v>
          </cell>
          <cell r="E1213" t="str">
            <v>ADC024006</v>
          </cell>
          <cell r="F1213">
            <v>44</v>
          </cell>
          <cell r="G1213">
            <v>30</v>
          </cell>
          <cell r="H1213" t="str">
            <v>HENRY.GONZALEZ@UTALCA.CL</v>
          </cell>
        </row>
        <row r="1214">
          <cell r="B1214">
            <v>17603516</v>
          </cell>
          <cell r="C1214">
            <v>1</v>
          </cell>
          <cell r="D1214" t="str">
            <v>GUTIÉRREZ SOTO JOSÉ CARLOS</v>
          </cell>
          <cell r="E1214" t="str">
            <v/>
          </cell>
          <cell r="F1214">
            <v>44</v>
          </cell>
          <cell r="G1214">
            <v>30</v>
          </cell>
          <cell r="H1214" t="str">
            <v>JOSE.GUTIERREZ@UTALCA.CL</v>
          </cell>
        </row>
        <row r="1215">
          <cell r="B1215">
            <v>17617630</v>
          </cell>
          <cell r="C1215" t="str">
            <v>K</v>
          </cell>
          <cell r="D1215" t="str">
            <v>GRANDON AVENDAÑO NATALIA ELENA</v>
          </cell>
          <cell r="E1215" t="str">
            <v/>
          </cell>
          <cell r="F1215">
            <v>44</v>
          </cell>
          <cell r="G1215">
            <v>30</v>
          </cell>
          <cell r="H1215" t="str">
            <v>NGRANDON@UTALCA.CL</v>
          </cell>
        </row>
        <row r="1216">
          <cell r="B1216">
            <v>17627289</v>
          </cell>
          <cell r="C1216">
            <v>9</v>
          </cell>
          <cell r="D1216" t="str">
            <v>ALIAGA VERGARA CAMILA ELENA</v>
          </cell>
          <cell r="E1216" t="str">
            <v>FCI320009</v>
          </cell>
          <cell r="F1216">
            <v>44</v>
          </cell>
          <cell r="G1216">
            <v>30</v>
          </cell>
          <cell r="H1216" t="str">
            <v>CAMILA.ALIAGA@UTALCA.CL</v>
          </cell>
        </row>
        <row r="1217">
          <cell r="B1217">
            <v>17670013</v>
          </cell>
          <cell r="C1217">
            <v>0</v>
          </cell>
          <cell r="D1217" t="str">
            <v>DIAZ BRAVO CAMILA ANDREA</v>
          </cell>
          <cell r="E1217" t="str">
            <v/>
          </cell>
          <cell r="F1217">
            <v>40</v>
          </cell>
          <cell r="G1217">
            <v>30</v>
          </cell>
          <cell r="H1217" t="str">
            <v>CAMILA.DIAZB@UTALCA.CL</v>
          </cell>
        </row>
        <row r="1218">
          <cell r="B1218">
            <v>17670910</v>
          </cell>
          <cell r="C1218">
            <v>3</v>
          </cell>
          <cell r="D1218" t="str">
            <v>CATALAN ARAYA CARLOS MAURICIO</v>
          </cell>
          <cell r="E1218" t="str">
            <v>VGE400019</v>
          </cell>
          <cell r="F1218">
            <v>44</v>
          </cell>
          <cell r="G1218">
            <v>30</v>
          </cell>
          <cell r="H1218" t="str">
            <v>CARLOS.CATALAN@UTALCA.CL</v>
          </cell>
        </row>
        <row r="1219">
          <cell r="B1219">
            <v>17684565</v>
          </cell>
          <cell r="C1219">
            <v>1</v>
          </cell>
          <cell r="D1219" t="str">
            <v>CANTERO HERNANDEZ BELGICA ALEJ</v>
          </cell>
          <cell r="E1219" t="str">
            <v>FCJ340001</v>
          </cell>
          <cell r="F1219">
            <v>44</v>
          </cell>
          <cell r="G1219">
            <v>30</v>
          </cell>
          <cell r="H1219" t="str">
            <v>BELGICA.CANTERO@UTALCA.CL</v>
          </cell>
        </row>
        <row r="1220">
          <cell r="B1220">
            <v>17684875</v>
          </cell>
          <cell r="C1220">
            <v>8</v>
          </cell>
          <cell r="D1220" t="str">
            <v>REBOLLEDO MADARIAGA ILIAN CONS</v>
          </cell>
          <cell r="E1220" t="str">
            <v>ADC030190</v>
          </cell>
          <cell r="F1220">
            <v>44</v>
          </cell>
          <cell r="G1220">
            <v>30</v>
          </cell>
          <cell r="H1220" t="str">
            <v>ILIAN.REBOLLEDO@UTALCA.CL</v>
          </cell>
        </row>
        <row r="1221">
          <cell r="B1221">
            <v>17685183</v>
          </cell>
          <cell r="C1221" t="str">
            <v>K</v>
          </cell>
          <cell r="D1221" t="str">
            <v>TOBAR ALCANTAR DAVID ESTEBAN</v>
          </cell>
          <cell r="E1221" t="str">
            <v>ADC017001</v>
          </cell>
          <cell r="F1221">
            <v>44</v>
          </cell>
          <cell r="G1221">
            <v>30</v>
          </cell>
          <cell r="H1221" t="str">
            <v>DAVID.TOBAR@UTALCA.CL</v>
          </cell>
        </row>
        <row r="1222">
          <cell r="B1222">
            <v>17685437</v>
          </cell>
          <cell r="C1222">
            <v>5</v>
          </cell>
          <cell r="D1222" t="str">
            <v>GONZALEZ MORALES MANUEL JESUS</v>
          </cell>
          <cell r="E1222" t="str">
            <v>VGE400056</v>
          </cell>
          <cell r="F1222">
            <v>44</v>
          </cell>
          <cell r="G1222">
            <v>30</v>
          </cell>
          <cell r="H1222" t="str">
            <v/>
          </cell>
        </row>
        <row r="1223">
          <cell r="B1223">
            <v>17685538</v>
          </cell>
          <cell r="C1223" t="str">
            <v>K</v>
          </cell>
          <cell r="D1223" t="str">
            <v>LARA SALGADO ANA MARIA</v>
          </cell>
          <cell r="E1223" t="str">
            <v>VGE400054</v>
          </cell>
          <cell r="F1223">
            <v>44</v>
          </cell>
          <cell r="G1223">
            <v>30</v>
          </cell>
          <cell r="H1223" t="str">
            <v>ANAMARIA.LARA@UTALCA.CL</v>
          </cell>
        </row>
        <row r="1224">
          <cell r="B1224">
            <v>17685604</v>
          </cell>
          <cell r="C1224">
            <v>1</v>
          </cell>
          <cell r="D1224" t="str">
            <v>BRUGGINK OSORIO KAREN ALMENDRA</v>
          </cell>
          <cell r="E1224" t="str">
            <v/>
          </cell>
          <cell r="F1224">
            <v>44</v>
          </cell>
          <cell r="G1224">
            <v>30</v>
          </cell>
          <cell r="H1224" t="str">
            <v>KAREN.BRUGGINK@UTALCA.CL</v>
          </cell>
        </row>
        <row r="1225">
          <cell r="B1225">
            <v>17685709</v>
          </cell>
          <cell r="C1225">
            <v>9</v>
          </cell>
          <cell r="D1225" t="str">
            <v>GOMEZ BARRIOS CATALINA</v>
          </cell>
          <cell r="E1225" t="str">
            <v/>
          </cell>
          <cell r="F1225">
            <v>44</v>
          </cell>
          <cell r="G1225">
            <v>30</v>
          </cell>
          <cell r="H1225" t="str">
            <v>CATGOMEZ@UTALCA.CL</v>
          </cell>
        </row>
        <row r="1226">
          <cell r="B1226">
            <v>17686147</v>
          </cell>
          <cell r="C1226">
            <v>9</v>
          </cell>
          <cell r="D1226" t="str">
            <v>GUZMAN ZEPEDA OSCAR GUILLERMO</v>
          </cell>
          <cell r="E1226" t="str">
            <v>VAC400024</v>
          </cell>
          <cell r="F1226">
            <v>44</v>
          </cell>
          <cell r="G1226">
            <v>30</v>
          </cell>
          <cell r="H1226" t="str">
            <v>OGUZMAN@UTALCA.CL</v>
          </cell>
        </row>
        <row r="1227">
          <cell r="B1227">
            <v>17698945</v>
          </cell>
          <cell r="C1227">
            <v>9</v>
          </cell>
          <cell r="D1227" t="str">
            <v>TRONCOSO MATAMALA CAMILA ROXAN</v>
          </cell>
          <cell r="E1227" t="str">
            <v>FOD350001</v>
          </cell>
          <cell r="F1227">
            <v>44</v>
          </cell>
          <cell r="G1227">
            <v>30</v>
          </cell>
          <cell r="H1227" t="str">
            <v>CAMILA.TRONCOSO@UTALCA.CL</v>
          </cell>
        </row>
        <row r="1228">
          <cell r="B1228">
            <v>17699777</v>
          </cell>
          <cell r="C1228" t="str">
            <v>K</v>
          </cell>
          <cell r="D1228" t="str">
            <v>HERRERA MUÑOZ MARIO EDUARDO</v>
          </cell>
          <cell r="E1228" t="str">
            <v>FCJ320004</v>
          </cell>
          <cell r="F1228">
            <v>44</v>
          </cell>
          <cell r="G1228">
            <v>30</v>
          </cell>
          <cell r="H1228" t="str">
            <v>MHERRERAM@UTALCA.CL</v>
          </cell>
        </row>
        <row r="1229">
          <cell r="B1229">
            <v>17749878</v>
          </cell>
          <cell r="C1229">
            <v>5</v>
          </cell>
          <cell r="D1229" t="str">
            <v>CIFUENTES JIMENEZ DANIELA ALEJ</v>
          </cell>
          <cell r="E1229" t="str">
            <v>ADC021005</v>
          </cell>
          <cell r="F1229">
            <v>44</v>
          </cell>
          <cell r="G1229">
            <v>30</v>
          </cell>
          <cell r="H1229" t="str">
            <v>DANIELACIFUENTES@UTALCA.CL</v>
          </cell>
        </row>
        <row r="1230">
          <cell r="B1230">
            <v>17759312</v>
          </cell>
          <cell r="C1230">
            <v>5</v>
          </cell>
          <cell r="D1230" t="str">
            <v>POBLETE TAPIA PATRICIA MAKAREN</v>
          </cell>
          <cell r="E1230" t="str">
            <v>FCS320002</v>
          </cell>
          <cell r="F1230">
            <v>44</v>
          </cell>
          <cell r="G1230">
            <v>30</v>
          </cell>
          <cell r="H1230" t="str">
            <v>PATRPOBLETE@UTALCA.CL</v>
          </cell>
        </row>
        <row r="1231">
          <cell r="B1231">
            <v>17759748</v>
          </cell>
          <cell r="C1231">
            <v>1</v>
          </cell>
          <cell r="D1231" t="str">
            <v>CASTILLO CASTRO JOSE LEONARDO</v>
          </cell>
          <cell r="E1231" t="str">
            <v>FEN200001</v>
          </cell>
          <cell r="F1231">
            <v>44</v>
          </cell>
          <cell r="G1231">
            <v>30</v>
          </cell>
          <cell r="H1231" t="str">
            <v>JOSECASTILLO@UTALCA.CL</v>
          </cell>
        </row>
        <row r="1232">
          <cell r="B1232">
            <v>17794679</v>
          </cell>
          <cell r="C1232">
            <v>6</v>
          </cell>
          <cell r="D1232" t="str">
            <v>MORALES TORRES VIVIANA DEL CAR</v>
          </cell>
          <cell r="E1232" t="str">
            <v>VGE400019</v>
          </cell>
          <cell r="F1232">
            <v>44</v>
          </cell>
          <cell r="G1232">
            <v>30</v>
          </cell>
          <cell r="H1232" t="str">
            <v>VIVIANA.MORALES@UTALCA.CL</v>
          </cell>
        </row>
        <row r="1233">
          <cell r="B1233">
            <v>17795079</v>
          </cell>
          <cell r="C1233">
            <v>3</v>
          </cell>
          <cell r="D1233" t="str">
            <v>HERRERA TELLO ALEJANDRA BELEN</v>
          </cell>
          <cell r="E1233" t="str">
            <v>FPS340002</v>
          </cell>
          <cell r="F1233">
            <v>44</v>
          </cell>
          <cell r="G1233">
            <v>30</v>
          </cell>
          <cell r="H1233" t="str">
            <v>AHERRERA@UTALCA.CL</v>
          </cell>
        </row>
        <row r="1234">
          <cell r="B1234">
            <v>17815968</v>
          </cell>
          <cell r="C1234">
            <v>2</v>
          </cell>
          <cell r="D1234" t="str">
            <v>BELLEI TOBAR NICOLE ESTEFANIA</v>
          </cell>
          <cell r="E1234" t="str">
            <v>VAC400062</v>
          </cell>
          <cell r="F1234">
            <v>44</v>
          </cell>
          <cell r="G1234">
            <v>30</v>
          </cell>
          <cell r="H1234" t="str">
            <v>NBELLEI@UTALCA.CL</v>
          </cell>
        </row>
        <row r="1235">
          <cell r="B1235">
            <v>17820117</v>
          </cell>
          <cell r="C1235">
            <v>4</v>
          </cell>
          <cell r="D1235" t="str">
            <v>VERGARA MIGUELES NINETT DENNIS</v>
          </cell>
          <cell r="E1235" t="str">
            <v>FCI310005</v>
          </cell>
          <cell r="F1235">
            <v>44</v>
          </cell>
          <cell r="G1235">
            <v>30</v>
          </cell>
          <cell r="H1235" t="str">
            <v>NVERGARA@UTALCA.CL</v>
          </cell>
        </row>
        <row r="1236">
          <cell r="B1236">
            <v>17820612</v>
          </cell>
          <cell r="C1236">
            <v>5</v>
          </cell>
          <cell r="D1236" t="str">
            <v>SAZO AVILA JOSE ANTONIO</v>
          </cell>
          <cell r="E1236" t="str">
            <v>FCS320010</v>
          </cell>
          <cell r="F1236">
            <v>44</v>
          </cell>
          <cell r="G1236">
            <v>30</v>
          </cell>
          <cell r="H1236" t="str">
            <v>JSAZO@UTALCA.CL</v>
          </cell>
        </row>
        <row r="1237">
          <cell r="B1237">
            <v>17822021</v>
          </cell>
          <cell r="C1237">
            <v>7</v>
          </cell>
          <cell r="D1237" t="str">
            <v>MUÑOZ MUÑOZ PATRICIA ANDREA</v>
          </cell>
          <cell r="E1237" t="str">
            <v>FAD310001</v>
          </cell>
          <cell r="F1237">
            <v>44</v>
          </cell>
          <cell r="G1237">
            <v>30</v>
          </cell>
          <cell r="H1237" t="str">
            <v>PATRICIA.MUNOZM@UTALCA.CL</v>
          </cell>
        </row>
        <row r="1238">
          <cell r="B1238">
            <v>17822075</v>
          </cell>
          <cell r="C1238">
            <v>6</v>
          </cell>
          <cell r="D1238" t="str">
            <v>SEPULVEDA MUÑOZ CARLOS ALEJAND</v>
          </cell>
          <cell r="E1238" t="str">
            <v/>
          </cell>
          <cell r="F1238">
            <v>40</v>
          </cell>
          <cell r="G1238">
            <v>30</v>
          </cell>
          <cell r="H1238" t="str">
            <v>CARSEPULVEDA@UTALCA.CL</v>
          </cell>
        </row>
        <row r="1239">
          <cell r="B1239">
            <v>17822183</v>
          </cell>
          <cell r="C1239">
            <v>3</v>
          </cell>
          <cell r="D1239" t="str">
            <v>ACEVEDO CAMPOS ROSE MARY</v>
          </cell>
          <cell r="E1239" t="str">
            <v>FPS310002</v>
          </cell>
          <cell r="F1239">
            <v>44</v>
          </cell>
          <cell r="G1239">
            <v>30</v>
          </cell>
          <cell r="H1239" t="str">
            <v>ROSE.ACEVEDO@UTALCA.CL</v>
          </cell>
        </row>
        <row r="1240">
          <cell r="B1240">
            <v>17823008</v>
          </cell>
          <cell r="C1240">
            <v>5</v>
          </cell>
          <cell r="D1240" t="str">
            <v>MATEO RODRIGUEZ MARIA JOSE</v>
          </cell>
          <cell r="E1240" t="str">
            <v>VRF400043</v>
          </cell>
          <cell r="F1240">
            <v>44</v>
          </cell>
          <cell r="G1240">
            <v>30</v>
          </cell>
          <cell r="H1240" t="str">
            <v>MARIA.MATEO@UTALCA.CL</v>
          </cell>
        </row>
        <row r="1241">
          <cell r="B1241">
            <v>17823612</v>
          </cell>
          <cell r="C1241">
            <v>1</v>
          </cell>
          <cell r="D1241" t="str">
            <v>ABURTO MUÑOZ VICTORIA TAMAR</v>
          </cell>
          <cell r="E1241" t="str">
            <v>FCS200001</v>
          </cell>
          <cell r="F1241">
            <v>22</v>
          </cell>
          <cell r="G1241">
            <v>30</v>
          </cell>
          <cell r="H1241" t="str">
            <v/>
          </cell>
        </row>
        <row r="1242">
          <cell r="B1242">
            <v>17823980</v>
          </cell>
          <cell r="C1242">
            <v>5</v>
          </cell>
          <cell r="D1242" t="str">
            <v>SEPULVEDA NAVARRETE LUISA DEL</v>
          </cell>
          <cell r="E1242" t="str">
            <v>VGE400003</v>
          </cell>
          <cell r="F1242">
            <v>44</v>
          </cell>
          <cell r="G1242">
            <v>30</v>
          </cell>
          <cell r="H1242" t="str">
            <v>L.SEPULVEDA@UTALCA.CL</v>
          </cell>
        </row>
        <row r="1243">
          <cell r="B1243">
            <v>17823987</v>
          </cell>
          <cell r="C1243">
            <v>2</v>
          </cell>
          <cell r="D1243" t="str">
            <v>ESPINA ANDRADE BARBARA FRANCIS</v>
          </cell>
          <cell r="E1243" t="str">
            <v>FOD350001</v>
          </cell>
          <cell r="F1243">
            <v>44</v>
          </cell>
          <cell r="G1243">
            <v>30</v>
          </cell>
          <cell r="H1243" t="str">
            <v>BARBARA.ESPINA@UTALCA.CL</v>
          </cell>
        </row>
        <row r="1244">
          <cell r="B1244">
            <v>17824253</v>
          </cell>
          <cell r="C1244">
            <v>9</v>
          </cell>
          <cell r="D1244" t="str">
            <v>ARNAOU PARADA FRANCISCO JAVIER</v>
          </cell>
          <cell r="E1244" t="str">
            <v>ADC014003</v>
          </cell>
          <cell r="F1244">
            <v>44</v>
          </cell>
          <cell r="G1244">
            <v>30</v>
          </cell>
          <cell r="H1244" t="str">
            <v>FRANCISCO.ARNAOU@UTALCA.CL</v>
          </cell>
        </row>
        <row r="1245">
          <cell r="B1245">
            <v>17824299</v>
          </cell>
          <cell r="C1245">
            <v>7</v>
          </cell>
          <cell r="D1245" t="str">
            <v>MIRANDA SALAS ROBINSON NICOLAS</v>
          </cell>
          <cell r="E1245" t="str">
            <v>VGE400054</v>
          </cell>
          <cell r="F1245">
            <v>44</v>
          </cell>
          <cell r="G1245">
            <v>30</v>
          </cell>
          <cell r="H1245" t="str">
            <v>NICOLAS.MIRANDA@UTALCA.CL</v>
          </cell>
        </row>
        <row r="1246">
          <cell r="B1246">
            <v>17824652</v>
          </cell>
          <cell r="C1246">
            <v>6</v>
          </cell>
          <cell r="D1246" t="str">
            <v>GONZALEZ DIAZ SOFIA DE LOS ANG</v>
          </cell>
          <cell r="E1246" t="str">
            <v/>
          </cell>
          <cell r="F1246">
            <v>44</v>
          </cell>
          <cell r="G1246">
            <v>30</v>
          </cell>
          <cell r="H1246" t="str">
            <v>SOFIA.GONZALEZD@UTALCA.CL</v>
          </cell>
        </row>
        <row r="1247">
          <cell r="B1247">
            <v>17825012</v>
          </cell>
          <cell r="C1247">
            <v>4</v>
          </cell>
          <cell r="D1247" t="str">
            <v>GONZALEZ CANCINO CAMILA KARLA</v>
          </cell>
          <cell r="E1247" t="str">
            <v/>
          </cell>
          <cell r="F1247">
            <v>44</v>
          </cell>
          <cell r="G1247">
            <v>30</v>
          </cell>
          <cell r="H1247" t="str">
            <v>CAMILA.GONZALEZ@UTALCA.CL</v>
          </cell>
        </row>
        <row r="1248">
          <cell r="B1248">
            <v>17825018</v>
          </cell>
          <cell r="C1248">
            <v>3</v>
          </cell>
          <cell r="D1248" t="str">
            <v>ASTORGA BRAVO DIEGO MAXIMILIAN</v>
          </cell>
          <cell r="E1248" t="str">
            <v>VGE400006</v>
          </cell>
          <cell r="F1248">
            <v>44</v>
          </cell>
          <cell r="G1248">
            <v>30</v>
          </cell>
          <cell r="H1248" t="str">
            <v>DIEGO.ASTORGA@UTALCA.CL</v>
          </cell>
        </row>
        <row r="1249">
          <cell r="B1249">
            <v>17825068</v>
          </cell>
          <cell r="C1249" t="str">
            <v>K</v>
          </cell>
          <cell r="D1249" t="str">
            <v>HENRIQUEZ FIGUEROA ELIZABET RO</v>
          </cell>
          <cell r="E1249" t="str">
            <v>VDE400009</v>
          </cell>
          <cell r="F1249">
            <v>40</v>
          </cell>
          <cell r="G1249">
            <v>30</v>
          </cell>
          <cell r="H1249" t="str">
            <v>EHENRIQUEZ@UTALCA.CL</v>
          </cell>
        </row>
        <row r="1250">
          <cell r="B1250">
            <v>17825457</v>
          </cell>
          <cell r="C1250" t="str">
            <v>K</v>
          </cell>
          <cell r="D1250" t="str">
            <v>ROJAS OPAZO JORGE IGNACIO</v>
          </cell>
          <cell r="E1250" t="str">
            <v>FCJ200001</v>
          </cell>
          <cell r="F1250">
            <v>44</v>
          </cell>
          <cell r="G1250">
            <v>30</v>
          </cell>
          <cell r="H1250" t="str">
            <v>JORGEROJAS@UTALCA.CL</v>
          </cell>
        </row>
        <row r="1251">
          <cell r="B1251">
            <v>17840394</v>
          </cell>
          <cell r="C1251" t="str">
            <v>K</v>
          </cell>
          <cell r="D1251" t="str">
            <v>CASTILLO OLIVARES FRANCISCA VI</v>
          </cell>
          <cell r="E1251" t="str">
            <v>VRF400004</v>
          </cell>
          <cell r="F1251">
            <v>44</v>
          </cell>
          <cell r="G1251">
            <v>30</v>
          </cell>
          <cell r="H1251" t="str">
            <v>FRANCISCA.CASTILLO@UTALCA.CL</v>
          </cell>
        </row>
        <row r="1252">
          <cell r="B1252">
            <v>17853797</v>
          </cell>
          <cell r="C1252">
            <v>0</v>
          </cell>
          <cell r="D1252" t="str">
            <v>GUERRERO CASTRO PABLO ENRIQUE</v>
          </cell>
          <cell r="E1252" t="str">
            <v>VRF400022</v>
          </cell>
          <cell r="F1252">
            <v>44</v>
          </cell>
          <cell r="G1252">
            <v>30</v>
          </cell>
          <cell r="H1252" t="str">
            <v>PGUERRERO@UTALCA.CL</v>
          </cell>
        </row>
        <row r="1253">
          <cell r="B1253">
            <v>17854680</v>
          </cell>
          <cell r="C1253">
            <v>5</v>
          </cell>
          <cell r="D1253" t="str">
            <v>PALAVECINOS ALARCON MATIAS IGN</v>
          </cell>
          <cell r="E1253" t="str">
            <v>VDE400009</v>
          </cell>
          <cell r="F1253">
            <v>44</v>
          </cell>
          <cell r="G1253">
            <v>30</v>
          </cell>
          <cell r="H1253" t="str">
            <v>MPALAVECINOS@UTALCA.CL</v>
          </cell>
        </row>
        <row r="1254">
          <cell r="B1254">
            <v>17854685</v>
          </cell>
          <cell r="C1254">
            <v>6</v>
          </cell>
          <cell r="D1254" t="str">
            <v>OSSES VALDERRAMA GUISELA IVONN</v>
          </cell>
          <cell r="E1254" t="str">
            <v>FEN310004</v>
          </cell>
          <cell r="F1254">
            <v>44</v>
          </cell>
          <cell r="G1254">
            <v>30</v>
          </cell>
          <cell r="H1254" t="str">
            <v>GUISELA.OSSES@UTALCA.CL</v>
          </cell>
        </row>
        <row r="1255">
          <cell r="B1255">
            <v>17854755</v>
          </cell>
          <cell r="C1255">
            <v>0</v>
          </cell>
          <cell r="D1255" t="str">
            <v>RODRIGUEZ INOSTROZA ELIZABETH</v>
          </cell>
          <cell r="E1255" t="str">
            <v>VGE400031</v>
          </cell>
          <cell r="F1255">
            <v>44</v>
          </cell>
          <cell r="G1255">
            <v>30</v>
          </cell>
          <cell r="H1255" t="str">
            <v>ELIZABETH.RODRIGUEZ@UTALCA.CL</v>
          </cell>
        </row>
        <row r="1256">
          <cell r="B1256">
            <v>17855013</v>
          </cell>
          <cell r="C1256">
            <v>6</v>
          </cell>
          <cell r="D1256" t="str">
            <v>FUENTEALBA JORQUERA ANA VICTOR</v>
          </cell>
          <cell r="E1256" t="str">
            <v>FCI340001</v>
          </cell>
          <cell r="F1256">
            <v>44</v>
          </cell>
          <cell r="G1256">
            <v>30</v>
          </cell>
          <cell r="H1256" t="str">
            <v>ANA.FUENTEALBA@UTALCA.CL</v>
          </cell>
        </row>
        <row r="1257">
          <cell r="B1257">
            <v>17855014</v>
          </cell>
          <cell r="C1257">
            <v>4</v>
          </cell>
          <cell r="D1257" t="str">
            <v>GONZALEZ DIAZ JAIME JOSE</v>
          </cell>
          <cell r="E1257" t="str">
            <v>FAM200001</v>
          </cell>
          <cell r="F1257">
            <v>44</v>
          </cell>
          <cell r="G1257">
            <v>30</v>
          </cell>
          <cell r="H1257" t="str">
            <v>JAIME.GONZALEZDIAZ@UTALCA.CL</v>
          </cell>
        </row>
        <row r="1258">
          <cell r="B1258">
            <v>17883054</v>
          </cell>
          <cell r="C1258">
            <v>6</v>
          </cell>
          <cell r="D1258" t="str">
            <v>GONZALEZ PALMA FELIPE ADOLFO</v>
          </cell>
          <cell r="E1258" t="str">
            <v>FCI310008</v>
          </cell>
          <cell r="F1258">
            <v>44</v>
          </cell>
          <cell r="G1258">
            <v>30</v>
          </cell>
          <cell r="H1258" t="str">
            <v>FELIPE.GONZALEZ@UTALCA.CL</v>
          </cell>
        </row>
        <row r="1259">
          <cell r="B1259">
            <v>17883209</v>
          </cell>
          <cell r="C1259">
            <v>3</v>
          </cell>
          <cell r="D1259" t="str">
            <v>HERNANDEZ OLIVOS ROMINA PAZ</v>
          </cell>
          <cell r="E1259" t="str">
            <v>FOD320002</v>
          </cell>
          <cell r="F1259">
            <v>11</v>
          </cell>
          <cell r="G1259">
            <v>30</v>
          </cell>
          <cell r="H1259" t="str">
            <v>ROMHERNANDEZ@UTALCA.CL</v>
          </cell>
        </row>
        <row r="1260">
          <cell r="B1260">
            <v>17883314</v>
          </cell>
          <cell r="C1260">
            <v>6</v>
          </cell>
          <cell r="D1260" t="str">
            <v>GUTIÉRREZ AGUILERA BARBARA DAN</v>
          </cell>
          <cell r="E1260" t="str">
            <v>VRF400005</v>
          </cell>
          <cell r="F1260">
            <v>44</v>
          </cell>
          <cell r="G1260">
            <v>30</v>
          </cell>
          <cell r="H1260" t="str">
            <v>BARBARA.GUTIERREZ@UTALCA.CL</v>
          </cell>
        </row>
        <row r="1261">
          <cell r="B1261">
            <v>17883593</v>
          </cell>
          <cell r="C1261">
            <v>9</v>
          </cell>
          <cell r="D1261" t="str">
            <v>DIAZ BRICEÑO VALERIA VALENTINA</v>
          </cell>
          <cell r="E1261" t="str">
            <v/>
          </cell>
          <cell r="F1261">
            <v>44</v>
          </cell>
          <cell r="G1261">
            <v>30</v>
          </cell>
          <cell r="H1261" t="str">
            <v>VDIAZ@UTALCA.CL</v>
          </cell>
        </row>
        <row r="1262">
          <cell r="B1262">
            <v>17884681</v>
          </cell>
          <cell r="C1262">
            <v>7</v>
          </cell>
          <cell r="D1262" t="str">
            <v>VIVANCO GARRIDO DENISSE</v>
          </cell>
          <cell r="E1262" t="str">
            <v>FED310009</v>
          </cell>
          <cell r="F1262">
            <v>44</v>
          </cell>
          <cell r="G1262">
            <v>30</v>
          </cell>
          <cell r="H1262" t="str">
            <v>DENISSE.VIVANCO@UTALCA.CL</v>
          </cell>
        </row>
        <row r="1263">
          <cell r="B1263">
            <v>17884886</v>
          </cell>
          <cell r="C1263">
            <v>0</v>
          </cell>
          <cell r="D1263" t="str">
            <v>RECABARREN LEIVA DANIELA ROCIO</v>
          </cell>
          <cell r="E1263" t="str">
            <v>FCS320003</v>
          </cell>
          <cell r="F1263">
            <v>44</v>
          </cell>
          <cell r="G1263">
            <v>30</v>
          </cell>
          <cell r="H1263" t="str">
            <v>DRECABARREN@UTALCA.CL</v>
          </cell>
        </row>
        <row r="1264">
          <cell r="B1264">
            <v>17891442</v>
          </cell>
          <cell r="C1264">
            <v>1</v>
          </cell>
          <cell r="D1264" t="str">
            <v>SOTO CARDENAS JAVIER ALEJANDRO</v>
          </cell>
          <cell r="E1264" t="str">
            <v>FAD310004</v>
          </cell>
          <cell r="F1264">
            <v>11</v>
          </cell>
          <cell r="G1264">
            <v>30</v>
          </cell>
          <cell r="H1264" t="str">
            <v>JASOTO@UTALCA.CL</v>
          </cell>
        </row>
        <row r="1265">
          <cell r="B1265">
            <v>17901002</v>
          </cell>
          <cell r="C1265" t="str">
            <v>K</v>
          </cell>
          <cell r="D1265" t="str">
            <v>ROCHA ROJAS SUSAN EDITH</v>
          </cell>
          <cell r="E1265" t="str">
            <v>VDE400001</v>
          </cell>
          <cell r="F1265">
            <v>44</v>
          </cell>
          <cell r="G1265">
            <v>30</v>
          </cell>
          <cell r="H1265" t="str">
            <v>SROCHA@UTALCA.CL</v>
          </cell>
        </row>
        <row r="1266">
          <cell r="B1266">
            <v>17913292</v>
          </cell>
          <cell r="C1266">
            <v>3</v>
          </cell>
          <cell r="D1266" t="str">
            <v>RIVERA JARA MIGUEL ALEXI</v>
          </cell>
          <cell r="E1266" t="str">
            <v>FOD320001</v>
          </cell>
          <cell r="F1266">
            <v>22</v>
          </cell>
          <cell r="G1266">
            <v>30</v>
          </cell>
          <cell r="H1266" t="str">
            <v>MIGUEL.RIVERA@UTALCA.CL</v>
          </cell>
        </row>
        <row r="1267">
          <cell r="B1267">
            <v>17930915</v>
          </cell>
          <cell r="C1267">
            <v>7</v>
          </cell>
          <cell r="D1267" t="str">
            <v>PEREZ BENAVIDES CESAR ANDRES</v>
          </cell>
          <cell r="E1267" t="str">
            <v>VRF400005</v>
          </cell>
          <cell r="F1267">
            <v>44</v>
          </cell>
          <cell r="G1267">
            <v>30</v>
          </cell>
          <cell r="H1267" t="str">
            <v>CEPEREZ@UTALCA.CL</v>
          </cell>
        </row>
        <row r="1268">
          <cell r="B1268">
            <v>17931139</v>
          </cell>
          <cell r="C1268">
            <v>9</v>
          </cell>
          <cell r="D1268" t="str">
            <v>ARAYA CANCINO JAEL ABIGAIL</v>
          </cell>
          <cell r="E1268" t="str">
            <v>FOD350001</v>
          </cell>
          <cell r="F1268">
            <v>44</v>
          </cell>
          <cell r="G1268">
            <v>30</v>
          </cell>
          <cell r="H1268" t="str">
            <v>JAEL.ARAYA@UTALCA.CL</v>
          </cell>
        </row>
        <row r="1269">
          <cell r="B1269">
            <v>17931355</v>
          </cell>
          <cell r="C1269">
            <v>3</v>
          </cell>
          <cell r="D1269" t="str">
            <v>POBLETE AVILA VALERIA DEL CARM</v>
          </cell>
          <cell r="E1269" t="str">
            <v>FCS320012</v>
          </cell>
          <cell r="F1269">
            <v>44</v>
          </cell>
          <cell r="G1269">
            <v>30</v>
          </cell>
          <cell r="H1269" t="str">
            <v>VALERIA.POBLETE@UTALCA.CL</v>
          </cell>
        </row>
        <row r="1270">
          <cell r="B1270">
            <v>17932075</v>
          </cell>
          <cell r="C1270">
            <v>4</v>
          </cell>
          <cell r="D1270" t="str">
            <v>MUÑOZ HENRIQUEZ CAMILA ESTEFAN</v>
          </cell>
          <cell r="E1270" t="str">
            <v>FCI310003</v>
          </cell>
          <cell r="F1270">
            <v>22</v>
          </cell>
          <cell r="G1270">
            <v>30</v>
          </cell>
          <cell r="H1270" t="str">
            <v>CAMILA.MUNOZ@UTALCA.CL</v>
          </cell>
        </row>
        <row r="1271">
          <cell r="B1271">
            <v>17932187</v>
          </cell>
          <cell r="C1271">
            <v>4</v>
          </cell>
          <cell r="D1271" t="str">
            <v>ESPINOZA ROJAS DANIELA ANDREA</v>
          </cell>
          <cell r="E1271" t="str">
            <v>VRF400002</v>
          </cell>
          <cell r="F1271">
            <v>44</v>
          </cell>
          <cell r="G1271">
            <v>30</v>
          </cell>
          <cell r="H1271" t="str">
            <v>DANESPINOZA@UTALCA.CL</v>
          </cell>
        </row>
        <row r="1272">
          <cell r="B1272">
            <v>17932907</v>
          </cell>
          <cell r="C1272">
            <v>7</v>
          </cell>
          <cell r="D1272" t="str">
            <v>LETELIER LOYOLA CATALINA BEATR</v>
          </cell>
          <cell r="E1272" t="str">
            <v/>
          </cell>
          <cell r="F1272">
            <v>44</v>
          </cell>
          <cell r="G1272">
            <v>30</v>
          </cell>
          <cell r="H1272" t="str">
            <v>CATALINA.LETELIER@UTALCA.CL</v>
          </cell>
        </row>
        <row r="1273">
          <cell r="B1273">
            <v>17932909</v>
          </cell>
          <cell r="C1273">
            <v>3</v>
          </cell>
          <cell r="D1273" t="str">
            <v>VERGARA TORRES CELENA IGNACIA</v>
          </cell>
          <cell r="E1273" t="str">
            <v>VGE400004</v>
          </cell>
          <cell r="F1273">
            <v>44</v>
          </cell>
          <cell r="G1273">
            <v>30</v>
          </cell>
          <cell r="H1273" t="str">
            <v>CELENA.VERGARA@UTALCA.CL</v>
          </cell>
        </row>
        <row r="1274">
          <cell r="B1274">
            <v>17932991</v>
          </cell>
          <cell r="C1274">
            <v>3</v>
          </cell>
          <cell r="D1274" t="str">
            <v>MOYA GONZALEZ KAROLAYN YISSELA</v>
          </cell>
          <cell r="E1274" t="str">
            <v>VAC400003</v>
          </cell>
          <cell r="F1274">
            <v>44</v>
          </cell>
          <cell r="G1274">
            <v>30</v>
          </cell>
          <cell r="H1274" t="str">
            <v>KMOYA@UTALCA.CL</v>
          </cell>
        </row>
        <row r="1275">
          <cell r="B1275">
            <v>17960849</v>
          </cell>
          <cell r="C1275">
            <v>9</v>
          </cell>
          <cell r="D1275" t="str">
            <v>ENCINA ESTRADA GABRIELA ADRIAN</v>
          </cell>
          <cell r="E1275" t="str">
            <v>VDE400001</v>
          </cell>
          <cell r="F1275">
            <v>44</v>
          </cell>
          <cell r="G1275">
            <v>30</v>
          </cell>
          <cell r="H1275" t="str">
            <v>GABRIELA.ENCINA@UTALCA.CL</v>
          </cell>
        </row>
        <row r="1276">
          <cell r="B1276">
            <v>17967955</v>
          </cell>
          <cell r="C1276">
            <v>8</v>
          </cell>
          <cell r="D1276" t="str">
            <v>LETELIER PÉREZ ERIC ROBERTO</v>
          </cell>
          <cell r="E1276" t="str">
            <v>VGE400058</v>
          </cell>
          <cell r="F1276">
            <v>44</v>
          </cell>
          <cell r="G1276">
            <v>30</v>
          </cell>
          <cell r="H1276" t="str">
            <v>ERIC.LETELIER@UTALCA.CL</v>
          </cell>
        </row>
        <row r="1277">
          <cell r="B1277">
            <v>17986128</v>
          </cell>
          <cell r="C1277">
            <v>3</v>
          </cell>
          <cell r="D1277" t="str">
            <v>BARRALES MARTINEZ CESAR CAMILO</v>
          </cell>
          <cell r="E1277" t="str">
            <v>VAC400024</v>
          </cell>
          <cell r="F1277">
            <v>44</v>
          </cell>
          <cell r="G1277">
            <v>30</v>
          </cell>
          <cell r="H1277" t="str">
            <v>CESAR.BARRALES@UTALCA.CL</v>
          </cell>
        </row>
        <row r="1278">
          <cell r="B1278">
            <v>17997378</v>
          </cell>
          <cell r="C1278">
            <v>2</v>
          </cell>
          <cell r="D1278" t="str">
            <v>RUPERTHUS VERDUGO JAVIERA CATA</v>
          </cell>
          <cell r="E1278" t="str">
            <v>FED310002</v>
          </cell>
          <cell r="F1278">
            <v>44</v>
          </cell>
          <cell r="G1278">
            <v>30</v>
          </cell>
          <cell r="H1278" t="str">
            <v>JAVIERA.RUPERTHUS@UTALCA.CL</v>
          </cell>
        </row>
        <row r="1279">
          <cell r="B1279">
            <v>18000621</v>
          </cell>
          <cell r="C1279">
            <v>4</v>
          </cell>
          <cell r="D1279" t="str">
            <v>CARVAJAL VARGAS LEONARDO ESTEB</v>
          </cell>
          <cell r="E1279" t="str">
            <v>FAD310004</v>
          </cell>
          <cell r="F1279">
            <v>22</v>
          </cell>
          <cell r="G1279">
            <v>30</v>
          </cell>
          <cell r="H1279" t="str">
            <v>LCARVAJAL@UTALCA.CL</v>
          </cell>
        </row>
        <row r="1280">
          <cell r="B1280">
            <v>18046356</v>
          </cell>
          <cell r="C1280">
            <v>9</v>
          </cell>
          <cell r="D1280" t="str">
            <v>GARCIA MANRIQUEZ NATALIA LOREE</v>
          </cell>
          <cell r="E1280" t="str">
            <v>FOD200001</v>
          </cell>
          <cell r="F1280">
            <v>44</v>
          </cell>
          <cell r="G1280">
            <v>30</v>
          </cell>
          <cell r="H1280" t="str">
            <v>NAGARCIA@UTALCA.CL</v>
          </cell>
        </row>
        <row r="1281">
          <cell r="B1281">
            <v>18060542</v>
          </cell>
          <cell r="C1281">
            <v>8</v>
          </cell>
          <cell r="D1281" t="str">
            <v>MIRANDA SANDOVAL GONZALO DAVID</v>
          </cell>
          <cell r="E1281" t="str">
            <v>FOD350001</v>
          </cell>
          <cell r="F1281">
            <v>44</v>
          </cell>
          <cell r="G1281">
            <v>30</v>
          </cell>
          <cell r="H1281" t="str">
            <v>GONZALO.MIRANDA@UTALCA.CL</v>
          </cell>
        </row>
        <row r="1282">
          <cell r="B1282">
            <v>18071483</v>
          </cell>
          <cell r="C1282">
            <v>9</v>
          </cell>
          <cell r="D1282" t="str">
            <v>GAJARDO CANCINO JORGE ANDRES</v>
          </cell>
          <cell r="E1282" t="str">
            <v>VDE100001</v>
          </cell>
          <cell r="F1282">
            <v>44</v>
          </cell>
          <cell r="G1282">
            <v>30</v>
          </cell>
          <cell r="H1282" t="str">
            <v>JORGE.GAJARDO@UTALCA.CL</v>
          </cell>
        </row>
        <row r="1283">
          <cell r="B1283">
            <v>18097924</v>
          </cell>
          <cell r="C1283">
            <v>7</v>
          </cell>
          <cell r="D1283" t="str">
            <v>VERA BARRERA BORIS WILLIAM</v>
          </cell>
          <cell r="E1283" t="str">
            <v>FCS320012</v>
          </cell>
          <cell r="F1283">
            <v>44</v>
          </cell>
          <cell r="G1283">
            <v>30</v>
          </cell>
          <cell r="H1283" t="str">
            <v>BORIS.VERA@UTALCA.CL</v>
          </cell>
        </row>
        <row r="1284">
          <cell r="B1284">
            <v>18111746</v>
          </cell>
          <cell r="C1284" t="str">
            <v>K</v>
          </cell>
          <cell r="D1284" t="str">
            <v>MOSQUERA VEGA CAMILA SOLEDAD</v>
          </cell>
          <cell r="E1284" t="str">
            <v>FPS310002</v>
          </cell>
          <cell r="F1284">
            <v>44</v>
          </cell>
          <cell r="G1284">
            <v>30</v>
          </cell>
          <cell r="H1284" t="str">
            <v>CAMILA.MOSQUERA@UTALCA.CL</v>
          </cell>
        </row>
        <row r="1285">
          <cell r="B1285">
            <v>18112592</v>
          </cell>
          <cell r="C1285">
            <v>6</v>
          </cell>
          <cell r="D1285" t="str">
            <v>MUÑOZ CASTRO CARLOS ALFREDO</v>
          </cell>
          <cell r="E1285" t="str">
            <v>FCI320007</v>
          </cell>
          <cell r="F1285">
            <v>44</v>
          </cell>
          <cell r="G1285">
            <v>30</v>
          </cell>
          <cell r="H1285" t="str">
            <v>CARLOSMUNOZ@UTALCA.CL</v>
          </cell>
        </row>
        <row r="1286">
          <cell r="B1286">
            <v>18112781</v>
          </cell>
          <cell r="C1286">
            <v>3</v>
          </cell>
          <cell r="D1286" t="str">
            <v>DOMINGUEZ OSORES CLAUDIA FRANC</v>
          </cell>
          <cell r="E1286" t="str">
            <v/>
          </cell>
          <cell r="F1286">
            <v>44</v>
          </cell>
          <cell r="G1286">
            <v>30</v>
          </cell>
          <cell r="H1286" t="str">
            <v>CDOMINGUEZ@UTALCA.CL</v>
          </cell>
        </row>
        <row r="1287">
          <cell r="B1287">
            <v>18165774</v>
          </cell>
          <cell r="C1287" t="str">
            <v>K</v>
          </cell>
          <cell r="D1287" t="str">
            <v>ACEITON SANTIBAÑEZ AARON ADOLF</v>
          </cell>
          <cell r="E1287" t="str">
            <v>ICB300001</v>
          </cell>
          <cell r="F1287">
            <v>44</v>
          </cell>
          <cell r="G1287">
            <v>30</v>
          </cell>
          <cell r="H1287" t="str">
            <v>ARON.ACEITON@UTALCA.CL</v>
          </cell>
        </row>
        <row r="1288">
          <cell r="B1288">
            <v>18169064</v>
          </cell>
          <cell r="C1288" t="str">
            <v>K</v>
          </cell>
          <cell r="D1288" t="str">
            <v>ASENJO FUENZALIDA MARIA INES</v>
          </cell>
          <cell r="E1288" t="str">
            <v>VGE400050</v>
          </cell>
          <cell r="F1288">
            <v>44</v>
          </cell>
          <cell r="G1288">
            <v>30</v>
          </cell>
          <cell r="H1288" t="str">
            <v>MARIA.ASENJO@UTALCA.CL</v>
          </cell>
        </row>
        <row r="1289">
          <cell r="B1289">
            <v>18175526</v>
          </cell>
          <cell r="C1289">
            <v>1</v>
          </cell>
          <cell r="D1289" t="str">
            <v>CANCINO SALAZAR IVÁN ELÍAS</v>
          </cell>
          <cell r="E1289" t="str">
            <v>FOD350001</v>
          </cell>
          <cell r="F1289">
            <v>44</v>
          </cell>
          <cell r="G1289">
            <v>29</v>
          </cell>
          <cell r="H1289" t="str">
            <v>IVAN.CANCINO@UTALCA.CL</v>
          </cell>
        </row>
        <row r="1290">
          <cell r="B1290">
            <v>18175957</v>
          </cell>
          <cell r="C1290">
            <v>7</v>
          </cell>
          <cell r="D1290" t="str">
            <v>ORTIZ CHANDIA ESTEBAN PATRICIO</v>
          </cell>
          <cell r="E1290" t="str">
            <v>FCS320007</v>
          </cell>
          <cell r="F1290">
            <v>33</v>
          </cell>
          <cell r="G1290">
            <v>30</v>
          </cell>
          <cell r="H1290" t="str">
            <v>ESTEBAN.ORTIZ@UTALCA.CL</v>
          </cell>
        </row>
        <row r="1291">
          <cell r="B1291">
            <v>18176209</v>
          </cell>
          <cell r="C1291">
            <v>8</v>
          </cell>
          <cell r="D1291" t="str">
            <v>CAMPOS SOTO SUSANA VERONICA</v>
          </cell>
          <cell r="E1291" t="str">
            <v>FPS340002</v>
          </cell>
          <cell r="F1291">
            <v>44</v>
          </cell>
          <cell r="G1291">
            <v>30</v>
          </cell>
          <cell r="H1291" t="str">
            <v>SUSANA.CAMPOS@UTALCA.CL</v>
          </cell>
        </row>
        <row r="1292">
          <cell r="B1292">
            <v>18176479</v>
          </cell>
          <cell r="C1292">
            <v>1</v>
          </cell>
          <cell r="D1292" t="str">
            <v>LABRA LABRA VALERIA ANDREA</v>
          </cell>
          <cell r="E1292" t="str">
            <v>VGE400003</v>
          </cell>
          <cell r="F1292">
            <v>44</v>
          </cell>
          <cell r="G1292">
            <v>30</v>
          </cell>
          <cell r="H1292" t="str">
            <v>VLABRA@UTALCA.CL</v>
          </cell>
        </row>
        <row r="1293">
          <cell r="B1293">
            <v>18176747</v>
          </cell>
          <cell r="C1293">
            <v>2</v>
          </cell>
          <cell r="D1293" t="str">
            <v>BENAVIDES ROJAS NICOLAS IGNACI</v>
          </cell>
          <cell r="E1293" t="str">
            <v>ADC014004</v>
          </cell>
          <cell r="F1293">
            <v>44</v>
          </cell>
          <cell r="G1293">
            <v>30</v>
          </cell>
          <cell r="H1293" t="str">
            <v>NIBENAVIDES@UTALCA.CL</v>
          </cell>
        </row>
        <row r="1294">
          <cell r="B1294">
            <v>18177162</v>
          </cell>
          <cell r="C1294">
            <v>3</v>
          </cell>
          <cell r="D1294" t="str">
            <v>BASOALTO CONCHA RAUL ADOLFO</v>
          </cell>
          <cell r="E1294" t="str">
            <v>FAD310001</v>
          </cell>
          <cell r="F1294">
            <v>44</v>
          </cell>
          <cell r="G1294">
            <v>30</v>
          </cell>
          <cell r="H1294" t="str">
            <v>RAUL.BASOALTO@UTALCA.CL</v>
          </cell>
        </row>
        <row r="1295">
          <cell r="B1295">
            <v>18181317</v>
          </cell>
          <cell r="C1295">
            <v>2</v>
          </cell>
          <cell r="D1295" t="str">
            <v>ZAMORANO ALLEN NICOLAS RODRIGO</v>
          </cell>
          <cell r="E1295" t="str">
            <v>ADC021006</v>
          </cell>
          <cell r="F1295">
            <v>44</v>
          </cell>
          <cell r="G1295">
            <v>30</v>
          </cell>
          <cell r="H1295" t="str">
            <v>NICOLAS.ZAMORANO@UTALCA.CL</v>
          </cell>
        </row>
        <row r="1296">
          <cell r="B1296">
            <v>18182095</v>
          </cell>
          <cell r="C1296">
            <v>0</v>
          </cell>
          <cell r="D1296" t="str">
            <v>GARCES RIVEROS MIGUEL ANGEL</v>
          </cell>
          <cell r="E1296" t="str">
            <v>FCJ340009</v>
          </cell>
          <cell r="F1296">
            <v>33</v>
          </cell>
          <cell r="G1296">
            <v>30</v>
          </cell>
          <cell r="H1296" t="str">
            <v>M.GARCES.R@HOTMAIL.COM</v>
          </cell>
        </row>
        <row r="1297">
          <cell r="B1297">
            <v>18197791</v>
          </cell>
          <cell r="C1297">
            <v>4</v>
          </cell>
          <cell r="D1297" t="str">
            <v>VASQUEZ CARRASCO EDGAR MAXIMIL</v>
          </cell>
          <cell r="E1297" t="str">
            <v>FPS310002</v>
          </cell>
          <cell r="F1297">
            <v>44</v>
          </cell>
          <cell r="G1297">
            <v>30</v>
          </cell>
          <cell r="H1297" t="str">
            <v>EDGAR.VASQUEZ@UTALCA.CL</v>
          </cell>
        </row>
        <row r="1298">
          <cell r="B1298">
            <v>18223253</v>
          </cell>
          <cell r="C1298" t="str">
            <v>K</v>
          </cell>
          <cell r="D1298" t="str">
            <v>VALENZUELA JARA GODOLTIER ALEX</v>
          </cell>
          <cell r="E1298" t="str">
            <v>VGE400020</v>
          </cell>
          <cell r="F1298">
            <v>44</v>
          </cell>
          <cell r="G1298">
            <v>30</v>
          </cell>
          <cell r="H1298" t="str">
            <v>GODOLTIER.VALENZUELA@UTALCA.CL</v>
          </cell>
        </row>
        <row r="1299">
          <cell r="B1299">
            <v>18225300</v>
          </cell>
          <cell r="C1299">
            <v>6</v>
          </cell>
          <cell r="D1299" t="str">
            <v>GAETE PAREDES JOEL ALEXIS</v>
          </cell>
          <cell r="E1299" t="str">
            <v>VGE400051</v>
          </cell>
          <cell r="F1299">
            <v>44</v>
          </cell>
          <cell r="G1299">
            <v>30</v>
          </cell>
          <cell r="H1299" t="str">
            <v>JOEL.GAETE@UTALCA.CL</v>
          </cell>
        </row>
        <row r="1300">
          <cell r="B1300">
            <v>18225301</v>
          </cell>
          <cell r="C1300">
            <v>4</v>
          </cell>
          <cell r="D1300" t="str">
            <v>MOLINA CASTRO MICHELLE ALEJAND</v>
          </cell>
          <cell r="E1300" t="str">
            <v>VGE400005</v>
          </cell>
          <cell r="F1300">
            <v>44</v>
          </cell>
          <cell r="G1300">
            <v>30</v>
          </cell>
          <cell r="H1300" t="str">
            <v>MIMOLINA@UTALCA.CL</v>
          </cell>
        </row>
        <row r="1301">
          <cell r="B1301">
            <v>18225585</v>
          </cell>
          <cell r="C1301">
            <v>8</v>
          </cell>
          <cell r="D1301" t="str">
            <v>ALIAGA ESPINOZA DIEGO HERNAN</v>
          </cell>
          <cell r="E1301" t="str">
            <v>ADC030114</v>
          </cell>
          <cell r="F1301">
            <v>44</v>
          </cell>
          <cell r="G1301">
            <v>30</v>
          </cell>
          <cell r="H1301" t="str">
            <v>DALIAGA@UTALCA.CL</v>
          </cell>
        </row>
        <row r="1302">
          <cell r="B1302">
            <v>18226395</v>
          </cell>
          <cell r="C1302">
            <v>8</v>
          </cell>
          <cell r="D1302" t="str">
            <v>BARRIOS NAVARRETE FERNANDA TER</v>
          </cell>
          <cell r="E1302" t="str">
            <v>VDE400002</v>
          </cell>
          <cell r="F1302">
            <v>44</v>
          </cell>
          <cell r="G1302">
            <v>30</v>
          </cell>
          <cell r="H1302" t="str">
            <v>FBARRIOS@UTALCA.CL</v>
          </cell>
        </row>
        <row r="1303">
          <cell r="B1303">
            <v>18226538</v>
          </cell>
          <cell r="C1303">
            <v>1</v>
          </cell>
          <cell r="D1303" t="str">
            <v>ROMERO OLAVE PAULA MARLENE</v>
          </cell>
          <cell r="E1303" t="str">
            <v>FCS320001</v>
          </cell>
          <cell r="F1303">
            <v>44</v>
          </cell>
          <cell r="G1303">
            <v>30</v>
          </cell>
          <cell r="H1303" t="str">
            <v>PROMERO@UTALCA.CL</v>
          </cell>
        </row>
        <row r="1304">
          <cell r="B1304">
            <v>18226631</v>
          </cell>
          <cell r="C1304">
            <v>0</v>
          </cell>
          <cell r="D1304" t="str">
            <v>ESPINOZA MARIN YAMILET DEL PIL</v>
          </cell>
          <cell r="E1304" t="str">
            <v>ADC013001</v>
          </cell>
          <cell r="F1304">
            <v>44</v>
          </cell>
          <cell r="G1304">
            <v>30</v>
          </cell>
          <cell r="H1304" t="str">
            <v>YESPINOZA@UTALCA.CL</v>
          </cell>
        </row>
        <row r="1305">
          <cell r="B1305">
            <v>18226697</v>
          </cell>
          <cell r="C1305">
            <v>3</v>
          </cell>
          <cell r="D1305" t="str">
            <v>FAUNDEZ CORREA LEONEL FELIPE</v>
          </cell>
          <cell r="E1305" t="str">
            <v/>
          </cell>
          <cell r="F1305">
            <v>22</v>
          </cell>
          <cell r="G1305">
            <v>30</v>
          </cell>
          <cell r="H1305" t="str">
            <v>LEONEL.FAUNDEZ@UTALCA.CL</v>
          </cell>
        </row>
        <row r="1306">
          <cell r="B1306">
            <v>18226923</v>
          </cell>
          <cell r="C1306">
            <v>9</v>
          </cell>
          <cell r="D1306" t="str">
            <v>PEREZ GARRIDO KATHERINE REGINA</v>
          </cell>
          <cell r="E1306" t="str">
            <v>VGE400009</v>
          </cell>
          <cell r="F1306">
            <v>44</v>
          </cell>
          <cell r="G1306">
            <v>30</v>
          </cell>
          <cell r="H1306" t="str">
            <v>KATHERINE.PEREZ@UTALCA.CL</v>
          </cell>
        </row>
        <row r="1307">
          <cell r="B1307">
            <v>18227697</v>
          </cell>
          <cell r="C1307">
            <v>9</v>
          </cell>
          <cell r="D1307" t="str">
            <v>NUÑEZ PALMA BARBARA CAMILA</v>
          </cell>
          <cell r="E1307" t="str">
            <v>VDE400001</v>
          </cell>
          <cell r="F1307">
            <v>44</v>
          </cell>
          <cell r="G1307">
            <v>30</v>
          </cell>
          <cell r="H1307" t="str">
            <v>BARBARA.NUNEZ@UTALCA.CL</v>
          </cell>
        </row>
        <row r="1308">
          <cell r="B1308">
            <v>18228001</v>
          </cell>
          <cell r="C1308">
            <v>1</v>
          </cell>
          <cell r="D1308" t="str">
            <v>MENDEZ CHAMORRO CLAUDIA FRANCI</v>
          </cell>
          <cell r="E1308" t="str">
            <v/>
          </cell>
          <cell r="F1308">
            <v>33</v>
          </cell>
          <cell r="G1308">
            <v>30</v>
          </cell>
          <cell r="H1308" t="str">
            <v>CLAUDIA.MENDEZ@UTALCA.CL</v>
          </cell>
        </row>
        <row r="1309">
          <cell r="B1309">
            <v>18228112</v>
          </cell>
          <cell r="C1309">
            <v>3</v>
          </cell>
          <cell r="D1309" t="str">
            <v>MORALES GAJARDO GERMAN ALEJAND</v>
          </cell>
          <cell r="E1309" t="str">
            <v>VAC400001</v>
          </cell>
          <cell r="F1309">
            <v>44</v>
          </cell>
          <cell r="G1309">
            <v>30</v>
          </cell>
          <cell r="H1309" t="str">
            <v>GERMAN.MORALES@UTALCA.CL</v>
          </cell>
        </row>
        <row r="1310">
          <cell r="B1310">
            <v>18235996</v>
          </cell>
          <cell r="C1310">
            <v>3</v>
          </cell>
          <cell r="D1310" t="str">
            <v>KARTSEVSKI DUNE MACKARENA</v>
          </cell>
          <cell r="E1310" t="str">
            <v>FED310002</v>
          </cell>
          <cell r="F1310">
            <v>44</v>
          </cell>
          <cell r="G1310">
            <v>30</v>
          </cell>
          <cell r="H1310" t="str">
            <v>MACKARENA.KARTSEVSKI@UTALCA.CL</v>
          </cell>
        </row>
        <row r="1311">
          <cell r="B1311">
            <v>18252601</v>
          </cell>
          <cell r="C1311">
            <v>0</v>
          </cell>
          <cell r="D1311" t="str">
            <v>AVENDAÑO CONCHA DANIELA KATHER</v>
          </cell>
          <cell r="E1311" t="str">
            <v>VDE400011</v>
          </cell>
          <cell r="F1311">
            <v>44</v>
          </cell>
          <cell r="G1311">
            <v>30</v>
          </cell>
          <cell r="H1311" t="str">
            <v>DAVENDANO@UTALCA.CL</v>
          </cell>
        </row>
        <row r="1312">
          <cell r="B1312">
            <v>18252782</v>
          </cell>
          <cell r="C1312">
            <v>3</v>
          </cell>
          <cell r="D1312" t="str">
            <v>RIQUELME ESCOBAR ANGIE YARLENE</v>
          </cell>
          <cell r="E1312" t="str">
            <v>VRF400009</v>
          </cell>
          <cell r="F1312">
            <v>44</v>
          </cell>
          <cell r="G1312">
            <v>30</v>
          </cell>
          <cell r="H1312" t="str">
            <v>ANGIE.RIQUELME@UTALCA.CL</v>
          </cell>
        </row>
        <row r="1313">
          <cell r="B1313">
            <v>18253067</v>
          </cell>
          <cell r="C1313">
            <v>0</v>
          </cell>
          <cell r="D1313" t="str">
            <v>RAMIREZ DIAZ PAULA IGNACIA</v>
          </cell>
          <cell r="E1313" t="str">
            <v>FOD320003</v>
          </cell>
          <cell r="F1313">
            <v>12</v>
          </cell>
          <cell r="G1313">
            <v>30</v>
          </cell>
          <cell r="H1313" t="str">
            <v>PAULA.RAMIREZ@UTALCA.CL</v>
          </cell>
        </row>
        <row r="1314">
          <cell r="B1314">
            <v>18253547</v>
          </cell>
          <cell r="C1314">
            <v>8</v>
          </cell>
          <cell r="D1314" t="str">
            <v>GONZALEZ GONZALEZ CATARINA FAB</v>
          </cell>
          <cell r="E1314" t="str">
            <v>ADC030113</v>
          </cell>
          <cell r="F1314">
            <v>44</v>
          </cell>
          <cell r="G1314">
            <v>30</v>
          </cell>
          <cell r="H1314" t="str">
            <v>CGONZALEZG@UTALCA.CL</v>
          </cell>
        </row>
        <row r="1315">
          <cell r="B1315">
            <v>18253651</v>
          </cell>
          <cell r="C1315">
            <v>2</v>
          </cell>
          <cell r="D1315" t="str">
            <v>LEIVA NAVARRO MARIA FRANCISCA</v>
          </cell>
          <cell r="E1315" t="str">
            <v>FCI310008</v>
          </cell>
          <cell r="F1315">
            <v>44</v>
          </cell>
          <cell r="G1315">
            <v>30</v>
          </cell>
          <cell r="H1315" t="str">
            <v>FLEIVA@UTALCA.CL</v>
          </cell>
        </row>
        <row r="1316">
          <cell r="B1316">
            <v>18254268</v>
          </cell>
          <cell r="C1316">
            <v>7</v>
          </cell>
          <cell r="D1316" t="str">
            <v>CACERES HERRERA LUIS ANIBAL</v>
          </cell>
          <cell r="E1316" t="str">
            <v>VGE400050</v>
          </cell>
          <cell r="F1316">
            <v>44</v>
          </cell>
          <cell r="G1316">
            <v>30</v>
          </cell>
          <cell r="H1316" t="str">
            <v>LUIS.CACERES@UTALCA.CL</v>
          </cell>
        </row>
        <row r="1317">
          <cell r="B1317">
            <v>18286733</v>
          </cell>
          <cell r="C1317">
            <v>0</v>
          </cell>
          <cell r="D1317" t="str">
            <v>ARAUNA FUENTES DIEGO PIERO ARM</v>
          </cell>
          <cell r="E1317" t="str">
            <v>VAC400024</v>
          </cell>
          <cell r="F1317">
            <v>44</v>
          </cell>
          <cell r="G1317">
            <v>30</v>
          </cell>
          <cell r="H1317" t="str">
            <v>DARAUNA@UTALCA.CL</v>
          </cell>
        </row>
        <row r="1318">
          <cell r="B1318">
            <v>18287312</v>
          </cell>
          <cell r="C1318">
            <v>8</v>
          </cell>
          <cell r="D1318" t="str">
            <v>IBAÑEZ OSORIO NICOLE DENISSE</v>
          </cell>
          <cell r="E1318" t="str">
            <v>FED310002</v>
          </cell>
          <cell r="F1318">
            <v>44</v>
          </cell>
          <cell r="G1318">
            <v>30</v>
          </cell>
          <cell r="H1318" t="str">
            <v>NICOLE.IBANEZ@UTALCA.CL</v>
          </cell>
        </row>
        <row r="1319">
          <cell r="B1319">
            <v>18287400</v>
          </cell>
          <cell r="C1319">
            <v>0</v>
          </cell>
          <cell r="D1319" t="str">
            <v>MUÑOZ ALARCON CARLOS ALEXIS</v>
          </cell>
          <cell r="E1319" t="str">
            <v>VGE400004</v>
          </cell>
          <cell r="F1319">
            <v>44</v>
          </cell>
          <cell r="G1319">
            <v>30</v>
          </cell>
          <cell r="H1319" t="str">
            <v>CARLOS.MUNOZ@UTALCA.CL</v>
          </cell>
        </row>
        <row r="1320">
          <cell r="B1320">
            <v>18296798</v>
          </cell>
          <cell r="C1320" t="str">
            <v>K</v>
          </cell>
          <cell r="D1320" t="str">
            <v>CORDOVA SANDOVAL MARIA TERESA</v>
          </cell>
          <cell r="E1320" t="str">
            <v>ADC030112</v>
          </cell>
          <cell r="F1320">
            <v>44</v>
          </cell>
          <cell r="G1320">
            <v>30</v>
          </cell>
          <cell r="H1320" t="str">
            <v>MACORDOVA@UTALCA.CL</v>
          </cell>
        </row>
        <row r="1321">
          <cell r="B1321">
            <v>18302883</v>
          </cell>
          <cell r="C1321">
            <v>9</v>
          </cell>
          <cell r="D1321" t="str">
            <v>ULLOA GONZALEZ JUAN PABLO</v>
          </cell>
          <cell r="E1321" t="str">
            <v>VRF400043</v>
          </cell>
          <cell r="F1321">
            <v>44</v>
          </cell>
          <cell r="G1321">
            <v>30</v>
          </cell>
          <cell r="H1321" t="str">
            <v>JUAN.ULLOA@UTALCA.CL</v>
          </cell>
        </row>
        <row r="1322">
          <cell r="B1322">
            <v>18334362</v>
          </cell>
          <cell r="C1322">
            <v>9</v>
          </cell>
          <cell r="D1322" t="str">
            <v>JIMENEZ FIERRO SCARLETT NATALI</v>
          </cell>
          <cell r="E1322" t="str">
            <v>FCS320009</v>
          </cell>
          <cell r="F1322">
            <v>33</v>
          </cell>
          <cell r="G1322">
            <v>30</v>
          </cell>
          <cell r="H1322" t="str">
            <v>SJIMENEZ@UTALCA.CL</v>
          </cell>
        </row>
        <row r="1323">
          <cell r="B1323">
            <v>18344105</v>
          </cell>
          <cell r="C1323">
            <v>1</v>
          </cell>
          <cell r="D1323" t="str">
            <v>AGUILERA JORQUERA CARLA FRANCE</v>
          </cell>
          <cell r="E1323" t="str">
            <v>ADC030115</v>
          </cell>
          <cell r="F1323">
            <v>44</v>
          </cell>
          <cell r="G1323">
            <v>29</v>
          </cell>
          <cell r="H1323" t="str">
            <v>CARLA.AGUILERA@UTALCA.CL</v>
          </cell>
        </row>
        <row r="1324">
          <cell r="B1324">
            <v>18359623</v>
          </cell>
          <cell r="C1324">
            <v>3</v>
          </cell>
          <cell r="D1324" t="str">
            <v>MERIÑO SALGADO VICTOR ALEJANDR</v>
          </cell>
          <cell r="E1324" t="str">
            <v/>
          </cell>
          <cell r="F1324">
            <v>44</v>
          </cell>
          <cell r="G1324">
            <v>30</v>
          </cell>
          <cell r="H1324" t="str">
            <v>VMERINO@UTALCA.CL</v>
          </cell>
        </row>
        <row r="1325">
          <cell r="B1325">
            <v>18359891</v>
          </cell>
          <cell r="C1325">
            <v>0</v>
          </cell>
          <cell r="D1325" t="str">
            <v>GONZALEZ NOVOA JOHAN MANUEL</v>
          </cell>
          <cell r="E1325" t="str">
            <v>FCI320004</v>
          </cell>
          <cell r="F1325">
            <v>44</v>
          </cell>
          <cell r="G1325">
            <v>30</v>
          </cell>
          <cell r="H1325" t="str">
            <v>JOHANGONZALEZ@UTALCA.CL</v>
          </cell>
        </row>
        <row r="1326">
          <cell r="B1326">
            <v>18360172</v>
          </cell>
          <cell r="C1326">
            <v>5</v>
          </cell>
          <cell r="D1326" t="str">
            <v>CASTRO LARA FERNANDA ELISA</v>
          </cell>
          <cell r="E1326" t="str">
            <v/>
          </cell>
          <cell r="F1326">
            <v>44</v>
          </cell>
          <cell r="G1326">
            <v>30</v>
          </cell>
          <cell r="H1326" t="str">
            <v>FERNANDA.CASTRO@UTALCA.CL</v>
          </cell>
        </row>
        <row r="1327">
          <cell r="B1327">
            <v>18395297</v>
          </cell>
          <cell r="C1327">
            <v>8</v>
          </cell>
          <cell r="D1327" t="str">
            <v>PAROT SOTO VALENTINA</v>
          </cell>
          <cell r="E1327" t="str">
            <v>FCS320011</v>
          </cell>
          <cell r="F1327">
            <v>37</v>
          </cell>
          <cell r="G1327">
            <v>30</v>
          </cell>
          <cell r="H1327" t="str">
            <v>VPAROT@UTALCA.CL</v>
          </cell>
        </row>
        <row r="1328">
          <cell r="B1328">
            <v>18404251</v>
          </cell>
          <cell r="C1328">
            <v>7</v>
          </cell>
          <cell r="D1328" t="str">
            <v>NEIRA ENCINA CATHERINE VICTORI</v>
          </cell>
          <cell r="E1328" t="str">
            <v>VDE400009</v>
          </cell>
          <cell r="F1328">
            <v>22</v>
          </cell>
          <cell r="G1328">
            <v>30</v>
          </cell>
          <cell r="H1328" t="str">
            <v>CNEIRA@UTALCA.CL</v>
          </cell>
        </row>
        <row r="1329">
          <cell r="B1329">
            <v>18412550</v>
          </cell>
          <cell r="C1329">
            <v>1</v>
          </cell>
          <cell r="D1329" t="str">
            <v>OTAROLA SEPULVEDA PAULA FERNAN</v>
          </cell>
          <cell r="E1329" t="str">
            <v>VDE400009</v>
          </cell>
          <cell r="F1329">
            <v>33</v>
          </cell>
          <cell r="G1329">
            <v>30</v>
          </cell>
          <cell r="H1329" t="str">
            <v>PAULA.OTAROLA@UTALCA.CL</v>
          </cell>
        </row>
        <row r="1330">
          <cell r="B1330">
            <v>18450903</v>
          </cell>
          <cell r="C1330">
            <v>2</v>
          </cell>
          <cell r="D1330" t="str">
            <v>VALENZUELA ORREGO EUNICE FABIO</v>
          </cell>
          <cell r="E1330" t="str">
            <v>FCS320007</v>
          </cell>
          <cell r="F1330">
            <v>44</v>
          </cell>
          <cell r="G1330">
            <v>30</v>
          </cell>
          <cell r="H1330" t="str">
            <v>EUVALENZUELA@UTALCA.CL</v>
          </cell>
        </row>
        <row r="1331">
          <cell r="B1331">
            <v>18474617</v>
          </cell>
          <cell r="C1331">
            <v>4</v>
          </cell>
          <cell r="D1331" t="str">
            <v>PEREZ ESPINOZA TAMARA PAOLA</v>
          </cell>
          <cell r="E1331" t="str">
            <v>VAC400082</v>
          </cell>
          <cell r="F1331">
            <v>44</v>
          </cell>
          <cell r="G1331">
            <v>30</v>
          </cell>
          <cell r="H1331" t="str">
            <v>TAMARA.PEREZ@UTALCA.CL</v>
          </cell>
        </row>
        <row r="1332">
          <cell r="B1332">
            <v>18475437</v>
          </cell>
          <cell r="C1332">
            <v>1</v>
          </cell>
          <cell r="D1332" t="str">
            <v>GUTIERREZ GONZALEZ MAURICIO AN</v>
          </cell>
          <cell r="E1332" t="str">
            <v>VGE400020</v>
          </cell>
          <cell r="F1332">
            <v>44</v>
          </cell>
          <cell r="G1332">
            <v>30</v>
          </cell>
          <cell r="H1332" t="str">
            <v>MAURICIO.GUTIERREZ@UTALCA.CL</v>
          </cell>
        </row>
        <row r="1333">
          <cell r="B1333">
            <v>18476041</v>
          </cell>
          <cell r="C1333" t="str">
            <v>K</v>
          </cell>
          <cell r="D1333" t="str">
            <v>MUÑOZ RAMIREZ MARCELA ALEJANDR</v>
          </cell>
          <cell r="E1333" t="str">
            <v>FOD350001</v>
          </cell>
          <cell r="F1333">
            <v>44</v>
          </cell>
          <cell r="G1333">
            <v>30</v>
          </cell>
          <cell r="H1333" t="str">
            <v>MARCELMUNOZ@UTALCA.CL</v>
          </cell>
        </row>
        <row r="1334">
          <cell r="B1334">
            <v>18476080</v>
          </cell>
          <cell r="C1334">
            <v>0</v>
          </cell>
          <cell r="D1334" t="str">
            <v>QUEZADA ORELLANA ARACELY ALEJA</v>
          </cell>
          <cell r="E1334" t="str">
            <v>ADC024009</v>
          </cell>
          <cell r="F1334">
            <v>44</v>
          </cell>
          <cell r="G1334">
            <v>30</v>
          </cell>
          <cell r="H1334" t="str">
            <v>ARACELY.QUEZADA@UTALCA.CL</v>
          </cell>
        </row>
        <row r="1335">
          <cell r="B1335">
            <v>18476116</v>
          </cell>
          <cell r="C1335">
            <v>5</v>
          </cell>
          <cell r="D1335" t="str">
            <v>MORAGA TOLEDO EDUARDO RODRIGO</v>
          </cell>
          <cell r="E1335" t="str">
            <v>FOD310001</v>
          </cell>
          <cell r="F1335">
            <v>8</v>
          </cell>
          <cell r="G1335">
            <v>30</v>
          </cell>
          <cell r="H1335" t="str">
            <v>EDUARDO.MORAGA@UTALCA.CL</v>
          </cell>
        </row>
        <row r="1336">
          <cell r="B1336">
            <v>18476135</v>
          </cell>
          <cell r="C1336">
            <v>1</v>
          </cell>
          <cell r="D1336" t="str">
            <v>ROJAS MACHUCA ALAN MATIAS</v>
          </cell>
          <cell r="E1336" t="str">
            <v>VAC400082</v>
          </cell>
          <cell r="F1336">
            <v>44</v>
          </cell>
          <cell r="G1336">
            <v>30</v>
          </cell>
          <cell r="H1336" t="str">
            <v>ALAN.ROJAS@UTALCA.CL</v>
          </cell>
        </row>
        <row r="1337">
          <cell r="B1337">
            <v>18476372</v>
          </cell>
          <cell r="C1337">
            <v>9</v>
          </cell>
          <cell r="D1337" t="str">
            <v>VILCHES DÍAZ DANIELA PAZ</v>
          </cell>
          <cell r="E1337" t="str">
            <v>FAD310001</v>
          </cell>
          <cell r="F1337">
            <v>44</v>
          </cell>
          <cell r="G1337">
            <v>30</v>
          </cell>
          <cell r="H1337" t="str">
            <v>DANIELA.VILCHES@UTALCA.CL</v>
          </cell>
        </row>
        <row r="1338">
          <cell r="B1338">
            <v>18484155</v>
          </cell>
          <cell r="C1338" t="str">
            <v>K</v>
          </cell>
          <cell r="D1338" t="str">
            <v>GAJARDO GAJARDO KAREN DE LAS M</v>
          </cell>
          <cell r="E1338" t="str">
            <v>VDE400009</v>
          </cell>
          <cell r="F1338">
            <v>44</v>
          </cell>
          <cell r="G1338">
            <v>30</v>
          </cell>
          <cell r="H1338" t="str">
            <v>KAGAJARDO@UTALCA.CL</v>
          </cell>
        </row>
        <row r="1339">
          <cell r="B1339">
            <v>18519654</v>
          </cell>
          <cell r="C1339">
            <v>2</v>
          </cell>
          <cell r="D1339" t="str">
            <v>OLIVERA CASTILLO PERLA CONSTAN</v>
          </cell>
          <cell r="E1339" t="str">
            <v>VRF400009</v>
          </cell>
          <cell r="F1339">
            <v>44</v>
          </cell>
          <cell r="G1339">
            <v>30</v>
          </cell>
          <cell r="H1339" t="str">
            <v>PERLA.OLIVERA@UTALCA.CL</v>
          </cell>
        </row>
        <row r="1340">
          <cell r="B1340">
            <v>18526084</v>
          </cell>
          <cell r="C1340">
            <v>4</v>
          </cell>
          <cell r="D1340" t="str">
            <v>BRAVO CASTILLO CLAUDIO ABRAHAM</v>
          </cell>
          <cell r="E1340" t="str">
            <v>IMF300001</v>
          </cell>
          <cell r="F1340">
            <v>44</v>
          </cell>
          <cell r="G1340">
            <v>30</v>
          </cell>
          <cell r="H1340" t="str">
            <v>CLAUDIO.BRAVO@UTALCA.CL</v>
          </cell>
        </row>
        <row r="1341">
          <cell r="B1341">
            <v>18534902</v>
          </cell>
          <cell r="C1341">
            <v>0</v>
          </cell>
          <cell r="D1341" t="str">
            <v>GOMEZ CANTO MATIAS FELIPE</v>
          </cell>
          <cell r="E1341" t="str">
            <v>FCI320005</v>
          </cell>
          <cell r="F1341">
            <v>44</v>
          </cell>
          <cell r="G1341">
            <v>30</v>
          </cell>
          <cell r="H1341" t="str">
            <v>MATIAS.GOMEZ@UTALCA.CL</v>
          </cell>
        </row>
        <row r="1342">
          <cell r="B1342">
            <v>18571567</v>
          </cell>
          <cell r="C1342">
            <v>1</v>
          </cell>
          <cell r="D1342" t="str">
            <v>LOBOS TAPIA MACARENNA ALEJANDR</v>
          </cell>
          <cell r="E1342" t="str">
            <v>VAC100001</v>
          </cell>
          <cell r="F1342">
            <v>44</v>
          </cell>
          <cell r="G1342">
            <v>30</v>
          </cell>
          <cell r="H1342" t="str">
            <v>MACLOBOS@UTALCA.CL</v>
          </cell>
        </row>
        <row r="1343">
          <cell r="B1343">
            <v>18571716</v>
          </cell>
          <cell r="C1343" t="str">
            <v>K</v>
          </cell>
          <cell r="D1343" t="str">
            <v>MOYA MARABOLI CLAUDIA ANDREA</v>
          </cell>
          <cell r="E1343" t="str">
            <v>ADC013001</v>
          </cell>
          <cell r="F1343">
            <v>44</v>
          </cell>
          <cell r="G1343">
            <v>30</v>
          </cell>
          <cell r="H1343" t="str">
            <v>CLMOYA@UTALCA.CL</v>
          </cell>
        </row>
        <row r="1344">
          <cell r="B1344">
            <v>18571883</v>
          </cell>
          <cell r="C1344">
            <v>2</v>
          </cell>
          <cell r="D1344" t="str">
            <v>MIÑO GONZALEZ CONSTANZA ESTEFA</v>
          </cell>
          <cell r="E1344" t="str">
            <v>ADC030190</v>
          </cell>
          <cell r="F1344">
            <v>22</v>
          </cell>
          <cell r="G1344">
            <v>30</v>
          </cell>
          <cell r="H1344" t="str">
            <v>CONSTANZA.MINO@UTALCA.CL</v>
          </cell>
        </row>
        <row r="1345">
          <cell r="B1345">
            <v>18572091</v>
          </cell>
          <cell r="C1345">
            <v>8</v>
          </cell>
          <cell r="D1345" t="str">
            <v>TORRES BERRIOS NATALIA FRANCIS</v>
          </cell>
          <cell r="E1345" t="str">
            <v/>
          </cell>
          <cell r="F1345">
            <v>44</v>
          </cell>
          <cell r="G1345">
            <v>30</v>
          </cell>
          <cell r="H1345" t="str">
            <v>NATALIA.TORRESB@UTALCA.CL</v>
          </cell>
        </row>
        <row r="1346">
          <cell r="B1346">
            <v>18572508</v>
          </cell>
          <cell r="C1346">
            <v>1</v>
          </cell>
          <cell r="D1346" t="str">
            <v>AHUMADA SANCHEZ NICOLAS ANDRES</v>
          </cell>
          <cell r="E1346" t="str">
            <v>FAD310001</v>
          </cell>
          <cell r="F1346">
            <v>44</v>
          </cell>
          <cell r="G1346">
            <v>30</v>
          </cell>
          <cell r="H1346" t="str">
            <v>NICOLAS.AHUMADA@UTALCA.CL</v>
          </cell>
        </row>
        <row r="1347">
          <cell r="B1347">
            <v>18572927</v>
          </cell>
          <cell r="C1347">
            <v>3</v>
          </cell>
          <cell r="D1347" t="str">
            <v>ALDANA SANDOVAL TAMARA SOLEDAD</v>
          </cell>
          <cell r="E1347" t="str">
            <v>FOD350001</v>
          </cell>
          <cell r="F1347">
            <v>44</v>
          </cell>
          <cell r="G1347">
            <v>30</v>
          </cell>
          <cell r="H1347" t="str">
            <v>TAMARA.ALDANA@UTALCA.CL</v>
          </cell>
        </row>
        <row r="1348">
          <cell r="B1348">
            <v>18573229</v>
          </cell>
          <cell r="C1348">
            <v>0</v>
          </cell>
          <cell r="D1348" t="str">
            <v>TAPIA MORAGA ROSARIO DEL CARME</v>
          </cell>
          <cell r="E1348" t="str">
            <v/>
          </cell>
          <cell r="F1348">
            <v>44</v>
          </cell>
          <cell r="G1348">
            <v>30</v>
          </cell>
          <cell r="H1348" t="str">
            <v>ROSARIO.TAPIA@UTALCA.CL</v>
          </cell>
        </row>
        <row r="1349">
          <cell r="B1349">
            <v>18573427</v>
          </cell>
          <cell r="C1349">
            <v>7</v>
          </cell>
          <cell r="D1349" t="str">
            <v>JARA GARCIA CESIA JAEL</v>
          </cell>
          <cell r="E1349" t="str">
            <v>VGE400021</v>
          </cell>
          <cell r="F1349">
            <v>44</v>
          </cell>
          <cell r="G1349">
            <v>30</v>
          </cell>
          <cell r="H1349" t="str">
            <v>CESJARA@UTALCA.CL</v>
          </cell>
        </row>
        <row r="1350">
          <cell r="B1350">
            <v>18573610</v>
          </cell>
          <cell r="C1350">
            <v>5</v>
          </cell>
          <cell r="D1350" t="str">
            <v>TORRES RAMÍREZ IVONE ALEJANDRA</v>
          </cell>
          <cell r="E1350" t="str">
            <v>VGE400051</v>
          </cell>
          <cell r="F1350">
            <v>44</v>
          </cell>
          <cell r="G1350">
            <v>30</v>
          </cell>
          <cell r="H1350" t="str">
            <v>IVONE.TORRES@UTALCA.CL</v>
          </cell>
        </row>
        <row r="1351">
          <cell r="B1351">
            <v>18573704</v>
          </cell>
          <cell r="C1351">
            <v>7</v>
          </cell>
          <cell r="D1351" t="str">
            <v>ARAYA ESPINOZA KARINA VANESA</v>
          </cell>
          <cell r="E1351" t="str">
            <v>VGE400003</v>
          </cell>
          <cell r="F1351">
            <v>44</v>
          </cell>
          <cell r="G1351">
            <v>30</v>
          </cell>
          <cell r="H1351" t="str">
            <v>KAARAYA@UTALCA.CL</v>
          </cell>
        </row>
        <row r="1352">
          <cell r="B1352">
            <v>18573740</v>
          </cell>
          <cell r="C1352">
            <v>3</v>
          </cell>
          <cell r="D1352" t="str">
            <v>CASTILLO URREA CRISTA WALESKA</v>
          </cell>
          <cell r="E1352" t="str">
            <v>VDE400009</v>
          </cell>
          <cell r="F1352">
            <v>24</v>
          </cell>
          <cell r="G1352">
            <v>30</v>
          </cell>
          <cell r="H1352" t="str">
            <v>CRISTA.CASTILLO@UTALCA.CL</v>
          </cell>
        </row>
        <row r="1353">
          <cell r="B1353">
            <v>18575780</v>
          </cell>
          <cell r="C1353">
            <v>3</v>
          </cell>
          <cell r="D1353" t="str">
            <v>GUTIERREZ SALAZAR EDSONT ALEJA</v>
          </cell>
          <cell r="E1353" t="str">
            <v/>
          </cell>
          <cell r="F1353">
            <v>44</v>
          </cell>
          <cell r="G1353">
            <v>30</v>
          </cell>
          <cell r="H1353" t="str">
            <v>EDSONT.GUTIERREZ@UTALCA.CL</v>
          </cell>
        </row>
        <row r="1354">
          <cell r="B1354">
            <v>18576869</v>
          </cell>
          <cell r="C1354">
            <v>4</v>
          </cell>
          <cell r="D1354" t="str">
            <v>SAN MARTIN BARRIOS SYLVANA PAT</v>
          </cell>
          <cell r="E1354" t="str">
            <v/>
          </cell>
          <cell r="F1354">
            <v>44</v>
          </cell>
          <cell r="G1354">
            <v>29</v>
          </cell>
          <cell r="H1354" t="str">
            <v>SYLVANA.SANMARTIN@UTALCA.CL</v>
          </cell>
        </row>
        <row r="1355">
          <cell r="B1355">
            <v>18608483</v>
          </cell>
          <cell r="C1355">
            <v>7</v>
          </cell>
          <cell r="D1355" t="str">
            <v>ROJAS GUTIÉRREZ CONSTANZA ALEJ</v>
          </cell>
          <cell r="E1355" t="str">
            <v/>
          </cell>
          <cell r="F1355">
            <v>44</v>
          </cell>
          <cell r="G1355">
            <v>30</v>
          </cell>
          <cell r="H1355" t="str">
            <v>CONSTANZA.ROJAS@UTALCA.CL</v>
          </cell>
        </row>
        <row r="1356">
          <cell r="B1356">
            <v>18616495</v>
          </cell>
          <cell r="C1356">
            <v>4</v>
          </cell>
          <cell r="D1356" t="str">
            <v>OSORIO PINO MAXIMO ANDRES</v>
          </cell>
          <cell r="E1356" t="str">
            <v>ADC011001</v>
          </cell>
          <cell r="F1356">
            <v>44</v>
          </cell>
          <cell r="G1356">
            <v>30</v>
          </cell>
          <cell r="H1356" t="str">
            <v>MAXIMO.OSORIO@UTALCA.CL</v>
          </cell>
        </row>
        <row r="1357">
          <cell r="B1357">
            <v>18641020</v>
          </cell>
          <cell r="C1357">
            <v>3</v>
          </cell>
          <cell r="D1357" t="str">
            <v>GOMEZ MENA NATALIA DEL PILAR</v>
          </cell>
          <cell r="E1357" t="str">
            <v>FOD320001</v>
          </cell>
          <cell r="F1357">
            <v>15</v>
          </cell>
          <cell r="G1357">
            <v>30</v>
          </cell>
          <cell r="H1357" t="str">
            <v>NATALIA.GOMEZ@UTALCA.CL</v>
          </cell>
        </row>
        <row r="1358">
          <cell r="B1358">
            <v>18649222</v>
          </cell>
          <cell r="C1358">
            <v>6</v>
          </cell>
          <cell r="D1358" t="str">
            <v>MORA VILLAR OBED EDOM</v>
          </cell>
          <cell r="E1358" t="str">
            <v>ADC030112</v>
          </cell>
          <cell r="F1358">
            <v>44</v>
          </cell>
          <cell r="G1358">
            <v>30</v>
          </cell>
          <cell r="H1358" t="str">
            <v>OBED.MORA@UTALCA.CL</v>
          </cell>
        </row>
        <row r="1359">
          <cell r="B1359">
            <v>18655480</v>
          </cell>
          <cell r="C1359">
            <v>9</v>
          </cell>
          <cell r="D1359" t="str">
            <v>LOBOS GATICA ALONSO ANDRÉS</v>
          </cell>
          <cell r="E1359" t="str">
            <v>FCI310008</v>
          </cell>
          <cell r="F1359">
            <v>44</v>
          </cell>
          <cell r="G1359">
            <v>30</v>
          </cell>
          <cell r="H1359" t="str">
            <v>ALOSO.LOBOS@UTALCA.CL</v>
          </cell>
        </row>
        <row r="1360">
          <cell r="B1360">
            <v>18656829</v>
          </cell>
          <cell r="C1360" t="str">
            <v>K</v>
          </cell>
          <cell r="D1360" t="str">
            <v>SEPULVEDA VALDES FRANCISCO JAV</v>
          </cell>
          <cell r="E1360" t="str">
            <v>VGE100003</v>
          </cell>
          <cell r="F1360">
            <v>44</v>
          </cell>
          <cell r="G1360">
            <v>30</v>
          </cell>
          <cell r="H1360" t="str">
            <v>FRANCISCO.SEPULVEDAV@UTALCA.CL</v>
          </cell>
        </row>
        <row r="1361">
          <cell r="B1361">
            <v>18672598</v>
          </cell>
          <cell r="C1361">
            <v>0</v>
          </cell>
          <cell r="D1361" t="str">
            <v>MARCHANT CASTILLO JOSE IGNACIO</v>
          </cell>
          <cell r="E1361" t="str">
            <v>FPS310002</v>
          </cell>
          <cell r="F1361">
            <v>44</v>
          </cell>
          <cell r="G1361">
            <v>30</v>
          </cell>
          <cell r="H1361" t="str">
            <v>JOSE.MARCHANT@UTALCA.CL</v>
          </cell>
        </row>
        <row r="1362">
          <cell r="B1362">
            <v>18680984</v>
          </cell>
          <cell r="C1362" t="str">
            <v>K</v>
          </cell>
          <cell r="D1362" t="str">
            <v>POBLETE FARIAS CAMILA CONSTANZ</v>
          </cell>
          <cell r="E1362" t="str">
            <v/>
          </cell>
          <cell r="F1362">
            <v>44</v>
          </cell>
          <cell r="G1362">
            <v>30</v>
          </cell>
          <cell r="H1362" t="str">
            <v>CAMILA.POBLETE@UTALCA.CL</v>
          </cell>
        </row>
        <row r="1363">
          <cell r="B1363">
            <v>18692365</v>
          </cell>
          <cell r="C1363">
            <v>0</v>
          </cell>
          <cell r="D1363" t="str">
            <v>CABRERA CASTRO JOSE IGNACIO</v>
          </cell>
          <cell r="E1363" t="str">
            <v>VGE400004</v>
          </cell>
          <cell r="F1363">
            <v>44</v>
          </cell>
          <cell r="G1363">
            <v>30</v>
          </cell>
          <cell r="H1363" t="str">
            <v/>
          </cell>
        </row>
        <row r="1364">
          <cell r="B1364">
            <v>18763092</v>
          </cell>
          <cell r="C1364">
            <v>4</v>
          </cell>
          <cell r="D1364" t="str">
            <v>GONZALEZ GARRIDO ELIAS HERALDO</v>
          </cell>
          <cell r="E1364" t="str">
            <v/>
          </cell>
          <cell r="F1364">
            <v>44</v>
          </cell>
          <cell r="G1364">
            <v>30</v>
          </cell>
          <cell r="H1364" t="str">
            <v>ELGONZALEZ@UTALCA.CL</v>
          </cell>
        </row>
        <row r="1365">
          <cell r="B1365">
            <v>18779010</v>
          </cell>
          <cell r="C1365">
            <v>7</v>
          </cell>
          <cell r="D1365" t="str">
            <v>BENAVIDES CARTER VANESSA ANDRE</v>
          </cell>
          <cell r="E1365" t="str">
            <v>FAD310001</v>
          </cell>
          <cell r="F1365">
            <v>44</v>
          </cell>
          <cell r="G1365">
            <v>30</v>
          </cell>
          <cell r="H1365" t="str">
            <v>VANESSA.BENAVIDES@UTALCA.CL</v>
          </cell>
        </row>
        <row r="1366">
          <cell r="B1366">
            <v>18779074</v>
          </cell>
          <cell r="C1366">
            <v>3</v>
          </cell>
          <cell r="D1366" t="str">
            <v>CACERES MUÑOZ TAMARA ALEXANDRA</v>
          </cell>
          <cell r="E1366" t="str">
            <v/>
          </cell>
          <cell r="F1366">
            <v>44</v>
          </cell>
          <cell r="G1366">
            <v>30</v>
          </cell>
          <cell r="H1366" t="str">
            <v>TAMARA.CACERES@UTALCA.CL</v>
          </cell>
        </row>
        <row r="1367">
          <cell r="B1367">
            <v>18779180</v>
          </cell>
          <cell r="C1367">
            <v>4</v>
          </cell>
          <cell r="D1367" t="str">
            <v>CERPA NAVARRETE DANIELA FRANCI</v>
          </cell>
          <cell r="E1367" t="str">
            <v>FCS320009</v>
          </cell>
          <cell r="F1367">
            <v>44</v>
          </cell>
          <cell r="G1367">
            <v>30</v>
          </cell>
          <cell r="H1367" t="str">
            <v>DANIELA.CERPA@UTALCA.CL</v>
          </cell>
        </row>
        <row r="1368">
          <cell r="B1368">
            <v>18779282</v>
          </cell>
          <cell r="C1368">
            <v>7</v>
          </cell>
          <cell r="D1368" t="str">
            <v>SAAVEDRA SANDOVAL NICOL ANDREA</v>
          </cell>
          <cell r="E1368" t="str">
            <v>FOD350001</v>
          </cell>
          <cell r="F1368">
            <v>44</v>
          </cell>
          <cell r="G1368">
            <v>30</v>
          </cell>
          <cell r="H1368" t="str">
            <v>NICOL.SAAVEDRA@UTALCA.CL</v>
          </cell>
        </row>
        <row r="1369">
          <cell r="B1369">
            <v>18780960</v>
          </cell>
          <cell r="C1369">
            <v>6</v>
          </cell>
          <cell r="D1369" t="str">
            <v>VILLALOBOS AREVALO VICTORIA AN</v>
          </cell>
          <cell r="E1369" t="str">
            <v>FCS340008</v>
          </cell>
          <cell r="F1369">
            <v>44</v>
          </cell>
          <cell r="G1369">
            <v>30</v>
          </cell>
          <cell r="H1369" t="str">
            <v>VICTORIA.VILLALOBOS@UTALCA.CL</v>
          </cell>
        </row>
        <row r="1370">
          <cell r="B1370">
            <v>18781395</v>
          </cell>
          <cell r="C1370">
            <v>6</v>
          </cell>
          <cell r="D1370" t="str">
            <v>ORMEÑO FLORES CAMILO ANDRES</v>
          </cell>
          <cell r="E1370" t="str">
            <v>VGE400019</v>
          </cell>
          <cell r="F1370">
            <v>44</v>
          </cell>
          <cell r="G1370">
            <v>30</v>
          </cell>
          <cell r="H1370" t="str">
            <v>CORMENO@UTALCA.CL</v>
          </cell>
        </row>
        <row r="1371">
          <cell r="B1371">
            <v>18798510</v>
          </cell>
          <cell r="C1371">
            <v>2</v>
          </cell>
          <cell r="D1371" t="str">
            <v>AVILÉS BUSTAMANTE GABRIELA ALE</v>
          </cell>
          <cell r="E1371" t="str">
            <v>FCS320002</v>
          </cell>
          <cell r="F1371">
            <v>44</v>
          </cell>
          <cell r="G1371">
            <v>30</v>
          </cell>
          <cell r="H1371" t="str">
            <v>GABRIELA.AVILES@UTALCA.CL</v>
          </cell>
        </row>
        <row r="1372">
          <cell r="B1372">
            <v>18844508</v>
          </cell>
          <cell r="C1372" t="str">
            <v>K</v>
          </cell>
          <cell r="D1372" t="str">
            <v>ESPINA HERRERA CRISTINA ANDREA</v>
          </cell>
          <cell r="E1372" t="str">
            <v>VGE400003</v>
          </cell>
          <cell r="F1372">
            <v>44</v>
          </cell>
          <cell r="G1372">
            <v>30</v>
          </cell>
          <cell r="H1372" t="str">
            <v>CRISTINA.ESPINA@UTALCA.CL</v>
          </cell>
        </row>
        <row r="1373">
          <cell r="B1373">
            <v>18891014</v>
          </cell>
          <cell r="C1373">
            <v>9</v>
          </cell>
          <cell r="D1373" t="str">
            <v>RAMIREZ BARRIOS FABIAN ANDRES</v>
          </cell>
          <cell r="E1373" t="str">
            <v>VRF400043</v>
          </cell>
          <cell r="F1373">
            <v>44</v>
          </cell>
          <cell r="G1373">
            <v>30</v>
          </cell>
          <cell r="H1373" t="str">
            <v>FABIAN.RAMIREZ@UTALCA.CL</v>
          </cell>
        </row>
        <row r="1374">
          <cell r="B1374">
            <v>18891733</v>
          </cell>
          <cell r="C1374" t="str">
            <v>K</v>
          </cell>
          <cell r="D1374" t="str">
            <v>MUÑOZ GONZÁLEZ PAOLA ISABEL</v>
          </cell>
          <cell r="E1374" t="str">
            <v>ADC022001</v>
          </cell>
          <cell r="F1374">
            <v>44</v>
          </cell>
          <cell r="G1374">
            <v>30</v>
          </cell>
          <cell r="H1374" t="str">
            <v>PAOLA.MUNOZ@UTALCA.CL</v>
          </cell>
        </row>
        <row r="1375">
          <cell r="B1375">
            <v>18891765</v>
          </cell>
          <cell r="C1375">
            <v>8</v>
          </cell>
          <cell r="D1375" t="str">
            <v>AMARO VELIZ ESTEBAN DAVID</v>
          </cell>
          <cell r="E1375" t="str">
            <v>VGE400019</v>
          </cell>
          <cell r="F1375">
            <v>44</v>
          </cell>
          <cell r="G1375">
            <v>30</v>
          </cell>
          <cell r="H1375" t="str">
            <v>ESTEBAN.AMARO@UTALCA.CL</v>
          </cell>
        </row>
        <row r="1376">
          <cell r="B1376">
            <v>18891836</v>
          </cell>
          <cell r="C1376">
            <v>0</v>
          </cell>
          <cell r="D1376" t="str">
            <v>CASTRO CABEZAS CARLA DANIELA</v>
          </cell>
          <cell r="E1376" t="str">
            <v>VAC400073</v>
          </cell>
          <cell r="F1376">
            <v>44</v>
          </cell>
          <cell r="G1376">
            <v>30</v>
          </cell>
          <cell r="H1376" t="str">
            <v>CARLA.CASTRO@UTALCA.CL</v>
          </cell>
        </row>
        <row r="1377">
          <cell r="B1377">
            <v>18892167</v>
          </cell>
          <cell r="C1377">
            <v>1</v>
          </cell>
          <cell r="D1377" t="str">
            <v>VERDUGO FLORES ROMINA PAZ</v>
          </cell>
          <cell r="E1377" t="str">
            <v/>
          </cell>
          <cell r="F1377">
            <v>44</v>
          </cell>
          <cell r="G1377">
            <v>30</v>
          </cell>
          <cell r="H1377" t="str">
            <v>ROMINA.FLORES@UTALCA.CL</v>
          </cell>
        </row>
        <row r="1378">
          <cell r="B1378">
            <v>18892178</v>
          </cell>
          <cell r="C1378">
            <v>7</v>
          </cell>
          <cell r="D1378" t="str">
            <v>BESOAIN FUENTES SOLANGE LISETT</v>
          </cell>
          <cell r="E1378" t="str">
            <v>FCS320007</v>
          </cell>
          <cell r="F1378">
            <v>22</v>
          </cell>
          <cell r="G1378">
            <v>30</v>
          </cell>
          <cell r="H1378" t="str">
            <v>SOLANGE.BESOAIN@UTALCA.CL</v>
          </cell>
        </row>
        <row r="1379">
          <cell r="B1379">
            <v>18892545</v>
          </cell>
          <cell r="C1379">
            <v>6</v>
          </cell>
          <cell r="D1379" t="str">
            <v>MORAN OYARCE YASNA CONSTANZA</v>
          </cell>
          <cell r="E1379" t="str">
            <v>IMF300001</v>
          </cell>
          <cell r="F1379">
            <v>44</v>
          </cell>
          <cell r="G1379">
            <v>30</v>
          </cell>
          <cell r="H1379" t="str">
            <v>YASNA.MORAN@UTALCA.CL</v>
          </cell>
        </row>
        <row r="1380">
          <cell r="B1380">
            <v>18892811</v>
          </cell>
          <cell r="C1380">
            <v>0</v>
          </cell>
          <cell r="D1380" t="str">
            <v>REINA GONZALEZ WILSON EDUARDO</v>
          </cell>
          <cell r="E1380" t="str">
            <v>FCS320007</v>
          </cell>
          <cell r="F1380">
            <v>33</v>
          </cell>
          <cell r="G1380">
            <v>30</v>
          </cell>
          <cell r="H1380" t="str">
            <v>WILSON.REINA@UTALCA.CL</v>
          </cell>
        </row>
        <row r="1381">
          <cell r="B1381">
            <v>18893417</v>
          </cell>
          <cell r="C1381" t="str">
            <v>K</v>
          </cell>
          <cell r="D1381" t="str">
            <v>MICHAEL CASTRO VIVIANA FRANCIS</v>
          </cell>
          <cell r="E1381" t="str">
            <v/>
          </cell>
          <cell r="F1381">
            <v>40</v>
          </cell>
          <cell r="G1381">
            <v>30</v>
          </cell>
          <cell r="H1381" t="str">
            <v>VMICHAEL@UTALCA.CL</v>
          </cell>
        </row>
        <row r="1382">
          <cell r="B1382">
            <v>18894144</v>
          </cell>
          <cell r="C1382">
            <v>3</v>
          </cell>
          <cell r="D1382" t="str">
            <v>BOCHARD RAMIREZ FERNANDO IGNAC</v>
          </cell>
          <cell r="E1382" t="str">
            <v>ADC030190</v>
          </cell>
          <cell r="F1382">
            <v>33</v>
          </cell>
          <cell r="G1382">
            <v>30</v>
          </cell>
          <cell r="H1382" t="str">
            <v>FERNANDO.BOCHARD@UTALCA.CL</v>
          </cell>
        </row>
        <row r="1383">
          <cell r="B1383">
            <v>18894321</v>
          </cell>
          <cell r="C1383">
            <v>7</v>
          </cell>
          <cell r="D1383" t="str">
            <v>VALENZUELA SAAVEDRA LILIAM NAY</v>
          </cell>
          <cell r="E1383" t="str">
            <v/>
          </cell>
          <cell r="F1383">
            <v>44</v>
          </cell>
          <cell r="G1383">
            <v>29</v>
          </cell>
          <cell r="H1383" t="str">
            <v>LILIAM.VALENZUELA@UTALCA.CL</v>
          </cell>
        </row>
        <row r="1384">
          <cell r="B1384">
            <v>18894932</v>
          </cell>
          <cell r="C1384">
            <v>0</v>
          </cell>
          <cell r="D1384" t="str">
            <v>TAPIA CASTILLO JOCELYN CAROLIN</v>
          </cell>
          <cell r="E1384" t="str">
            <v>VGE400050</v>
          </cell>
          <cell r="F1384">
            <v>44</v>
          </cell>
          <cell r="G1384">
            <v>29</v>
          </cell>
          <cell r="H1384" t="str">
            <v>JOCTAPIA@UTALCA.CL</v>
          </cell>
        </row>
        <row r="1385">
          <cell r="B1385">
            <v>18895061</v>
          </cell>
          <cell r="C1385">
            <v>2</v>
          </cell>
          <cell r="D1385" t="str">
            <v>GOMEZ GONZALEZ JAIME ESTEBAN</v>
          </cell>
          <cell r="E1385" t="str">
            <v>ADC021004</v>
          </cell>
          <cell r="F1385">
            <v>44</v>
          </cell>
          <cell r="G1385">
            <v>30</v>
          </cell>
          <cell r="H1385" t="str">
            <v>IE.JAIMEGOMEZ@GMAIL.COM</v>
          </cell>
        </row>
        <row r="1386">
          <cell r="B1386">
            <v>18903098</v>
          </cell>
          <cell r="C1386">
            <v>3</v>
          </cell>
          <cell r="D1386" t="str">
            <v>MORALES MIRANDA MANUEL RAMÓN</v>
          </cell>
          <cell r="E1386" t="str">
            <v>FCS340010</v>
          </cell>
          <cell r="F1386">
            <v>33</v>
          </cell>
          <cell r="G1386">
            <v>30</v>
          </cell>
          <cell r="H1386" t="str">
            <v>MANUEL.MORALES@UTALCA.CL</v>
          </cell>
        </row>
        <row r="1387">
          <cell r="B1387">
            <v>18957612</v>
          </cell>
          <cell r="C1387">
            <v>9</v>
          </cell>
          <cell r="D1387" t="str">
            <v>MEIRELLES MORAGA MACARENA ADRI</v>
          </cell>
          <cell r="E1387" t="str">
            <v>FCJ340001</v>
          </cell>
          <cell r="F1387">
            <v>44</v>
          </cell>
          <cell r="G1387">
            <v>30</v>
          </cell>
          <cell r="H1387" t="str">
            <v/>
          </cell>
        </row>
        <row r="1388">
          <cell r="B1388">
            <v>18967058</v>
          </cell>
          <cell r="C1388">
            <v>3</v>
          </cell>
          <cell r="D1388" t="str">
            <v>HEVIA BERRIOS VALERIA ANDREA</v>
          </cell>
          <cell r="E1388" t="str">
            <v>VAC400001</v>
          </cell>
          <cell r="F1388">
            <v>44</v>
          </cell>
          <cell r="G1388">
            <v>30</v>
          </cell>
          <cell r="H1388" t="str">
            <v>VALERIA.HEVIA@UTALCA.CL</v>
          </cell>
        </row>
        <row r="1389">
          <cell r="B1389">
            <v>18967178</v>
          </cell>
          <cell r="C1389">
            <v>4</v>
          </cell>
          <cell r="D1389" t="str">
            <v>GALAZ CISTERNAS DANIELA CONSTA</v>
          </cell>
          <cell r="E1389" t="str">
            <v>VDE400009</v>
          </cell>
          <cell r="F1389">
            <v>22</v>
          </cell>
          <cell r="G1389">
            <v>30</v>
          </cell>
          <cell r="H1389" t="str">
            <v>DANIELA.GALAZ@UTALCA.CL</v>
          </cell>
        </row>
        <row r="1390">
          <cell r="B1390">
            <v>18967878</v>
          </cell>
          <cell r="C1390">
            <v>9</v>
          </cell>
          <cell r="D1390" t="str">
            <v>GARRIDO PARRAGUEZ ESTEBAN ANDR</v>
          </cell>
          <cell r="E1390" t="str">
            <v>VRF400005</v>
          </cell>
          <cell r="F1390">
            <v>44</v>
          </cell>
          <cell r="G1390">
            <v>30</v>
          </cell>
          <cell r="H1390" t="str">
            <v>ESTEBAN.GARRIDO@UTALCA.CL</v>
          </cell>
        </row>
        <row r="1391">
          <cell r="B1391">
            <v>18983265</v>
          </cell>
          <cell r="C1391">
            <v>6</v>
          </cell>
          <cell r="D1391" t="str">
            <v>ROJAS REYES MARIA PAZ</v>
          </cell>
          <cell r="E1391" t="str">
            <v>VRF400009</v>
          </cell>
          <cell r="F1391">
            <v>44</v>
          </cell>
          <cell r="G1391">
            <v>30</v>
          </cell>
          <cell r="H1391" t="str">
            <v>MARIA.ROJAS@UTALCA.CL</v>
          </cell>
        </row>
        <row r="1392">
          <cell r="B1392">
            <v>19010279</v>
          </cell>
          <cell r="C1392">
            <v>3</v>
          </cell>
          <cell r="D1392" t="str">
            <v>AGURTO YAÑEZ GISELA ROCIO</v>
          </cell>
          <cell r="E1392" t="str">
            <v/>
          </cell>
          <cell r="F1392">
            <v>44</v>
          </cell>
          <cell r="G1392">
            <v>30</v>
          </cell>
          <cell r="H1392" t="str">
            <v>GISELA.AGURTO@UTALCA.CL</v>
          </cell>
        </row>
        <row r="1393">
          <cell r="B1393">
            <v>19031383</v>
          </cell>
          <cell r="C1393">
            <v>2</v>
          </cell>
          <cell r="D1393" t="str">
            <v>GARIN OYARCE CATALINA PAZ</v>
          </cell>
          <cell r="E1393" t="str">
            <v>FEN340001</v>
          </cell>
          <cell r="F1393">
            <v>40</v>
          </cell>
          <cell r="G1393">
            <v>30</v>
          </cell>
          <cell r="H1393" t="str">
            <v>CATALINAGARIN5@GMAIL.COM</v>
          </cell>
        </row>
        <row r="1394">
          <cell r="B1394">
            <v>19043923</v>
          </cell>
          <cell r="C1394">
            <v>2</v>
          </cell>
          <cell r="D1394" t="str">
            <v>BELMAR ROJAS CARLA SOLEDAD</v>
          </cell>
          <cell r="E1394" t="str">
            <v>FPS310002</v>
          </cell>
          <cell r="F1394">
            <v>44</v>
          </cell>
          <cell r="G1394">
            <v>26</v>
          </cell>
          <cell r="H1394" t="str">
            <v/>
          </cell>
        </row>
        <row r="1395">
          <cell r="B1395">
            <v>19044417</v>
          </cell>
          <cell r="C1395">
            <v>1</v>
          </cell>
          <cell r="D1395" t="str">
            <v>PEZOA GONZALEZ YOSELIN PATRICI</v>
          </cell>
          <cell r="E1395" t="str">
            <v>VGE400005</v>
          </cell>
          <cell r="F1395">
            <v>44</v>
          </cell>
          <cell r="G1395">
            <v>30</v>
          </cell>
          <cell r="H1395" t="str">
            <v>YOSELIN.PEZOA@UTALCA.CL</v>
          </cell>
        </row>
        <row r="1396">
          <cell r="B1396">
            <v>19059731</v>
          </cell>
          <cell r="C1396">
            <v>8</v>
          </cell>
          <cell r="D1396" t="str">
            <v>ARAVENA LARA TAMARA ANDREA</v>
          </cell>
          <cell r="E1396" t="str">
            <v>FEN310004</v>
          </cell>
          <cell r="F1396">
            <v>44</v>
          </cell>
          <cell r="G1396">
            <v>30</v>
          </cell>
          <cell r="H1396" t="str">
            <v>TAMARA.ARAVENA@UTALCA.CL</v>
          </cell>
        </row>
        <row r="1397">
          <cell r="B1397">
            <v>19099397</v>
          </cell>
          <cell r="C1397">
            <v>3</v>
          </cell>
          <cell r="D1397" t="str">
            <v>ZAPATA ZAÑARTU DAVID MANUEL</v>
          </cell>
          <cell r="E1397" t="str">
            <v>VGE400020</v>
          </cell>
          <cell r="F1397">
            <v>44</v>
          </cell>
          <cell r="G1397">
            <v>30</v>
          </cell>
          <cell r="H1397" t="str">
            <v>DAVID.ZAPATA@UTALCA.CL</v>
          </cell>
        </row>
        <row r="1398">
          <cell r="B1398">
            <v>19104773</v>
          </cell>
          <cell r="C1398">
            <v>7</v>
          </cell>
          <cell r="D1398" t="str">
            <v>GUTIERREZ SOLORZA SEBASTIAN AN</v>
          </cell>
          <cell r="E1398" t="str">
            <v/>
          </cell>
          <cell r="F1398">
            <v>44</v>
          </cell>
          <cell r="G1398">
            <v>30</v>
          </cell>
          <cell r="H1398" t="str">
            <v>SEBASTIAN.GUTIERREZ@UTALCA.CL</v>
          </cell>
        </row>
        <row r="1399">
          <cell r="B1399">
            <v>19105395</v>
          </cell>
          <cell r="C1399">
            <v>8</v>
          </cell>
          <cell r="D1399" t="str">
            <v>ACEVEDO SALAS IVAN ANDRES</v>
          </cell>
          <cell r="E1399" t="str">
            <v>VRF400003</v>
          </cell>
          <cell r="F1399">
            <v>44</v>
          </cell>
          <cell r="G1399">
            <v>30</v>
          </cell>
          <cell r="H1399" t="str">
            <v>IVACEVEDO@UTALCA.CL</v>
          </cell>
        </row>
        <row r="1400">
          <cell r="B1400">
            <v>19106256</v>
          </cell>
          <cell r="C1400">
            <v>6</v>
          </cell>
          <cell r="D1400" t="str">
            <v>ALBORNOZ JAQUE CONSTANZA FRANC</v>
          </cell>
          <cell r="E1400" t="str">
            <v>ADC021004</v>
          </cell>
          <cell r="F1400">
            <v>44</v>
          </cell>
          <cell r="G1400">
            <v>30</v>
          </cell>
          <cell r="H1400" t="str">
            <v>CONSTANZA.ALBORNOZ@UTALCA.CL</v>
          </cell>
        </row>
        <row r="1401">
          <cell r="B1401">
            <v>19106703</v>
          </cell>
          <cell r="C1401">
            <v>7</v>
          </cell>
          <cell r="D1401" t="str">
            <v>GONZALEZ SUAREZ PAULA ELIZABET</v>
          </cell>
          <cell r="E1401" t="str">
            <v>VGE400040</v>
          </cell>
          <cell r="F1401">
            <v>44</v>
          </cell>
          <cell r="G1401">
            <v>30</v>
          </cell>
          <cell r="H1401" t="str">
            <v>PAULA.GONZALEZ@UTALCA.CL</v>
          </cell>
        </row>
        <row r="1402">
          <cell r="B1402">
            <v>19127699</v>
          </cell>
          <cell r="C1402" t="str">
            <v>K</v>
          </cell>
          <cell r="D1402" t="str">
            <v>BAEZA SOTO NICOLAS SEBASTIAN</v>
          </cell>
          <cell r="E1402" t="str">
            <v>VRF400043</v>
          </cell>
          <cell r="F1402">
            <v>44</v>
          </cell>
          <cell r="G1402">
            <v>30</v>
          </cell>
          <cell r="H1402" t="str">
            <v>NICOLAS.BAEZA@UTALCA.CL</v>
          </cell>
        </row>
        <row r="1403">
          <cell r="B1403">
            <v>19133638</v>
          </cell>
          <cell r="C1403">
            <v>0</v>
          </cell>
          <cell r="D1403" t="str">
            <v>SOTO IANISZEWSKI VALENTINA AND</v>
          </cell>
          <cell r="E1403" t="str">
            <v>VAC400061</v>
          </cell>
          <cell r="F1403">
            <v>44</v>
          </cell>
          <cell r="G1403">
            <v>30</v>
          </cell>
          <cell r="H1403" t="str">
            <v>VALENTINA.SOTO@UTALCA.CL</v>
          </cell>
        </row>
        <row r="1404">
          <cell r="B1404">
            <v>19200345</v>
          </cell>
          <cell r="C1404">
            <v>8</v>
          </cell>
          <cell r="D1404" t="str">
            <v>SCHUKKERT PREISIG TATIANA JESS</v>
          </cell>
          <cell r="E1404" t="str">
            <v>ADC030114</v>
          </cell>
          <cell r="F1404">
            <v>34</v>
          </cell>
          <cell r="G1404">
            <v>30</v>
          </cell>
          <cell r="H1404" t="str">
            <v>TSCHUKKERT@UTALCA.CL</v>
          </cell>
        </row>
        <row r="1405">
          <cell r="B1405">
            <v>19261249</v>
          </cell>
          <cell r="C1405">
            <v>7</v>
          </cell>
          <cell r="D1405" t="str">
            <v>GAJARDO NUÑEZ JAVIERA SOLANGE</v>
          </cell>
          <cell r="E1405" t="str">
            <v>VDE400009</v>
          </cell>
          <cell r="F1405">
            <v>44</v>
          </cell>
          <cell r="G1405">
            <v>30</v>
          </cell>
          <cell r="H1405" t="str">
            <v>JAVIERA.GAJARDO@UTALCA.CL</v>
          </cell>
        </row>
        <row r="1406">
          <cell r="B1406">
            <v>19273978</v>
          </cell>
          <cell r="C1406">
            <v>0</v>
          </cell>
          <cell r="D1406" t="str">
            <v>SALINAS CONTRERAS DIEGO ANDRES</v>
          </cell>
          <cell r="E1406" t="str">
            <v>VGE400056</v>
          </cell>
          <cell r="F1406">
            <v>44</v>
          </cell>
          <cell r="G1406">
            <v>30</v>
          </cell>
          <cell r="H1406" t="str">
            <v>DIEGO.SALINAS@UTALCA.CL</v>
          </cell>
        </row>
        <row r="1407">
          <cell r="B1407">
            <v>19281487</v>
          </cell>
          <cell r="C1407">
            <v>1</v>
          </cell>
          <cell r="D1407" t="str">
            <v>MENDEZ CHEUQUENAO FRANCISCA DA</v>
          </cell>
          <cell r="E1407" t="str">
            <v>VDE400012</v>
          </cell>
          <cell r="F1407">
            <v>22</v>
          </cell>
          <cell r="G1407">
            <v>30</v>
          </cell>
          <cell r="H1407" t="str">
            <v>FRANCISCA.MENDEZ@UTALCA.CL</v>
          </cell>
        </row>
        <row r="1408">
          <cell r="B1408">
            <v>19319919</v>
          </cell>
          <cell r="C1408">
            <v>4</v>
          </cell>
          <cell r="D1408" t="str">
            <v>PONCE SEPULVEDA LUCIA VALENTIN</v>
          </cell>
          <cell r="E1408" t="str">
            <v>FPS340002</v>
          </cell>
          <cell r="F1408">
            <v>44</v>
          </cell>
          <cell r="G1408">
            <v>30</v>
          </cell>
          <cell r="H1408" t="str">
            <v>LUCIA.PONCE@UTALCA.CL</v>
          </cell>
        </row>
        <row r="1409">
          <cell r="B1409">
            <v>19326230</v>
          </cell>
          <cell r="C1409">
            <v>9</v>
          </cell>
          <cell r="D1409" t="str">
            <v>BERNAL NUÑEZ VALENTINA JAVIERA</v>
          </cell>
          <cell r="E1409" t="str">
            <v>FCJ340009</v>
          </cell>
          <cell r="F1409">
            <v>33</v>
          </cell>
          <cell r="G1409">
            <v>30</v>
          </cell>
          <cell r="H1409" t="str">
            <v/>
          </cell>
        </row>
        <row r="1410">
          <cell r="B1410">
            <v>19346400</v>
          </cell>
          <cell r="C1410">
            <v>9</v>
          </cell>
          <cell r="D1410" t="str">
            <v>CERDA REBECO SOLANGE ALEJANDRA</v>
          </cell>
          <cell r="E1410" t="str">
            <v>VGE400031</v>
          </cell>
          <cell r="F1410">
            <v>44</v>
          </cell>
          <cell r="G1410">
            <v>30</v>
          </cell>
          <cell r="H1410" t="str">
            <v>SOLANGE.CERDAR@UTALCA.CL</v>
          </cell>
        </row>
        <row r="1411">
          <cell r="B1411">
            <v>19390390</v>
          </cell>
          <cell r="C1411">
            <v>8</v>
          </cell>
          <cell r="D1411" t="str">
            <v>BUSTAMANTE ARAYA JOAQUÍN ANDRÉ</v>
          </cell>
          <cell r="E1411" t="str">
            <v>VGE400051</v>
          </cell>
          <cell r="F1411">
            <v>44</v>
          </cell>
          <cell r="G1411">
            <v>30</v>
          </cell>
          <cell r="H1411" t="str">
            <v>JOAQUIN.BUSTAMANTE@UTALCA.CL</v>
          </cell>
        </row>
        <row r="1412">
          <cell r="B1412">
            <v>19472698</v>
          </cell>
          <cell r="C1412">
            <v>8</v>
          </cell>
          <cell r="D1412" t="str">
            <v>ARAVENA SEPULVEDA ALVARO FRANC</v>
          </cell>
          <cell r="E1412" t="str">
            <v>ADC017001</v>
          </cell>
          <cell r="F1412">
            <v>44</v>
          </cell>
          <cell r="G1412">
            <v>30</v>
          </cell>
          <cell r="H1412" t="str">
            <v>ALVARO.ARAVENA@UTALCA.CL</v>
          </cell>
        </row>
        <row r="1413">
          <cell r="B1413">
            <v>19473034</v>
          </cell>
          <cell r="C1413">
            <v>9</v>
          </cell>
          <cell r="D1413" t="str">
            <v>GONZALEZ PARRA PAOLA IGNACIA</v>
          </cell>
          <cell r="E1413" t="str">
            <v>VAC400001</v>
          </cell>
          <cell r="F1413">
            <v>44</v>
          </cell>
          <cell r="G1413">
            <v>30</v>
          </cell>
          <cell r="H1413" t="str">
            <v/>
          </cell>
        </row>
        <row r="1414">
          <cell r="B1414">
            <v>19473332</v>
          </cell>
          <cell r="C1414">
            <v>1</v>
          </cell>
          <cell r="D1414" t="str">
            <v>CHAMORRO MARTINEZ LORENA ANDRE</v>
          </cell>
          <cell r="E1414" t="str">
            <v>FOD350001</v>
          </cell>
          <cell r="F1414">
            <v>44</v>
          </cell>
          <cell r="G1414">
            <v>30</v>
          </cell>
          <cell r="H1414" t="str">
            <v>LORENA.CHAMORRO@UTALCA.CL</v>
          </cell>
        </row>
        <row r="1415">
          <cell r="B1415">
            <v>19473646</v>
          </cell>
          <cell r="C1415">
            <v>0</v>
          </cell>
          <cell r="D1415" t="str">
            <v>VERGARA VÁSQUEZ HÉCTOR NICOLÁS</v>
          </cell>
          <cell r="E1415" t="str">
            <v>ADC030112</v>
          </cell>
          <cell r="F1415">
            <v>44</v>
          </cell>
          <cell r="G1415">
            <v>30</v>
          </cell>
          <cell r="H1415" t="str">
            <v/>
          </cell>
        </row>
        <row r="1416">
          <cell r="B1416">
            <v>19473710</v>
          </cell>
          <cell r="C1416">
            <v>6</v>
          </cell>
          <cell r="D1416" t="str">
            <v>LOPEZ GAJARDO CONSTANZA ALEJAN</v>
          </cell>
          <cell r="E1416" t="str">
            <v>VGE400019</v>
          </cell>
          <cell r="F1416">
            <v>44</v>
          </cell>
          <cell r="G1416">
            <v>30</v>
          </cell>
          <cell r="H1416" t="str">
            <v>COLOPEZ@UTALCA.CL</v>
          </cell>
        </row>
        <row r="1417">
          <cell r="B1417">
            <v>19474344</v>
          </cell>
          <cell r="C1417">
            <v>0</v>
          </cell>
          <cell r="D1417" t="str">
            <v>VIDAL VALENZUELA MAIRA VALENTI</v>
          </cell>
          <cell r="E1417" t="str">
            <v>ICB300001</v>
          </cell>
          <cell r="F1417">
            <v>44</v>
          </cell>
          <cell r="G1417">
            <v>30</v>
          </cell>
          <cell r="H1417" t="str">
            <v>MAIRA.VIDAL@UTALCA.CL</v>
          </cell>
        </row>
        <row r="1418">
          <cell r="B1418">
            <v>19569309</v>
          </cell>
          <cell r="C1418">
            <v>9</v>
          </cell>
          <cell r="D1418" t="str">
            <v>AGUILA DIAZ MONICA ELIZABETH</v>
          </cell>
          <cell r="E1418" t="str">
            <v>VRF400009</v>
          </cell>
          <cell r="F1418">
            <v>44</v>
          </cell>
          <cell r="G1418">
            <v>30</v>
          </cell>
          <cell r="H1418" t="str">
            <v>SINCORREO@UTALCA.CL</v>
          </cell>
        </row>
        <row r="1419">
          <cell r="B1419">
            <v>19575526</v>
          </cell>
          <cell r="C1419">
            <v>4</v>
          </cell>
          <cell r="D1419" t="str">
            <v>ALVEAR NORAMBUENA JUANA HERMIN</v>
          </cell>
          <cell r="E1419" t="str">
            <v/>
          </cell>
          <cell r="F1419">
            <v>44</v>
          </cell>
          <cell r="G1419">
            <v>30</v>
          </cell>
          <cell r="H1419" t="str">
            <v>JUANA.ALVEAR@UTALCA.CL</v>
          </cell>
        </row>
        <row r="1420">
          <cell r="B1420">
            <v>19587916</v>
          </cell>
          <cell r="C1420">
            <v>8</v>
          </cell>
          <cell r="D1420" t="str">
            <v>DUARTE CABRERA VICTORIA ANGÉLI</v>
          </cell>
          <cell r="E1420" t="str">
            <v>FCS200001</v>
          </cell>
          <cell r="F1420">
            <v>44</v>
          </cell>
          <cell r="G1420">
            <v>30</v>
          </cell>
          <cell r="H1420" t="str">
            <v>VICTORIA.DUARTE@UTALCA.CL</v>
          </cell>
        </row>
        <row r="1421">
          <cell r="B1421">
            <v>19610127</v>
          </cell>
          <cell r="C1421">
            <v>6</v>
          </cell>
          <cell r="D1421" t="str">
            <v>GUERRERO RODRIGUEZ LUCAS ARIEL</v>
          </cell>
          <cell r="E1421" t="str">
            <v/>
          </cell>
          <cell r="F1421">
            <v>44</v>
          </cell>
          <cell r="G1421">
            <v>30</v>
          </cell>
          <cell r="H1421" t="str">
            <v>LUCAS.GUERRERO@UTALCA.CL</v>
          </cell>
        </row>
        <row r="1422">
          <cell r="B1422">
            <v>19611209</v>
          </cell>
          <cell r="C1422" t="str">
            <v>K</v>
          </cell>
          <cell r="D1422" t="str">
            <v>DIAZ IBARRA LORENA ALEJANDRA</v>
          </cell>
          <cell r="E1422" t="str">
            <v>VRF400003</v>
          </cell>
          <cell r="F1422">
            <v>44</v>
          </cell>
          <cell r="G1422">
            <v>30</v>
          </cell>
          <cell r="H1422" t="str">
            <v>LORENA.DIAZ@UTALCA.CL</v>
          </cell>
        </row>
        <row r="1423">
          <cell r="B1423">
            <v>19651987</v>
          </cell>
          <cell r="C1423">
            <v>4</v>
          </cell>
          <cell r="D1423" t="str">
            <v>BERRÍOS CONTRERAS CONSUELO ESP</v>
          </cell>
          <cell r="E1423" t="str">
            <v>ADC021001</v>
          </cell>
          <cell r="F1423">
            <v>44</v>
          </cell>
          <cell r="G1423">
            <v>30</v>
          </cell>
          <cell r="H1423" t="str">
            <v>CONSUELO.BERRIOS@UTALCA.CL</v>
          </cell>
        </row>
        <row r="1424">
          <cell r="B1424">
            <v>19688642</v>
          </cell>
          <cell r="C1424">
            <v>7</v>
          </cell>
          <cell r="D1424" t="str">
            <v>BURGOS GALARCE VALENTINA CONST</v>
          </cell>
          <cell r="E1424" t="str">
            <v>VDE400012</v>
          </cell>
          <cell r="F1424">
            <v>12</v>
          </cell>
          <cell r="G1424">
            <v>30</v>
          </cell>
          <cell r="H1424" t="str">
            <v>VALENTINA.BURGOS@UTALCA.CL</v>
          </cell>
        </row>
        <row r="1425">
          <cell r="B1425">
            <v>19696686</v>
          </cell>
          <cell r="C1425">
            <v>2</v>
          </cell>
          <cell r="D1425" t="str">
            <v>CASTILLO AVILA CONSTANZA CAROL</v>
          </cell>
          <cell r="E1425" t="str">
            <v>VAC400061</v>
          </cell>
          <cell r="F1425">
            <v>44</v>
          </cell>
          <cell r="G1425">
            <v>30</v>
          </cell>
          <cell r="H1425" t="str">
            <v>CONSTAZA.CASTILLO@UTALCA.CL</v>
          </cell>
        </row>
        <row r="1426">
          <cell r="B1426">
            <v>19697412</v>
          </cell>
          <cell r="C1426">
            <v>1</v>
          </cell>
          <cell r="D1426" t="str">
            <v>ROJAS SILVA VANESA ELIZABETH</v>
          </cell>
          <cell r="E1426" t="str">
            <v>VDE400009</v>
          </cell>
          <cell r="F1426">
            <v>44</v>
          </cell>
          <cell r="G1426">
            <v>30</v>
          </cell>
          <cell r="H1426" t="str">
            <v>VANESA.ROJAS@UTALCA.CL</v>
          </cell>
        </row>
        <row r="1427">
          <cell r="B1427">
            <v>19697790</v>
          </cell>
          <cell r="C1427">
            <v>2</v>
          </cell>
          <cell r="D1427" t="str">
            <v>NAVARRO CASTILLO ROCIO BELEN</v>
          </cell>
          <cell r="E1427" t="str">
            <v>VDE400009</v>
          </cell>
          <cell r="F1427">
            <v>33</v>
          </cell>
          <cell r="G1427">
            <v>30</v>
          </cell>
          <cell r="H1427" t="str">
            <v/>
          </cell>
        </row>
        <row r="1428">
          <cell r="B1428">
            <v>19697953</v>
          </cell>
          <cell r="C1428">
            <v>0</v>
          </cell>
          <cell r="D1428" t="str">
            <v>ALBURQUENQUE GONZÁLEZ MARIA IG</v>
          </cell>
          <cell r="E1428" t="str">
            <v/>
          </cell>
          <cell r="F1428">
            <v>40</v>
          </cell>
          <cell r="G1428">
            <v>30</v>
          </cell>
          <cell r="H1428" t="str">
            <v>MARIA.ALBURQUENQUE@UTALCA.CL</v>
          </cell>
        </row>
        <row r="1429">
          <cell r="B1429">
            <v>19718264</v>
          </cell>
          <cell r="C1429">
            <v>4</v>
          </cell>
          <cell r="D1429" t="str">
            <v>GONZALEZ TOLOZA ADOLFO EDUARDO</v>
          </cell>
          <cell r="E1429" t="str">
            <v>VDE400002</v>
          </cell>
          <cell r="F1429">
            <v>44</v>
          </cell>
          <cell r="G1429">
            <v>30</v>
          </cell>
          <cell r="H1429" t="str">
            <v>ADOLFO.GONZALEZ@UTALCA.CL</v>
          </cell>
        </row>
        <row r="1430">
          <cell r="B1430">
            <v>19718627</v>
          </cell>
          <cell r="C1430">
            <v>5</v>
          </cell>
          <cell r="D1430" t="str">
            <v>CERPA ARAVENA TABITA BELEN</v>
          </cell>
          <cell r="E1430" t="str">
            <v>ADC021001</v>
          </cell>
          <cell r="F1430">
            <v>44</v>
          </cell>
          <cell r="G1430">
            <v>30</v>
          </cell>
          <cell r="H1430" t="str">
            <v>TABITA.CEDRPA@UTALCA.CL</v>
          </cell>
        </row>
        <row r="1431">
          <cell r="B1431">
            <v>19803246</v>
          </cell>
          <cell r="C1431">
            <v>8</v>
          </cell>
          <cell r="D1431" t="str">
            <v>OLIVARES HORMAZABAL ESMERALDA</v>
          </cell>
          <cell r="E1431" t="str">
            <v>IAM320001</v>
          </cell>
          <cell r="F1431">
            <v>44</v>
          </cell>
          <cell r="G1431">
            <v>30</v>
          </cell>
          <cell r="H1431" t="str">
            <v/>
          </cell>
        </row>
        <row r="1432">
          <cell r="B1432">
            <v>19805936</v>
          </cell>
          <cell r="C1432">
            <v>6</v>
          </cell>
          <cell r="D1432" t="str">
            <v>ARENAS QUIJADA JAVIERA PAZ</v>
          </cell>
          <cell r="E1432" t="str">
            <v>FOD200001</v>
          </cell>
          <cell r="F1432">
            <v>44</v>
          </cell>
          <cell r="G1432">
            <v>30</v>
          </cell>
          <cell r="H1432" t="str">
            <v>JAVIERA.ARENAS@UTALCA.CL</v>
          </cell>
        </row>
        <row r="1433">
          <cell r="B1433">
            <v>19806047</v>
          </cell>
          <cell r="C1433" t="str">
            <v>K</v>
          </cell>
          <cell r="D1433" t="str">
            <v>FUENTES FUENTES ISAI SALOMON</v>
          </cell>
          <cell r="E1433" t="str">
            <v>FOD400003</v>
          </cell>
          <cell r="F1433">
            <v>44</v>
          </cell>
          <cell r="G1433">
            <v>30</v>
          </cell>
          <cell r="H1433" t="str">
            <v>ISAI.FUENTES@UTALCA.CL</v>
          </cell>
        </row>
        <row r="1434">
          <cell r="B1434">
            <v>19806108</v>
          </cell>
          <cell r="C1434">
            <v>5</v>
          </cell>
          <cell r="D1434" t="str">
            <v>VALENZUELA VALENZUELA FERNANDO</v>
          </cell>
          <cell r="E1434" t="str">
            <v>VRF400044</v>
          </cell>
          <cell r="F1434">
            <v>44</v>
          </cell>
          <cell r="G1434">
            <v>30</v>
          </cell>
          <cell r="H1434" t="str">
            <v>FERNANDO.VALENZUELA@UTALCA.CL</v>
          </cell>
        </row>
        <row r="1435">
          <cell r="B1435">
            <v>19807000</v>
          </cell>
          <cell r="C1435">
            <v>9</v>
          </cell>
          <cell r="D1435" t="str">
            <v>CATALAN INAREJO JAVIERA CONSTA</v>
          </cell>
          <cell r="E1435" t="str">
            <v>ADC030190</v>
          </cell>
          <cell r="F1435">
            <v>44</v>
          </cell>
          <cell r="G1435">
            <v>30</v>
          </cell>
          <cell r="H1435" t="str">
            <v>JAVIERA.CATALAN@UTALCA.CL</v>
          </cell>
        </row>
        <row r="1436">
          <cell r="B1436">
            <v>19807830</v>
          </cell>
          <cell r="C1436">
            <v>1</v>
          </cell>
          <cell r="D1436" t="str">
            <v>GUTIERREZ ZUÑIGA FERNANDA IGNA</v>
          </cell>
          <cell r="E1436" t="str">
            <v>FOD200001</v>
          </cell>
          <cell r="F1436">
            <v>44</v>
          </cell>
          <cell r="G1436">
            <v>30</v>
          </cell>
          <cell r="H1436" t="str">
            <v>FERNANDA.GUTIERREZ@UTALCA.CL</v>
          </cell>
        </row>
        <row r="1437">
          <cell r="B1437">
            <v>19865161</v>
          </cell>
          <cell r="C1437">
            <v>3</v>
          </cell>
          <cell r="D1437" t="str">
            <v>BARRA ROJAS EMILIO JOSÉ</v>
          </cell>
          <cell r="E1437" t="str">
            <v>FPS310001</v>
          </cell>
          <cell r="F1437">
            <v>44</v>
          </cell>
          <cell r="G1437">
            <v>30</v>
          </cell>
          <cell r="H1437" t="str">
            <v>EMILIO.BARRA@UTALCA.CL</v>
          </cell>
        </row>
        <row r="1438">
          <cell r="B1438">
            <v>19895448</v>
          </cell>
          <cell r="C1438">
            <v>9</v>
          </cell>
          <cell r="D1438" t="str">
            <v>CASTILLO ZUÑIGA JAVIERA ALEJAN</v>
          </cell>
          <cell r="E1438" t="str">
            <v>VAC400062</v>
          </cell>
          <cell r="F1438">
            <v>44</v>
          </cell>
          <cell r="G1438">
            <v>30</v>
          </cell>
          <cell r="H1438" t="str">
            <v/>
          </cell>
        </row>
        <row r="1439">
          <cell r="B1439">
            <v>19923200</v>
          </cell>
          <cell r="C1439">
            <v>2</v>
          </cell>
          <cell r="D1439" t="str">
            <v>ZUÑIGA INOSTROZA OSCAR IGNACIO</v>
          </cell>
          <cell r="E1439" t="str">
            <v>VGE400057</v>
          </cell>
          <cell r="F1439">
            <v>44</v>
          </cell>
          <cell r="G1439">
            <v>30</v>
          </cell>
          <cell r="H1439" t="str">
            <v>OSCAR.ZUNIGA@UTALCA.CL</v>
          </cell>
        </row>
        <row r="1440">
          <cell r="B1440">
            <v>19938907</v>
          </cell>
          <cell r="C1440">
            <v>6</v>
          </cell>
          <cell r="D1440" t="str">
            <v>LOPEZ RETAMAL RUTH ESTRELLA AN</v>
          </cell>
          <cell r="E1440" t="str">
            <v>VGE400008</v>
          </cell>
          <cell r="F1440">
            <v>44</v>
          </cell>
          <cell r="G1440">
            <v>30</v>
          </cell>
          <cell r="H1440" t="str">
            <v>RUTH.LOPEZ@UTALCA.CL</v>
          </cell>
        </row>
        <row r="1441">
          <cell r="B1441">
            <v>19965486</v>
          </cell>
          <cell r="C1441">
            <v>1</v>
          </cell>
          <cell r="D1441" t="str">
            <v>VALDES CACERES TAMARA ISABEL</v>
          </cell>
          <cell r="E1441" t="str">
            <v>VGE400052</v>
          </cell>
          <cell r="F1441">
            <v>44</v>
          </cell>
          <cell r="G1441">
            <v>30</v>
          </cell>
          <cell r="H1441" t="str">
            <v>TAMARA.VALDES@UTALCA.CL</v>
          </cell>
        </row>
        <row r="1442">
          <cell r="B1442">
            <v>20003325</v>
          </cell>
          <cell r="C1442">
            <v>6</v>
          </cell>
          <cell r="D1442" t="str">
            <v>FERRADA YÁÑEZ SOFÍA YANET</v>
          </cell>
          <cell r="E1442" t="str">
            <v>VDE400002</v>
          </cell>
          <cell r="F1442">
            <v>22</v>
          </cell>
          <cell r="G1442">
            <v>30</v>
          </cell>
          <cell r="H1442" t="str">
            <v/>
          </cell>
        </row>
        <row r="1443">
          <cell r="B1443">
            <v>20008250</v>
          </cell>
          <cell r="C1443">
            <v>8</v>
          </cell>
          <cell r="D1443" t="str">
            <v>CANCINO CHAMORRO PAULINA ALEJA</v>
          </cell>
          <cell r="E1443" t="str">
            <v>VGE400032</v>
          </cell>
          <cell r="F1443">
            <v>22</v>
          </cell>
          <cell r="G1443">
            <v>30</v>
          </cell>
          <cell r="H1443" t="str">
            <v>PAULINA.CANCINO@UTALCA.CL</v>
          </cell>
        </row>
        <row r="1444">
          <cell r="B1444">
            <v>20008705</v>
          </cell>
          <cell r="C1444">
            <v>4</v>
          </cell>
          <cell r="D1444" t="str">
            <v>RIQUELME VÉLIZ PABLO ISRAEL</v>
          </cell>
          <cell r="E1444" t="str">
            <v>VGE400051</v>
          </cell>
          <cell r="F1444">
            <v>44</v>
          </cell>
          <cell r="G1444">
            <v>30</v>
          </cell>
          <cell r="H1444" t="str">
            <v>PABLORIQUELME748@GMAIL.COM</v>
          </cell>
        </row>
        <row r="1445">
          <cell r="B1445">
            <v>20009478</v>
          </cell>
          <cell r="C1445">
            <v>6</v>
          </cell>
          <cell r="D1445" t="str">
            <v>CHAMORRO SEPULVEDA IGNACIA CEC</v>
          </cell>
          <cell r="E1445" t="str">
            <v>FCI310006</v>
          </cell>
          <cell r="F1445">
            <v>44</v>
          </cell>
          <cell r="G1445">
            <v>30</v>
          </cell>
          <cell r="H1445" t="str">
            <v/>
          </cell>
        </row>
        <row r="1446">
          <cell r="B1446">
            <v>20068791</v>
          </cell>
          <cell r="C1446">
            <v>4</v>
          </cell>
          <cell r="D1446" t="str">
            <v>ROSALES ACUÑA ALICIA ELENA</v>
          </cell>
          <cell r="E1446" t="str">
            <v>FOD350001</v>
          </cell>
          <cell r="F1446">
            <v>44</v>
          </cell>
          <cell r="G1446">
            <v>30</v>
          </cell>
          <cell r="H1446" t="str">
            <v>ALICIA.ROSALES@UTALCA.CL</v>
          </cell>
        </row>
        <row r="1447">
          <cell r="B1447">
            <v>20069761</v>
          </cell>
          <cell r="C1447">
            <v>8</v>
          </cell>
          <cell r="D1447" t="str">
            <v>ZÚÑIGA AHUMADA VALENTINA DE LO</v>
          </cell>
          <cell r="E1447" t="str">
            <v>VRF400009</v>
          </cell>
          <cell r="F1447">
            <v>44</v>
          </cell>
          <cell r="G1447">
            <v>30</v>
          </cell>
          <cell r="H1447" t="str">
            <v>VALENTINA.ZUNIGA@UTALCA.CL</v>
          </cell>
        </row>
        <row r="1448">
          <cell r="B1448">
            <v>20069991</v>
          </cell>
          <cell r="C1448">
            <v>2</v>
          </cell>
          <cell r="D1448" t="str">
            <v>JARA DIAZ ELIZABETH BEATRIZ</v>
          </cell>
          <cell r="E1448" t="str">
            <v>ADC021004</v>
          </cell>
          <cell r="F1448">
            <v>22</v>
          </cell>
          <cell r="G1448">
            <v>30</v>
          </cell>
          <cell r="H1448" t="str">
            <v>ELIZABETH.DIAZ@UTALCA.CL</v>
          </cell>
        </row>
        <row r="1449">
          <cell r="B1449">
            <v>20070299</v>
          </cell>
          <cell r="C1449">
            <v>9</v>
          </cell>
          <cell r="D1449" t="str">
            <v>RAMOS VALENCIA ALEXANDRA NOEMI</v>
          </cell>
          <cell r="E1449" t="str">
            <v>VGE400008</v>
          </cell>
          <cell r="F1449">
            <v>44</v>
          </cell>
          <cell r="G1449">
            <v>30</v>
          </cell>
          <cell r="H1449" t="str">
            <v>ALEXANDRA.RAMOS@UTALCA.CL</v>
          </cell>
        </row>
        <row r="1450">
          <cell r="B1450">
            <v>20070481</v>
          </cell>
          <cell r="C1450">
            <v>9</v>
          </cell>
          <cell r="D1450" t="str">
            <v>FALCON GARRIDO YASNA KYARA</v>
          </cell>
          <cell r="E1450" t="str">
            <v>VGE400054</v>
          </cell>
          <cell r="F1450">
            <v>44</v>
          </cell>
          <cell r="G1450">
            <v>30</v>
          </cell>
          <cell r="H1450" t="str">
            <v>YASNA.FALCON@UTALCA.CL</v>
          </cell>
        </row>
        <row r="1451">
          <cell r="B1451">
            <v>20070533</v>
          </cell>
          <cell r="C1451">
            <v>5</v>
          </cell>
          <cell r="D1451" t="str">
            <v>ENCINA VALENZUELA NICOLAS ALEJ</v>
          </cell>
          <cell r="E1451" t="str">
            <v>FOD350001</v>
          </cell>
          <cell r="F1451">
            <v>44</v>
          </cell>
          <cell r="G1451">
            <v>30</v>
          </cell>
          <cell r="H1451" t="str">
            <v>NICOLAS.ENCINA@UTALCA.CL</v>
          </cell>
        </row>
        <row r="1452">
          <cell r="B1452">
            <v>20104716</v>
          </cell>
          <cell r="C1452">
            <v>1</v>
          </cell>
          <cell r="D1452" t="str">
            <v>CERDA PEREZ LEANDRO ALBERTO</v>
          </cell>
          <cell r="E1452" t="str">
            <v>FPS310002</v>
          </cell>
          <cell r="F1452">
            <v>44</v>
          </cell>
          <cell r="G1452">
            <v>26</v>
          </cell>
          <cell r="H1452" t="str">
            <v>TO.LEANDROCERDA@GMAIL.COM</v>
          </cell>
        </row>
        <row r="1453">
          <cell r="B1453">
            <v>20169520</v>
          </cell>
          <cell r="C1453">
            <v>1</v>
          </cell>
          <cell r="D1453" t="str">
            <v>CANCINO LOYOLA CAMILA VICTORIA</v>
          </cell>
          <cell r="E1453" t="str">
            <v>FOD350001</v>
          </cell>
          <cell r="F1453">
            <v>44</v>
          </cell>
          <cell r="G1453">
            <v>30</v>
          </cell>
          <cell r="H1453" t="str">
            <v>CAMILA.CANCINO@UTALCA.CL</v>
          </cell>
        </row>
        <row r="1454">
          <cell r="B1454">
            <v>20171014</v>
          </cell>
          <cell r="C1454">
            <v>6</v>
          </cell>
          <cell r="D1454" t="str">
            <v>VÁSQUEZ HERMOSILLA JUAN PABLO</v>
          </cell>
          <cell r="E1454" t="str">
            <v/>
          </cell>
          <cell r="F1454">
            <v>44</v>
          </cell>
          <cell r="G1454">
            <v>30</v>
          </cell>
          <cell r="H1454" t="str">
            <v>JUAN.VASQUEZH@UTALCA.CL</v>
          </cell>
        </row>
        <row r="1455">
          <cell r="B1455">
            <v>20171055</v>
          </cell>
          <cell r="C1455">
            <v>3</v>
          </cell>
          <cell r="D1455" t="str">
            <v>ROJAS PEREZ LISBET ALEXANDRA</v>
          </cell>
          <cell r="E1455" t="str">
            <v>VGE400003</v>
          </cell>
          <cell r="F1455">
            <v>44</v>
          </cell>
          <cell r="G1455">
            <v>30</v>
          </cell>
          <cell r="H1455" t="str">
            <v>LROJASP@UTALCA.CL</v>
          </cell>
        </row>
        <row r="1456">
          <cell r="B1456">
            <v>20202043</v>
          </cell>
          <cell r="C1456">
            <v>7</v>
          </cell>
          <cell r="D1456" t="str">
            <v>GONZALEZ MADRID JAIME IGNACIO</v>
          </cell>
          <cell r="E1456" t="str">
            <v>VGE400054</v>
          </cell>
          <cell r="F1456">
            <v>44</v>
          </cell>
          <cell r="G1456">
            <v>30</v>
          </cell>
          <cell r="H1456" t="str">
            <v/>
          </cell>
        </row>
        <row r="1457">
          <cell r="B1457">
            <v>20206295</v>
          </cell>
          <cell r="C1457">
            <v>4</v>
          </cell>
          <cell r="D1457" t="str">
            <v>HURTADO MORALES MARCELO ANDRES</v>
          </cell>
          <cell r="E1457" t="str">
            <v>ADC030110</v>
          </cell>
          <cell r="F1457">
            <v>44</v>
          </cell>
          <cell r="G1457">
            <v>30</v>
          </cell>
          <cell r="H1457" t="str">
            <v>MARCELO.HURTADO@UTALCA.CL</v>
          </cell>
        </row>
        <row r="1458">
          <cell r="B1458">
            <v>20269312</v>
          </cell>
          <cell r="C1458">
            <v>1</v>
          </cell>
          <cell r="D1458" t="str">
            <v>FIERRO VALENZUELA CAROLINA AND</v>
          </cell>
          <cell r="E1458" t="str">
            <v>VGE400003</v>
          </cell>
          <cell r="F1458">
            <v>44</v>
          </cell>
          <cell r="G1458">
            <v>30</v>
          </cell>
          <cell r="H1458" t="str">
            <v>CAROLINA.FIERRO@UTALCA.CL</v>
          </cell>
        </row>
        <row r="1459">
          <cell r="B1459">
            <v>20307287</v>
          </cell>
          <cell r="C1459">
            <v>2</v>
          </cell>
          <cell r="D1459" t="str">
            <v>CASTRO MIRANDA IAN LUCIANO</v>
          </cell>
          <cell r="E1459" t="str">
            <v>ADC017001</v>
          </cell>
          <cell r="F1459">
            <v>44</v>
          </cell>
          <cell r="G1459">
            <v>30</v>
          </cell>
          <cell r="H1459" t="str">
            <v/>
          </cell>
        </row>
        <row r="1460">
          <cell r="B1460">
            <v>20307304</v>
          </cell>
          <cell r="C1460">
            <v>6</v>
          </cell>
          <cell r="D1460" t="str">
            <v>CHAVEZ ROJAS PEDRO PABLO</v>
          </cell>
          <cell r="E1460" t="str">
            <v>VGE400054</v>
          </cell>
          <cell r="F1460">
            <v>44</v>
          </cell>
          <cell r="G1460">
            <v>30</v>
          </cell>
          <cell r="H1460" t="str">
            <v>PEDRO.CHAVEZ@UTALCA.CL</v>
          </cell>
        </row>
        <row r="1461">
          <cell r="B1461">
            <v>20349209</v>
          </cell>
          <cell r="C1461" t="str">
            <v>K</v>
          </cell>
          <cell r="D1461" t="str">
            <v>BUSTAMANTE RODRIGUEZ FRANCO GA</v>
          </cell>
          <cell r="E1461" t="str">
            <v>VGE400031</v>
          </cell>
          <cell r="F1461">
            <v>44</v>
          </cell>
          <cell r="G1461">
            <v>30</v>
          </cell>
          <cell r="H1461" t="str">
            <v>FRANCO.BUSTAMANTE@UTALCA.CL</v>
          </cell>
        </row>
        <row r="1462">
          <cell r="B1462">
            <v>20350222</v>
          </cell>
          <cell r="C1462">
            <v>2</v>
          </cell>
          <cell r="D1462" t="str">
            <v>ARAVENA MOLINA MATÍAS ADOLFO</v>
          </cell>
          <cell r="E1462" t="str">
            <v>VGE400003</v>
          </cell>
          <cell r="F1462">
            <v>44</v>
          </cell>
          <cell r="G1462">
            <v>30</v>
          </cell>
          <cell r="H1462" t="str">
            <v/>
          </cell>
        </row>
        <row r="1463">
          <cell r="B1463">
            <v>20462673</v>
          </cell>
          <cell r="C1463">
            <v>1</v>
          </cell>
          <cell r="D1463" t="str">
            <v>PALOMINOS MAUREIRA MATIAS CRIS</v>
          </cell>
          <cell r="E1463" t="str">
            <v>FCS320007</v>
          </cell>
          <cell r="F1463">
            <v>44</v>
          </cell>
          <cell r="G1463">
            <v>27</v>
          </cell>
          <cell r="H1463" t="str">
            <v>MATIAS.PALOMINOS@UTALCA.CL</v>
          </cell>
        </row>
        <row r="1464">
          <cell r="B1464">
            <v>20463044</v>
          </cell>
          <cell r="C1464">
            <v>5</v>
          </cell>
          <cell r="D1464" t="str">
            <v>MATURANA VENEGAS KRISHNA ARACE</v>
          </cell>
          <cell r="E1464" t="str">
            <v>VGE400008</v>
          </cell>
          <cell r="F1464">
            <v>44</v>
          </cell>
          <cell r="G1464">
            <v>30</v>
          </cell>
          <cell r="H1464" t="str">
            <v/>
          </cell>
        </row>
        <row r="1465">
          <cell r="B1465">
            <v>20481910</v>
          </cell>
          <cell r="C1465">
            <v>6</v>
          </cell>
          <cell r="D1465" t="str">
            <v>DIAZ MERCADO JOAQUIN IGNACIO</v>
          </cell>
          <cell r="E1465" t="str">
            <v>ADC022001</v>
          </cell>
          <cell r="F1465">
            <v>44</v>
          </cell>
          <cell r="G1465">
            <v>30</v>
          </cell>
          <cell r="H1465" t="str">
            <v/>
          </cell>
        </row>
        <row r="1466">
          <cell r="B1466">
            <v>20519144</v>
          </cell>
          <cell r="C1466">
            <v>5</v>
          </cell>
          <cell r="D1466" t="str">
            <v>LOPEZ VERGARA FELIPE IGNACIO</v>
          </cell>
          <cell r="E1466" t="str">
            <v>FCI310002</v>
          </cell>
          <cell r="F1466">
            <v>44</v>
          </cell>
          <cell r="G1466">
            <v>30</v>
          </cell>
          <cell r="H1466" t="str">
            <v>FELIPE.LOPEZ@UTALCA.CL</v>
          </cell>
        </row>
        <row r="1467">
          <cell r="B1467">
            <v>20683095</v>
          </cell>
          <cell r="C1467">
            <v>6</v>
          </cell>
          <cell r="D1467" t="str">
            <v>CONTALBA GOMEZ KATHERINA IVON</v>
          </cell>
          <cell r="E1467" t="str">
            <v>VAC400073</v>
          </cell>
          <cell r="F1467">
            <v>44</v>
          </cell>
          <cell r="G1467">
            <v>30</v>
          </cell>
          <cell r="H1467" t="str">
            <v>KCONTALBA@UTALCA.CL</v>
          </cell>
        </row>
        <row r="1468">
          <cell r="B1468">
            <v>20744516</v>
          </cell>
          <cell r="C1468">
            <v>9</v>
          </cell>
          <cell r="D1468" t="str">
            <v>ESPINOZA ZAMBRANO PAULETTE ELI</v>
          </cell>
          <cell r="E1468" t="str">
            <v>VAC400074</v>
          </cell>
          <cell r="F1468">
            <v>44</v>
          </cell>
          <cell r="G1468">
            <v>30</v>
          </cell>
          <cell r="H1468" t="str">
            <v>PAULETTE.ESPINOZA@UTALCA.CL</v>
          </cell>
        </row>
        <row r="1469">
          <cell r="B1469">
            <v>20802495</v>
          </cell>
          <cell r="C1469">
            <v>7</v>
          </cell>
          <cell r="D1469" t="str">
            <v>CASTRO AGUILERA FRANCISCO NICO</v>
          </cell>
          <cell r="E1469" t="str">
            <v>VGE400054</v>
          </cell>
          <cell r="F1469">
            <v>44</v>
          </cell>
          <cell r="G1469">
            <v>30</v>
          </cell>
          <cell r="H1469" t="str">
            <v>FRANCISCO.CASTRO@UTALCA.CL</v>
          </cell>
        </row>
        <row r="1470">
          <cell r="B1470">
            <v>21103803</v>
          </cell>
          <cell r="C1470">
            <v>9</v>
          </cell>
          <cell r="D1470" t="str">
            <v>ACEVEDO CORTES JESICA VALERIA</v>
          </cell>
          <cell r="E1470" t="str">
            <v>ADC040001</v>
          </cell>
          <cell r="F1470">
            <v>22</v>
          </cell>
          <cell r="G1470">
            <v>30</v>
          </cell>
          <cell r="H1470" t="str">
            <v>JEACEVEDO@UTALCA.CL</v>
          </cell>
        </row>
        <row r="1471">
          <cell r="B1471">
            <v>21141756</v>
          </cell>
          <cell r="C1471">
            <v>0</v>
          </cell>
          <cell r="D1471" t="str">
            <v>CABRERA GONZALEZ NURI ELENA</v>
          </cell>
          <cell r="E1471" t="str">
            <v>ICB300001</v>
          </cell>
          <cell r="F1471">
            <v>44</v>
          </cell>
          <cell r="G1471">
            <v>30</v>
          </cell>
          <cell r="H1471" t="str">
            <v>NCABRERA@UTALCA.CL</v>
          </cell>
        </row>
        <row r="1472">
          <cell r="B1472">
            <v>21163252</v>
          </cell>
          <cell r="C1472">
            <v>6</v>
          </cell>
          <cell r="D1472" t="str">
            <v>PIPER BUSICO FRIDA INGRID</v>
          </cell>
          <cell r="E1472" t="str">
            <v>ICB300001</v>
          </cell>
          <cell r="F1472">
            <v>44</v>
          </cell>
          <cell r="G1472">
            <v>30</v>
          </cell>
          <cell r="H1472" t="str">
            <v>FRIDA.PIPER@UTALCA.CL</v>
          </cell>
        </row>
        <row r="1473">
          <cell r="B1473">
            <v>21222255</v>
          </cell>
          <cell r="C1473">
            <v>0</v>
          </cell>
          <cell r="D1473" t="str">
            <v>BRAVO SALINAS FELIPE ARIEL</v>
          </cell>
          <cell r="E1473" t="str">
            <v>VGE400054</v>
          </cell>
          <cell r="F1473">
            <v>44</v>
          </cell>
          <cell r="G1473">
            <v>30</v>
          </cell>
          <cell r="H1473" t="str">
            <v>FELIPE.BRAVOSALINAS@UTALCA.CL</v>
          </cell>
        </row>
        <row r="1474">
          <cell r="B1474">
            <v>21280946</v>
          </cell>
          <cell r="C1474">
            <v>2</v>
          </cell>
          <cell r="D1474" t="str">
            <v>MELERO LEAL FERMIN MANUEL</v>
          </cell>
          <cell r="E1474" t="str">
            <v>VRF400009</v>
          </cell>
          <cell r="F1474">
            <v>44</v>
          </cell>
          <cell r="G1474">
            <v>30</v>
          </cell>
          <cell r="H1474" t="str">
            <v>FMELERO@UTALCA.CL</v>
          </cell>
        </row>
        <row r="1475">
          <cell r="B1475">
            <v>21281094</v>
          </cell>
          <cell r="C1475">
            <v>0</v>
          </cell>
          <cell r="D1475" t="str">
            <v>ALVA GALVEZ ORLANDO</v>
          </cell>
          <cell r="E1475" t="str">
            <v>ICB300001</v>
          </cell>
          <cell r="F1475">
            <v>44</v>
          </cell>
          <cell r="G1475">
            <v>30</v>
          </cell>
          <cell r="H1475" t="str">
            <v>OALVA@UTALCA.CL</v>
          </cell>
        </row>
        <row r="1476">
          <cell r="B1476">
            <v>21295178</v>
          </cell>
          <cell r="C1476">
            <v>1</v>
          </cell>
          <cell r="D1476" t="str">
            <v>ESCALANTE MENDOZA NELSON MAURI</v>
          </cell>
          <cell r="E1476" t="str">
            <v>FCS320007</v>
          </cell>
          <cell r="F1476">
            <v>44</v>
          </cell>
          <cell r="G1476">
            <v>30</v>
          </cell>
          <cell r="H1476" t="str">
            <v>NESCALANTE@UTALCA.CL</v>
          </cell>
        </row>
        <row r="1477">
          <cell r="B1477">
            <v>21304675</v>
          </cell>
          <cell r="C1477">
            <v>6</v>
          </cell>
          <cell r="D1477" t="str">
            <v>PERTINO . MARIANO WALTER</v>
          </cell>
          <cell r="E1477" t="str">
            <v>IQR300001</v>
          </cell>
          <cell r="F1477">
            <v>44</v>
          </cell>
          <cell r="G1477">
            <v>30</v>
          </cell>
          <cell r="H1477" t="str">
            <v>MWALTER@UTALCA.CL</v>
          </cell>
        </row>
        <row r="1478">
          <cell r="B1478">
            <v>21333268</v>
          </cell>
          <cell r="C1478">
            <v>6</v>
          </cell>
          <cell r="D1478" t="str">
            <v>PABEN . TODD GREGORY</v>
          </cell>
          <cell r="E1478" t="str">
            <v>VRF400008</v>
          </cell>
          <cell r="F1478">
            <v>44</v>
          </cell>
          <cell r="G1478">
            <v>30</v>
          </cell>
          <cell r="H1478" t="str">
            <v>TODD.GREGORY@UTALCA.CL</v>
          </cell>
        </row>
        <row r="1479">
          <cell r="B1479">
            <v>21523658</v>
          </cell>
          <cell r="C1479">
            <v>7</v>
          </cell>
          <cell r="D1479" t="str">
            <v>RYOM-HANSEN . STEEN</v>
          </cell>
          <cell r="E1479" t="str">
            <v>IMF300001</v>
          </cell>
          <cell r="F1479">
            <v>44</v>
          </cell>
          <cell r="G1479">
            <v>30</v>
          </cell>
          <cell r="H1479" t="str">
            <v>SRYOM-HANSEN@UTALCA.CL</v>
          </cell>
        </row>
        <row r="1480">
          <cell r="B1480">
            <v>21534239</v>
          </cell>
          <cell r="C1480">
            <v>5</v>
          </cell>
          <cell r="D1480" t="str">
            <v>LOPEZ CABAÑA ZORAYA ELENA</v>
          </cell>
          <cell r="E1480" t="str">
            <v>IQR300001</v>
          </cell>
          <cell r="F1480">
            <v>44</v>
          </cell>
          <cell r="G1480">
            <v>30</v>
          </cell>
          <cell r="H1480" t="str">
            <v>ZLOPEZ@UTALCA.CL</v>
          </cell>
        </row>
        <row r="1481">
          <cell r="B1481">
            <v>21560610</v>
          </cell>
          <cell r="C1481">
            <v>4</v>
          </cell>
          <cell r="D1481" t="str">
            <v>ACUÑA RODRIGUEZ IAN SAJID</v>
          </cell>
          <cell r="E1481" t="str">
            <v>VAC400024</v>
          </cell>
          <cell r="F1481">
            <v>44</v>
          </cell>
          <cell r="G1481">
            <v>30</v>
          </cell>
          <cell r="H1481" t="str">
            <v>IACUNA@UTALCA.CL</v>
          </cell>
        </row>
        <row r="1482">
          <cell r="B1482">
            <v>21592957</v>
          </cell>
          <cell r="C1482">
            <v>4</v>
          </cell>
          <cell r="D1482" t="str">
            <v>GONZALEZ DIAZ WENDY</v>
          </cell>
          <cell r="E1482" t="str">
            <v>FCI320001</v>
          </cell>
          <cell r="F1482">
            <v>44</v>
          </cell>
          <cell r="G1482">
            <v>30</v>
          </cell>
          <cell r="H1482" t="str">
            <v>WGONZALEZ@UTALCA.CL</v>
          </cell>
        </row>
        <row r="1483">
          <cell r="B1483">
            <v>21599721</v>
          </cell>
          <cell r="C1483">
            <v>9</v>
          </cell>
          <cell r="D1483" t="str">
            <v>DIRON MUNIZ FRANCISCO RAMON</v>
          </cell>
          <cell r="E1483" t="str">
            <v>FAM320003</v>
          </cell>
          <cell r="F1483">
            <v>11</v>
          </cell>
          <cell r="G1483">
            <v>30</v>
          </cell>
          <cell r="H1483" t="str">
            <v>FDIRON@UTALCA.CL</v>
          </cell>
        </row>
        <row r="1484">
          <cell r="B1484">
            <v>21694281</v>
          </cell>
          <cell r="C1484">
            <v>7</v>
          </cell>
          <cell r="D1484" t="str">
            <v>SAN PELAYO FERRER ELIZABETH</v>
          </cell>
          <cell r="E1484" t="str">
            <v>FPS310001</v>
          </cell>
          <cell r="F1484">
            <v>22</v>
          </cell>
          <cell r="G1484">
            <v>30</v>
          </cell>
          <cell r="H1484" t="str">
            <v>ESANPELAYO@UTALCA.CL</v>
          </cell>
        </row>
        <row r="1485">
          <cell r="B1485">
            <v>21904914</v>
          </cell>
          <cell r="C1485">
            <v>5</v>
          </cell>
          <cell r="D1485" t="str">
            <v>RONCO . MARIA OFELIA</v>
          </cell>
          <cell r="E1485" t="str">
            <v>IMF300001</v>
          </cell>
          <cell r="F1485">
            <v>44</v>
          </cell>
          <cell r="G1485">
            <v>30</v>
          </cell>
          <cell r="H1485" t="str">
            <v>MRONCO@UTALCA.CL</v>
          </cell>
        </row>
        <row r="1486">
          <cell r="B1486">
            <v>21951646</v>
          </cell>
          <cell r="C1486">
            <v>0</v>
          </cell>
          <cell r="D1486" t="str">
            <v>ARIAS BELLO VIRGINIA</v>
          </cell>
          <cell r="E1486" t="str">
            <v>FAM320002</v>
          </cell>
          <cell r="F1486">
            <v>22</v>
          </cell>
          <cell r="G1486">
            <v>30</v>
          </cell>
          <cell r="H1486" t="str">
            <v>VARIAS@UTALCA.CL</v>
          </cell>
        </row>
        <row r="1487">
          <cell r="B1487">
            <v>22110036</v>
          </cell>
          <cell r="C1487">
            <v>0</v>
          </cell>
          <cell r="D1487" t="str">
            <v>BARDEEN . MATTHEW</v>
          </cell>
          <cell r="E1487" t="str">
            <v>FCI320003</v>
          </cell>
          <cell r="F1487">
            <v>44</v>
          </cell>
          <cell r="G1487">
            <v>30</v>
          </cell>
          <cell r="H1487" t="str">
            <v>MBARDEEN@UTALCA.CL</v>
          </cell>
        </row>
        <row r="1488">
          <cell r="B1488">
            <v>22128343</v>
          </cell>
          <cell r="C1488">
            <v>0</v>
          </cell>
          <cell r="D1488" t="str">
            <v>SILVA SANTOS LEONARDO</v>
          </cell>
          <cell r="E1488" t="str">
            <v>IQR300001</v>
          </cell>
          <cell r="F1488">
            <v>44</v>
          </cell>
          <cell r="G1488">
            <v>30</v>
          </cell>
          <cell r="H1488" t="str">
            <v>LSSANTOS@UTALCA.CL</v>
          </cell>
        </row>
        <row r="1489">
          <cell r="B1489">
            <v>22277695</v>
          </cell>
          <cell r="C1489">
            <v>3</v>
          </cell>
          <cell r="D1489" t="str">
            <v>BENTANCOR CAZENAVE . ANDREA</v>
          </cell>
          <cell r="E1489" t="str">
            <v>FEN310003</v>
          </cell>
          <cell r="F1489">
            <v>44</v>
          </cell>
          <cell r="G1489">
            <v>30</v>
          </cell>
          <cell r="H1489" t="str">
            <v>ANDREA.BENTANCOR@UTALCA.CL</v>
          </cell>
        </row>
        <row r="1490">
          <cell r="B1490">
            <v>22342843</v>
          </cell>
          <cell r="C1490">
            <v>6</v>
          </cell>
          <cell r="D1490" t="str">
            <v>CABALLERO RUIZ JULIO MIGUEL</v>
          </cell>
          <cell r="E1490" t="str">
            <v>FCI320001</v>
          </cell>
          <cell r="F1490">
            <v>44</v>
          </cell>
          <cell r="G1490">
            <v>30</v>
          </cell>
          <cell r="H1490" t="str">
            <v>JCABALLERO@UTALCA.CL</v>
          </cell>
        </row>
        <row r="1491">
          <cell r="B1491">
            <v>22343894</v>
          </cell>
          <cell r="C1491">
            <v>6</v>
          </cell>
          <cell r="D1491" t="str">
            <v>LOPEZ ASTORGA MIGUEL</v>
          </cell>
          <cell r="E1491" t="str">
            <v>IAM300001</v>
          </cell>
          <cell r="F1491">
            <v>44</v>
          </cell>
          <cell r="G1491">
            <v>30</v>
          </cell>
          <cell r="H1491" t="str">
            <v>MILOPEZ@UTALCA.CL</v>
          </cell>
        </row>
        <row r="1492">
          <cell r="B1492">
            <v>22472804</v>
          </cell>
          <cell r="C1492">
            <v>2</v>
          </cell>
          <cell r="D1492" t="str">
            <v>GARCIA PEREZ LEIDY YOMARY</v>
          </cell>
          <cell r="E1492" t="str">
            <v>FEN310001</v>
          </cell>
          <cell r="F1492">
            <v>44</v>
          </cell>
          <cell r="G1492">
            <v>30</v>
          </cell>
          <cell r="H1492" t="str">
            <v>LGARCIA@UTALCA.CL</v>
          </cell>
        </row>
        <row r="1493">
          <cell r="B1493">
            <v>22676885</v>
          </cell>
          <cell r="C1493">
            <v>8</v>
          </cell>
          <cell r="D1493" t="str">
            <v>HILL . BRIANNA CHRISTINE</v>
          </cell>
          <cell r="E1493" t="str">
            <v>VRF400008</v>
          </cell>
          <cell r="F1493">
            <v>33</v>
          </cell>
          <cell r="G1493">
            <v>30</v>
          </cell>
          <cell r="H1493" t="str">
            <v>BHILL@UTALCA.CL</v>
          </cell>
        </row>
        <row r="1494">
          <cell r="B1494">
            <v>22961566</v>
          </cell>
          <cell r="C1494">
            <v>1</v>
          </cell>
          <cell r="D1494" t="str">
            <v>SILVESTRE QUIROGA LUIS GREGORI</v>
          </cell>
          <cell r="E1494" t="str">
            <v>FCI320003</v>
          </cell>
          <cell r="F1494">
            <v>44</v>
          </cell>
          <cell r="G1494">
            <v>30</v>
          </cell>
          <cell r="H1494" t="str">
            <v>LSILVESTRE@UTALCA.CL</v>
          </cell>
        </row>
        <row r="1495">
          <cell r="B1495">
            <v>22962431</v>
          </cell>
          <cell r="C1495">
            <v>8</v>
          </cell>
          <cell r="D1495" t="str">
            <v>OREJARENA CUARTAS CLAUDIA LILI</v>
          </cell>
          <cell r="E1495" t="str">
            <v>VRF400003</v>
          </cell>
          <cell r="F1495">
            <v>33</v>
          </cell>
          <cell r="G1495">
            <v>30</v>
          </cell>
          <cell r="H1495" t="str">
            <v>COREJARENA@UTALCA.CL</v>
          </cell>
        </row>
        <row r="1496">
          <cell r="B1496">
            <v>23017961</v>
          </cell>
          <cell r="C1496">
            <v>1</v>
          </cell>
          <cell r="D1496" t="str">
            <v>INGRAM . BENJAMIN RANDALL</v>
          </cell>
          <cell r="E1496" t="str">
            <v>FCI320009</v>
          </cell>
          <cell r="F1496">
            <v>44</v>
          </cell>
          <cell r="G1496">
            <v>30</v>
          </cell>
          <cell r="H1496" t="str">
            <v>BRI@UTALCA.CL</v>
          </cell>
        </row>
        <row r="1497">
          <cell r="B1497">
            <v>23096880</v>
          </cell>
          <cell r="C1497">
            <v>2</v>
          </cell>
          <cell r="D1497" t="str">
            <v>CARAMANTIN SORIANO MARIA DEL P</v>
          </cell>
          <cell r="E1497" t="str">
            <v>IQR300001</v>
          </cell>
          <cell r="F1497">
            <v>44</v>
          </cell>
          <cell r="G1497">
            <v>30</v>
          </cell>
          <cell r="H1497" t="str">
            <v>MCARAMANTIN@UTALCA.CL</v>
          </cell>
        </row>
        <row r="1498">
          <cell r="B1498">
            <v>23531888</v>
          </cell>
          <cell r="C1498">
            <v>1</v>
          </cell>
          <cell r="D1498" t="str">
            <v>MERCIER . CLAIRE LEA ANTOINETT</v>
          </cell>
          <cell r="E1498" t="str">
            <v>IAM300001</v>
          </cell>
          <cell r="F1498">
            <v>44</v>
          </cell>
          <cell r="G1498">
            <v>30</v>
          </cell>
          <cell r="H1498" t="str">
            <v>CMERCIER@UTALCA.CL</v>
          </cell>
        </row>
        <row r="1499">
          <cell r="B1499">
            <v>23534836</v>
          </cell>
          <cell r="C1499">
            <v>5</v>
          </cell>
          <cell r="D1499" t="str">
            <v>OSORIO VARGAS PAULA ALEJANDRA</v>
          </cell>
          <cell r="E1499" t="str">
            <v>IQR300001</v>
          </cell>
          <cell r="F1499">
            <v>44</v>
          </cell>
          <cell r="G1499">
            <v>30</v>
          </cell>
          <cell r="H1499" t="str">
            <v>PAULA.OSORIO@UTALCA.CL</v>
          </cell>
        </row>
        <row r="1500">
          <cell r="B1500">
            <v>23559830</v>
          </cell>
          <cell r="C1500">
            <v>2</v>
          </cell>
          <cell r="D1500" t="str">
            <v>VASQUEZ ORJUELA DIANA CAROLINA</v>
          </cell>
          <cell r="E1500" t="str">
            <v>FPS310002</v>
          </cell>
          <cell r="F1500">
            <v>44</v>
          </cell>
          <cell r="G1500">
            <v>30</v>
          </cell>
          <cell r="H1500" t="str">
            <v>DIANA.VASQUEZ@UTALCA.CL</v>
          </cell>
        </row>
        <row r="1501">
          <cell r="B1501">
            <v>23576040</v>
          </cell>
          <cell r="C1501">
            <v>1</v>
          </cell>
          <cell r="D1501" t="str">
            <v>VASQUEZ RIFO ELISA</v>
          </cell>
          <cell r="E1501" t="str">
            <v>IMF300001</v>
          </cell>
          <cell r="F1501">
            <v>22</v>
          </cell>
          <cell r="G1501">
            <v>30</v>
          </cell>
          <cell r="H1501" t="str">
            <v>ELVASQUEZ@UTALCA.CL</v>
          </cell>
        </row>
        <row r="1502">
          <cell r="B1502">
            <v>23576112</v>
          </cell>
          <cell r="C1502">
            <v>2</v>
          </cell>
          <cell r="D1502" t="str">
            <v>GRIFFETH . STEPHEN</v>
          </cell>
          <cell r="E1502" t="str">
            <v>IMF300001</v>
          </cell>
          <cell r="F1502">
            <v>44</v>
          </cell>
          <cell r="G1502">
            <v>30</v>
          </cell>
          <cell r="H1502" t="str">
            <v>SGRIFFETH@UTALCA.CL</v>
          </cell>
        </row>
        <row r="1503">
          <cell r="B1503">
            <v>23713147</v>
          </cell>
          <cell r="C1503">
            <v>9</v>
          </cell>
          <cell r="D1503" t="str">
            <v>AMALRAJ . JOHN</v>
          </cell>
          <cell r="E1503" t="str">
            <v>IQR300001</v>
          </cell>
          <cell r="F1503">
            <v>44</v>
          </cell>
          <cell r="G1503">
            <v>30</v>
          </cell>
          <cell r="H1503" t="str">
            <v>JAMALRAJ@UTALCA.CL</v>
          </cell>
        </row>
        <row r="1504">
          <cell r="B1504">
            <v>23748913</v>
          </cell>
          <cell r="C1504">
            <v>6</v>
          </cell>
          <cell r="D1504" t="str">
            <v>GREEN . GEMMA LOUISE</v>
          </cell>
          <cell r="E1504" t="str">
            <v>VRF400008</v>
          </cell>
          <cell r="F1504">
            <v>44</v>
          </cell>
          <cell r="G1504">
            <v>30</v>
          </cell>
          <cell r="H1504" t="str">
            <v>GGREEN@UTALCA.CL</v>
          </cell>
        </row>
        <row r="1505">
          <cell r="B1505">
            <v>24035057</v>
          </cell>
          <cell r="C1505">
            <v>2</v>
          </cell>
          <cell r="D1505" t="str">
            <v>URIBE VELEZ LINA MARCELA</v>
          </cell>
          <cell r="E1505" t="str">
            <v>FCI310003</v>
          </cell>
          <cell r="F1505">
            <v>44</v>
          </cell>
          <cell r="G1505">
            <v>30</v>
          </cell>
          <cell r="H1505" t="str">
            <v>LURIBE@UTALCA.CL</v>
          </cell>
        </row>
        <row r="1506">
          <cell r="B1506">
            <v>24069167</v>
          </cell>
          <cell r="C1506">
            <v>1</v>
          </cell>
          <cell r="D1506" t="str">
            <v>FELDMAN . ANA ESTHER</v>
          </cell>
          <cell r="E1506" t="str">
            <v>VDE400002</v>
          </cell>
          <cell r="F1506">
            <v>33</v>
          </cell>
          <cell r="G1506">
            <v>30</v>
          </cell>
          <cell r="H1506" t="str">
            <v>AESTHER@UTALCA.CL</v>
          </cell>
        </row>
        <row r="1507">
          <cell r="B1507">
            <v>24083652</v>
          </cell>
          <cell r="C1507">
            <v>1</v>
          </cell>
          <cell r="D1507" t="str">
            <v>LAMOTTE . DORIAN</v>
          </cell>
          <cell r="E1507" t="str">
            <v>FAD310004</v>
          </cell>
          <cell r="F1507">
            <v>26</v>
          </cell>
          <cell r="G1507">
            <v>30</v>
          </cell>
          <cell r="H1507" t="str">
            <v>DORIAN.LAMOTTE@UTALCA.CL</v>
          </cell>
        </row>
        <row r="1508">
          <cell r="B1508">
            <v>24104366</v>
          </cell>
          <cell r="C1508">
            <v>5</v>
          </cell>
          <cell r="D1508" t="str">
            <v>PEREZ DANIEL ALEJANDRO IVAN</v>
          </cell>
          <cell r="E1508" t="str">
            <v>IAM300001</v>
          </cell>
          <cell r="F1508">
            <v>44</v>
          </cell>
          <cell r="G1508">
            <v>30</v>
          </cell>
          <cell r="H1508" t="str">
            <v>IPEREZ@UTALCA.CL</v>
          </cell>
        </row>
        <row r="1509">
          <cell r="B1509">
            <v>24118408</v>
          </cell>
          <cell r="C1509">
            <v>0</v>
          </cell>
          <cell r="D1509" t="str">
            <v>FORERO DORIA OSCAR JAVIER</v>
          </cell>
          <cell r="E1509" t="str">
            <v>VAC400024</v>
          </cell>
          <cell r="F1509">
            <v>44</v>
          </cell>
          <cell r="G1509">
            <v>30</v>
          </cell>
          <cell r="H1509" t="str">
            <v/>
          </cell>
        </row>
        <row r="1510">
          <cell r="B1510">
            <v>24130471</v>
          </cell>
          <cell r="C1510" t="str">
            <v>K</v>
          </cell>
          <cell r="D1510" t="str">
            <v>PLATA GARNICA CAROLINA</v>
          </cell>
          <cell r="E1510" t="str">
            <v>VGE400008</v>
          </cell>
          <cell r="F1510">
            <v>44</v>
          </cell>
          <cell r="G1510">
            <v>30</v>
          </cell>
          <cell r="H1510" t="str">
            <v>CPLATA@UTALCA.CL</v>
          </cell>
        </row>
        <row r="1511">
          <cell r="B1511">
            <v>24571154</v>
          </cell>
          <cell r="C1511">
            <v>9</v>
          </cell>
          <cell r="D1511" t="str">
            <v>RIVAS VALLECILLO DANIELA SVEET</v>
          </cell>
          <cell r="E1511" t="str">
            <v/>
          </cell>
          <cell r="F1511">
            <v>44</v>
          </cell>
          <cell r="G1511">
            <v>30</v>
          </cell>
          <cell r="H1511" t="str">
            <v>DRIVAS@UTALCA.CL</v>
          </cell>
        </row>
        <row r="1512">
          <cell r="B1512">
            <v>24603387</v>
          </cell>
          <cell r="C1512">
            <v>0</v>
          </cell>
          <cell r="D1512" t="str">
            <v>DOMINGUEZ SANTOS DAVID JESUS</v>
          </cell>
          <cell r="E1512" t="str">
            <v>FCI320005</v>
          </cell>
          <cell r="F1512">
            <v>44</v>
          </cell>
          <cell r="G1512">
            <v>30</v>
          </cell>
          <cell r="H1512" t="str">
            <v>DDOMINGUEZ@UTALCA.CL</v>
          </cell>
        </row>
        <row r="1513">
          <cell r="B1513">
            <v>24615440</v>
          </cell>
          <cell r="C1513">
            <v>6</v>
          </cell>
          <cell r="D1513" t="str">
            <v>RIEDELSBERGER . JANIN</v>
          </cell>
          <cell r="E1513" t="str">
            <v>FCI320001</v>
          </cell>
          <cell r="F1513">
            <v>44</v>
          </cell>
          <cell r="G1513">
            <v>30</v>
          </cell>
          <cell r="H1513" t="str">
            <v>JRIEDELSBERGER@UTALCA.CL</v>
          </cell>
        </row>
        <row r="1514">
          <cell r="B1514">
            <v>24780035</v>
          </cell>
          <cell r="C1514">
            <v>2</v>
          </cell>
          <cell r="D1514" t="str">
            <v>RESTREPO PATIÑO CARLOS ALBERTO</v>
          </cell>
          <cell r="E1514" t="str">
            <v>FCI320007</v>
          </cell>
          <cell r="F1514">
            <v>44</v>
          </cell>
          <cell r="G1514">
            <v>30</v>
          </cell>
          <cell r="H1514" t="str">
            <v>CRESTREPO@UTALCA.CL</v>
          </cell>
        </row>
        <row r="1515">
          <cell r="B1515">
            <v>24862567</v>
          </cell>
          <cell r="C1515">
            <v>8</v>
          </cell>
          <cell r="D1515" t="str">
            <v>DREYER . INGO</v>
          </cell>
          <cell r="E1515" t="str">
            <v>FCI320001</v>
          </cell>
          <cell r="F1515">
            <v>44</v>
          </cell>
          <cell r="G1515">
            <v>30</v>
          </cell>
          <cell r="H1515" t="str">
            <v>IDREYER@UTALCA.CL</v>
          </cell>
        </row>
        <row r="1516">
          <cell r="B1516">
            <v>24923842</v>
          </cell>
          <cell r="C1516">
            <v>2</v>
          </cell>
          <cell r="D1516" t="str">
            <v>PERERA SARDIÑA YUNIER</v>
          </cell>
          <cell r="E1516" t="str">
            <v>FCS320007</v>
          </cell>
          <cell r="F1516">
            <v>44</v>
          </cell>
          <cell r="G1516">
            <v>30</v>
          </cell>
          <cell r="H1516" t="str">
            <v>YUNIER.PERERA@UTALCA.CL</v>
          </cell>
        </row>
        <row r="1517">
          <cell r="B1517">
            <v>25130888</v>
          </cell>
          <cell r="C1517">
            <v>8</v>
          </cell>
          <cell r="D1517" t="str">
            <v>GUTIERREZ RAMIREZ GONZALO JOSE</v>
          </cell>
          <cell r="E1517" t="str">
            <v>FAM320002</v>
          </cell>
          <cell r="F1517">
            <v>28</v>
          </cell>
          <cell r="G1517">
            <v>30</v>
          </cell>
          <cell r="H1517" t="str">
            <v>GOGUTIERREZ@UTALCA.CL</v>
          </cell>
        </row>
        <row r="1518">
          <cell r="B1518">
            <v>25184028</v>
          </cell>
          <cell r="C1518">
            <v>8</v>
          </cell>
          <cell r="D1518" t="str">
            <v>COOPER . MICHAEL BRET</v>
          </cell>
          <cell r="E1518" t="str">
            <v>FAD310004</v>
          </cell>
          <cell r="F1518">
            <v>44</v>
          </cell>
          <cell r="G1518">
            <v>30</v>
          </cell>
          <cell r="H1518" t="str">
            <v>MCOOPER@UTALCA.CL</v>
          </cell>
        </row>
        <row r="1519">
          <cell r="B1519">
            <v>25186883</v>
          </cell>
          <cell r="C1519">
            <v>2</v>
          </cell>
          <cell r="D1519" t="str">
            <v>ARELLANO SANCHEZ ANTONIO JOSE</v>
          </cell>
          <cell r="E1519" t="str">
            <v>FAM310001</v>
          </cell>
          <cell r="F1519">
            <v>22</v>
          </cell>
          <cell r="G1519">
            <v>30</v>
          </cell>
          <cell r="H1519" t="str">
            <v>ANTONIO.ARELLANO@UTALCA.CL</v>
          </cell>
        </row>
        <row r="1520">
          <cell r="B1520">
            <v>25349827</v>
          </cell>
          <cell r="C1520">
            <v>7</v>
          </cell>
          <cell r="D1520" t="str">
            <v>CUBILLAN PEDRAÑEZ KERLY CAROLI</v>
          </cell>
          <cell r="E1520" t="str">
            <v>FAM320002</v>
          </cell>
          <cell r="F1520">
            <v>22</v>
          </cell>
          <cell r="G1520">
            <v>30</v>
          </cell>
          <cell r="H1520" t="str">
            <v>KERLY.CUBILLAN@UTALCA.CL</v>
          </cell>
        </row>
        <row r="1521">
          <cell r="B1521">
            <v>25369222</v>
          </cell>
          <cell r="C1521">
            <v>7</v>
          </cell>
          <cell r="D1521" t="str">
            <v>NUNES BOTELHO JULIANA</v>
          </cell>
          <cell r="E1521" t="str">
            <v>FOD320003</v>
          </cell>
          <cell r="F1521">
            <v>44</v>
          </cell>
          <cell r="G1521">
            <v>30</v>
          </cell>
          <cell r="H1521" t="str">
            <v>JBOTELHO@UTALCA.CL</v>
          </cell>
        </row>
        <row r="1522">
          <cell r="B1522">
            <v>25503818</v>
          </cell>
          <cell r="C1522">
            <v>4</v>
          </cell>
          <cell r="D1522" t="str">
            <v>WONG . IENG WAI</v>
          </cell>
          <cell r="E1522" t="str">
            <v>FAD310004</v>
          </cell>
          <cell r="F1522">
            <v>44</v>
          </cell>
          <cell r="G1522">
            <v>30</v>
          </cell>
          <cell r="H1522" t="str">
            <v>IWONG@UTALCA.CL</v>
          </cell>
        </row>
        <row r="1523">
          <cell r="B1523">
            <v>25573796</v>
          </cell>
          <cell r="C1523">
            <v>1</v>
          </cell>
          <cell r="D1523" t="str">
            <v>CORREA PLATA BELKYS ITHAMAR</v>
          </cell>
          <cell r="E1523" t="str">
            <v>FOD320001</v>
          </cell>
          <cell r="F1523">
            <v>18</v>
          </cell>
          <cell r="G1523">
            <v>30</v>
          </cell>
          <cell r="H1523" t="str">
            <v>BCORREA@UTALCA.CL</v>
          </cell>
        </row>
        <row r="1524">
          <cell r="B1524">
            <v>25670512</v>
          </cell>
          <cell r="C1524">
            <v>5</v>
          </cell>
          <cell r="D1524" t="str">
            <v>MACHADO BOSCAN DAYANA COROMOTO</v>
          </cell>
          <cell r="E1524" t="str">
            <v>FAM320002</v>
          </cell>
          <cell r="F1524">
            <v>28</v>
          </cell>
          <cell r="G1524">
            <v>30</v>
          </cell>
          <cell r="H1524" t="str">
            <v>DMACHADO@UTALCA.CL</v>
          </cell>
        </row>
        <row r="1525">
          <cell r="B1525">
            <v>25728350</v>
          </cell>
          <cell r="C1525" t="str">
            <v>K</v>
          </cell>
          <cell r="D1525" t="str">
            <v>SALGUEIRO SICILIA YAMISLEYDI</v>
          </cell>
          <cell r="E1525" t="str">
            <v>FCI320002</v>
          </cell>
          <cell r="F1525">
            <v>44</v>
          </cell>
          <cell r="G1525">
            <v>30</v>
          </cell>
          <cell r="H1525" t="str">
            <v>YSALGUEIRO@UTALCA.CL</v>
          </cell>
        </row>
        <row r="1526">
          <cell r="B1526">
            <v>25770135</v>
          </cell>
          <cell r="C1526">
            <v>2</v>
          </cell>
          <cell r="D1526" t="str">
            <v>RODRIGUEZ PEREZ LYANNE</v>
          </cell>
          <cell r="E1526" t="str">
            <v>VAC400024</v>
          </cell>
          <cell r="F1526">
            <v>44</v>
          </cell>
          <cell r="G1526">
            <v>30</v>
          </cell>
          <cell r="H1526" t="str">
            <v>LYRODRIGUEZ@UTALCA.CL</v>
          </cell>
        </row>
        <row r="1527">
          <cell r="B1527">
            <v>25789488</v>
          </cell>
          <cell r="C1527">
            <v>6</v>
          </cell>
          <cell r="D1527" t="str">
            <v>PEREZ TERAN DANIEL DARIO</v>
          </cell>
          <cell r="E1527" t="str">
            <v>ADC021005</v>
          </cell>
          <cell r="F1527">
            <v>44</v>
          </cell>
          <cell r="G1527">
            <v>30</v>
          </cell>
          <cell r="H1527" t="str">
            <v>DANIELPEREZ@UTALCA.CL</v>
          </cell>
        </row>
        <row r="1528">
          <cell r="B1528">
            <v>25911148</v>
          </cell>
          <cell r="C1528" t="str">
            <v>K</v>
          </cell>
          <cell r="D1528" t="str">
            <v>PAGUA ROJAS FRAYMAR GERALDINE</v>
          </cell>
          <cell r="E1528" t="str">
            <v/>
          </cell>
          <cell r="F1528">
            <v>44</v>
          </cell>
          <cell r="G1528">
            <v>30</v>
          </cell>
          <cell r="H1528" t="str">
            <v>FRAYMAR.PAGUA@UTALCA.CL</v>
          </cell>
        </row>
        <row r="1529">
          <cell r="B1529">
            <v>25944987</v>
          </cell>
          <cell r="C1529">
            <v>1</v>
          </cell>
          <cell r="D1529" t="str">
            <v>KOLLMAR . KATHRIN AGNES</v>
          </cell>
          <cell r="E1529" t="str">
            <v>VRF400008</v>
          </cell>
          <cell r="F1529">
            <v>44</v>
          </cell>
          <cell r="G1529">
            <v>30</v>
          </cell>
          <cell r="H1529" t="str">
            <v>KATHRIN.KOLLMAR@UTALCA.CL</v>
          </cell>
        </row>
        <row r="1530">
          <cell r="B1530">
            <v>26005381</v>
          </cell>
          <cell r="C1530">
            <v>7</v>
          </cell>
          <cell r="D1530" t="str">
            <v>PEREZ GUZMAN RICARDO ENRIQUE</v>
          </cell>
          <cell r="E1530" t="str">
            <v>FCI320003</v>
          </cell>
          <cell r="F1530">
            <v>44</v>
          </cell>
          <cell r="G1530">
            <v>30</v>
          </cell>
          <cell r="H1530" t="str">
            <v>RIPEREZ@UTALCA.CL</v>
          </cell>
        </row>
        <row r="1531">
          <cell r="B1531">
            <v>26036914</v>
          </cell>
          <cell r="C1531">
            <v>8</v>
          </cell>
          <cell r="D1531" t="str">
            <v>SOLIS AÑEZ ERNESTO ADRIAN</v>
          </cell>
          <cell r="E1531" t="str">
            <v>FAM200001</v>
          </cell>
          <cell r="F1531">
            <v>44</v>
          </cell>
          <cell r="G1531">
            <v>30</v>
          </cell>
          <cell r="H1531" t="str">
            <v>ESOLIS@UTALCA.CL</v>
          </cell>
        </row>
        <row r="1532">
          <cell r="B1532">
            <v>26340509</v>
          </cell>
          <cell r="C1532">
            <v>9</v>
          </cell>
          <cell r="D1532" t="str">
            <v>CENTENO DUBEN MARCO EMILIO</v>
          </cell>
          <cell r="E1532" t="str">
            <v>VRF400062</v>
          </cell>
          <cell r="F1532">
            <v>44</v>
          </cell>
          <cell r="G1532">
            <v>30</v>
          </cell>
          <cell r="H1532" t="str">
            <v>MARCO.CENTENO@UTALCA.CL</v>
          </cell>
        </row>
        <row r="1533">
          <cell r="B1533">
            <v>26545610</v>
          </cell>
          <cell r="C1533">
            <v>3</v>
          </cell>
          <cell r="D1533" t="str">
            <v>ARRIETA PINEDA JOHANA</v>
          </cell>
          <cell r="E1533" t="str">
            <v>ADC021004</v>
          </cell>
          <cell r="F1533">
            <v>44</v>
          </cell>
          <cell r="G1533">
            <v>30</v>
          </cell>
          <cell r="H1533" t="str">
            <v>JOHANA.ARRIETA@UTALCA.CL</v>
          </cell>
        </row>
        <row r="1534">
          <cell r="B1534">
            <v>26749386</v>
          </cell>
          <cell r="C1534">
            <v>3</v>
          </cell>
          <cell r="D1534" t="str">
            <v>JUMBO PACHECO PABLO XAVIER</v>
          </cell>
          <cell r="E1534" t="str">
            <v>FCI320008</v>
          </cell>
          <cell r="F1534">
            <v>33</v>
          </cell>
          <cell r="G1534">
            <v>30</v>
          </cell>
          <cell r="H1534" t="str">
            <v>PABLO.JUMBO@UTALCA.CL</v>
          </cell>
        </row>
        <row r="1535">
          <cell r="B1535">
            <v>26790953</v>
          </cell>
          <cell r="C1535">
            <v>9</v>
          </cell>
          <cell r="D1535" t="str">
            <v>SANCHEZ MUSTELLER YAIMA</v>
          </cell>
          <cell r="E1535" t="str">
            <v/>
          </cell>
          <cell r="F1535">
            <v>44</v>
          </cell>
          <cell r="G1535">
            <v>30</v>
          </cell>
          <cell r="H1535" t="str">
            <v>YAIMA.MUSTELIER@UTALCA.CL</v>
          </cell>
        </row>
        <row r="1536">
          <cell r="B1536">
            <v>26878389</v>
          </cell>
          <cell r="C1536" t="str">
            <v>K</v>
          </cell>
          <cell r="D1536" t="str">
            <v>RIOBUENO MARTINEZ LEAFAR ANTON</v>
          </cell>
          <cell r="E1536" t="str">
            <v>FAD310004</v>
          </cell>
          <cell r="F1536">
            <v>44</v>
          </cell>
          <cell r="G1536">
            <v>30</v>
          </cell>
          <cell r="H1536" t="str">
            <v>LEAFAR.RIOBUENO@UTALCA.CL</v>
          </cell>
        </row>
        <row r="1537">
          <cell r="B1537">
            <v>27527140</v>
          </cell>
          <cell r="C1537">
            <v>3</v>
          </cell>
          <cell r="D1537" t="str">
            <v>LUCENA BARBOZA FERNANDO JOSE</v>
          </cell>
          <cell r="E1537" t="str">
            <v>ADC030112</v>
          </cell>
          <cell r="F1537">
            <v>44</v>
          </cell>
          <cell r="G1537">
            <v>30</v>
          </cell>
          <cell r="H1537" t="str">
            <v>FERNANDO.LUCENA@UTALCA.CL</v>
          </cell>
        </row>
        <row r="1538">
          <cell r="B1538">
            <v>27613744</v>
          </cell>
          <cell r="C1538">
            <v>1</v>
          </cell>
          <cell r="D1538" t="str">
            <v>MICHARD . ERWAN</v>
          </cell>
          <cell r="E1538" t="str">
            <v>ICB300001</v>
          </cell>
          <cell r="F1538">
            <v>44</v>
          </cell>
          <cell r="G1538">
            <v>30</v>
          </cell>
          <cell r="H1538" t="str">
            <v>ERWAN.MICHARD@UTALCA.CL</v>
          </cell>
        </row>
        <row r="1539">
          <cell r="B1539">
            <v>27846683</v>
          </cell>
          <cell r="C1539">
            <v>3</v>
          </cell>
          <cell r="D1539" t="str">
            <v>DUQUE FRANCO JORGE ARMANDO</v>
          </cell>
          <cell r="E1539" t="str">
            <v>VAC400024</v>
          </cell>
          <cell r="F1539">
            <v>44</v>
          </cell>
          <cell r="G1539">
            <v>30</v>
          </cell>
          <cell r="H1539" t="str">
            <v/>
          </cell>
        </row>
        <row r="1540">
          <cell r="B1540">
            <v>28260228</v>
          </cell>
          <cell r="C1540">
            <v>8</v>
          </cell>
          <cell r="D1540" t="str">
            <v>BAKHSHI  ELHAM</v>
          </cell>
          <cell r="E1540" t="str">
            <v>FCI320008</v>
          </cell>
          <cell r="F1540">
            <v>33</v>
          </cell>
          <cell r="G1540">
            <v>30</v>
          </cell>
          <cell r="H1540" t="str">
            <v>ELHAM.BAKHSHI@UTALCA.CL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 refreshError="1">
        <row r="1">
          <cell r="A1" t="str">
            <v>Número de personal</v>
          </cell>
          <cell r="B1" t="str">
            <v>RUT</v>
          </cell>
          <cell r="C1" t="str">
            <v>DV</v>
          </cell>
          <cell r="D1" t="str">
            <v>NOMBRE</v>
          </cell>
          <cell r="E1" t="str">
            <v>CENTRO COSTO BASE</v>
          </cell>
          <cell r="F1" t="str">
            <v>HORAS</v>
          </cell>
          <cell r="G1" t="str">
            <v>Días trabajados</v>
          </cell>
          <cell r="H1" t="str">
            <v>EMAIL</v>
          </cell>
          <cell r="I1" t="str">
            <v>FEC. PRIMER NOMB.</v>
          </cell>
          <cell r="J1" t="str">
            <v>FEC. TÉR. NOMB. VIG</v>
          </cell>
          <cell r="K1" t="str">
            <v>TIPO CONTRATO</v>
          </cell>
          <cell r="L1" t="str">
            <v>CAT-ACAD_FAM-PERF</v>
          </cell>
          <cell r="M1" t="str">
            <v>ESTAMENTO</v>
          </cell>
          <cell r="N1" t="str">
            <v>GRADO</v>
          </cell>
          <cell r="O1" t="str">
            <v>GRADO ACADÉMICO</v>
          </cell>
          <cell r="P1" t="str">
            <v>FORMACIÓN</v>
          </cell>
          <cell r="Q1" t="str">
            <v>SEDE</v>
          </cell>
          <cell r="R1" t="str">
            <v>DIVISIÓN SUPERIOR</v>
          </cell>
          <cell r="S1" t="str">
            <v>UNIDAD DE PERTENENCIA</v>
          </cell>
        </row>
        <row r="2">
          <cell r="A2">
            <v>5136315</v>
          </cell>
          <cell r="B2" t="str">
            <v>5136315</v>
          </cell>
          <cell r="C2" t="str">
            <v>9</v>
          </cell>
          <cell r="D2" t="str">
            <v>HERNANDEZ EMPARANZA DOMINGO</v>
          </cell>
          <cell r="E2" t="str">
            <v>FCJ320003</v>
          </cell>
          <cell r="F2">
            <v>12</v>
          </cell>
          <cell r="G2">
            <v>30</v>
          </cell>
          <cell r="H2" t="str">
            <v>DOHERNANDEZ@UTALCA.CL</v>
          </cell>
          <cell r="I2">
            <v>38061</v>
          </cell>
          <cell r="J2">
            <v>46446</v>
          </cell>
          <cell r="K2" t="str">
            <v>CONTRATA</v>
          </cell>
          <cell r="L2" t="str">
            <v>CA DOCENTE</v>
          </cell>
          <cell r="M2" t="str">
            <v>INSTRUCTOR</v>
          </cell>
          <cell r="N2" t="str">
            <v>GRADO D</v>
          </cell>
          <cell r="O2" t="str">
            <v>DOCTORADO</v>
          </cell>
          <cell r="P2" t="str">
            <v>DOCTOR EN DERECHO</v>
          </cell>
          <cell r="Q2" t="str">
            <v>SANTIAGO</v>
          </cell>
          <cell r="R2" t="str">
            <v>FACULTAD CIENCIAS JURÍDICAS Y SOCIALES</v>
          </cell>
          <cell r="S2" t="str">
            <v>DEPARTAMENTO DE DERECHO PÚBLICO</v>
          </cell>
        </row>
        <row r="3">
          <cell r="A3">
            <v>5251036</v>
          </cell>
          <cell r="B3" t="str">
            <v>5251036</v>
          </cell>
          <cell r="C3" t="str">
            <v>8</v>
          </cell>
          <cell r="D3" t="str">
            <v>BIEL MELGAREJO RODRIGO FRANCIS</v>
          </cell>
          <cell r="E3" t="str">
            <v>FCJ320001</v>
          </cell>
          <cell r="F3">
            <v>12</v>
          </cell>
          <cell r="G3">
            <v>30</v>
          </cell>
          <cell r="H3" t="str">
            <v>RBIEL@UTALCA.CL</v>
          </cell>
          <cell r="I3">
            <v>37681</v>
          </cell>
          <cell r="J3">
            <v>46446</v>
          </cell>
          <cell r="K3" t="str">
            <v>CONTRATA</v>
          </cell>
          <cell r="L3" t="str">
            <v>CA DOCENTE</v>
          </cell>
          <cell r="M3" t="str">
            <v>INSTRUCTOR</v>
          </cell>
          <cell r="N3" t="str">
            <v>GRADO D</v>
          </cell>
          <cell r="O3" t="str">
            <v>MAGISTER</v>
          </cell>
          <cell r="P3" t="str">
            <v>MAGISTER EN DERECHO</v>
          </cell>
          <cell r="Q3" t="str">
            <v>TALCA</v>
          </cell>
          <cell r="R3" t="str">
            <v>FACULTAD CIENCIAS JURÍDICAS Y SOCIALES</v>
          </cell>
          <cell r="S3" t="str">
            <v>DPTO. DERECHO PENAL PROCESAL Y  TRABAJO</v>
          </cell>
        </row>
        <row r="4">
          <cell r="A4">
            <v>5479823</v>
          </cell>
          <cell r="B4" t="str">
            <v>05479823</v>
          </cell>
          <cell r="C4" t="str">
            <v>7</v>
          </cell>
          <cell r="D4" t="str">
            <v>GARCIA MOYA MARIA DEL PILAR</v>
          </cell>
          <cell r="E4" t="str">
            <v>FCS310007</v>
          </cell>
          <cell r="F4">
            <v>44</v>
          </cell>
          <cell r="G4">
            <v>30</v>
          </cell>
          <cell r="H4" t="str">
            <v>MARIAGARCIA@UTALCA.CL</v>
          </cell>
          <cell r="I4">
            <v>43466</v>
          </cell>
          <cell r="J4">
            <v>46812</v>
          </cell>
          <cell r="K4" t="str">
            <v>CONTRATA</v>
          </cell>
          <cell r="L4" t="str">
            <v>CA DOCENTE</v>
          </cell>
          <cell r="M4" t="str">
            <v>INSTRUCTOR</v>
          </cell>
          <cell r="N4" t="str">
            <v>GRADO D</v>
          </cell>
          <cell r="O4" t="str">
            <v>MAGISTER</v>
          </cell>
          <cell r="P4" t="str">
            <v>MAGÍSTER EN SALUD FAMILIAR</v>
          </cell>
          <cell r="Q4" t="str">
            <v>TALCA</v>
          </cell>
          <cell r="R4" t="str">
            <v>FACULTAD DE CIENCIAS DE LA SALUD</v>
          </cell>
          <cell r="S4" t="str">
            <v>ESCUELA DE OBSTETRICIA Y PUERICULTURA</v>
          </cell>
        </row>
        <row r="5">
          <cell r="A5">
            <v>5613607</v>
          </cell>
          <cell r="B5" t="str">
            <v>05613607</v>
          </cell>
          <cell r="C5" t="str">
            <v>K</v>
          </cell>
          <cell r="D5" t="str">
            <v>AGUIRRE GONZALEZ MEDARDO JUAN</v>
          </cell>
          <cell r="E5" t="str">
            <v>FEN310003</v>
          </cell>
          <cell r="F5">
            <v>11</v>
          </cell>
          <cell r="G5">
            <v>30</v>
          </cell>
          <cell r="H5" t="str">
            <v>MAGUIRRE@UTALCA.CL</v>
          </cell>
          <cell r="I5">
            <v>34400</v>
          </cell>
          <cell r="J5">
            <v>46446</v>
          </cell>
          <cell r="K5" t="str">
            <v>CONTRATA</v>
          </cell>
          <cell r="L5" t="str">
            <v>CA DOCENTE</v>
          </cell>
          <cell r="M5" t="str">
            <v>INSTRUCTOR</v>
          </cell>
          <cell r="N5" t="str">
            <v>GRADO D</v>
          </cell>
          <cell r="O5" t="str">
            <v>MAGISTER</v>
          </cell>
          <cell r="P5" t="str">
            <v>MASTER EN ESTADÍSTICA MATEMÁTICA</v>
          </cell>
          <cell r="Q5" t="str">
            <v>SANTIAGO</v>
          </cell>
          <cell r="R5" t="str">
            <v>FACULTAD DE ECONOMÍA Y NEGOCIOS</v>
          </cell>
          <cell r="S5" t="str">
            <v>ESC. DE INGENIERÍA COMERCIAL DE SANTIAGO</v>
          </cell>
        </row>
        <row r="6">
          <cell r="A6">
            <v>5674705</v>
          </cell>
          <cell r="B6" t="str">
            <v>5674705</v>
          </cell>
          <cell r="C6" t="str">
            <v>2</v>
          </cell>
          <cell r="D6" t="str">
            <v>ZAMORANO PEREZ PEDRO EMILIO</v>
          </cell>
          <cell r="E6" t="str">
            <v>IAM300001</v>
          </cell>
          <cell r="F6">
            <v>44</v>
          </cell>
          <cell r="G6">
            <v>30</v>
          </cell>
          <cell r="H6" t="str">
            <v>PZAMOPER@UTALCA.CL</v>
          </cell>
          <cell r="I6">
            <v>29068</v>
          </cell>
          <cell r="J6">
            <v>2958465</v>
          </cell>
          <cell r="K6" t="str">
            <v>PLANTA</v>
          </cell>
          <cell r="L6" t="str">
            <v>CA ORDINARIA</v>
          </cell>
          <cell r="M6" t="str">
            <v>PROFESOR TITULAR</v>
          </cell>
          <cell r="N6" t="str">
            <v>GRADO A</v>
          </cell>
          <cell r="O6" t="str">
            <v>DOCTORADO</v>
          </cell>
          <cell r="P6" t="str">
            <v>DOCTOR EN HISTORIA DEL ARTE</v>
          </cell>
          <cell r="Q6" t="str">
            <v>TALCA</v>
          </cell>
          <cell r="R6" t="str">
            <v>INST. ESTUDIOS HUMANÍSTICOS ABATE J.I.M.</v>
          </cell>
          <cell r="S6" t="str">
            <v>INST. ESTUDIOS HUMANÍSTICOS ABATE J.I.M.</v>
          </cell>
        </row>
        <row r="7">
          <cell r="A7">
            <v>5796149</v>
          </cell>
          <cell r="B7" t="str">
            <v>05796149</v>
          </cell>
          <cell r="C7" t="str">
            <v>K</v>
          </cell>
          <cell r="D7" t="str">
            <v>CATALAN BARAHONA CARLOS EDUARD</v>
          </cell>
          <cell r="E7" t="str">
            <v>ADC040001</v>
          </cell>
          <cell r="F7">
            <v>44</v>
          </cell>
          <cell r="G7">
            <v>30</v>
          </cell>
          <cell r="H7" t="str">
            <v>CCATALAN@UTALCA.CL</v>
          </cell>
          <cell r="I7">
            <v>43160</v>
          </cell>
          <cell r="J7">
            <v>46446</v>
          </cell>
          <cell r="K7" t="str">
            <v>CONTRATA</v>
          </cell>
          <cell r="L7" t="str">
            <v>CA DOCENTE</v>
          </cell>
          <cell r="M7" t="str">
            <v>INSTRUCTOR</v>
          </cell>
          <cell r="N7" t="str">
            <v>GRADO D</v>
          </cell>
          <cell r="O7" t="str">
            <v>MAGISTER</v>
          </cell>
          <cell r="P7" t="str">
            <v>MAGISTER EN ADMINISTRACIÓN DE EMPRESAS</v>
          </cell>
          <cell r="Q7" t="str">
            <v>COLCHAGUA</v>
          </cell>
          <cell r="R7" t="str">
            <v>DIRECCIÓN DE SEDE SANTA CRUZ</v>
          </cell>
          <cell r="S7" t="str">
            <v>DIRECCIÓN DE SEDE SANTA CRUZ</v>
          </cell>
        </row>
        <row r="8">
          <cell r="A8">
            <v>6318541</v>
          </cell>
          <cell r="B8" t="str">
            <v>6318541</v>
          </cell>
          <cell r="C8" t="str">
            <v>8</v>
          </cell>
          <cell r="D8" t="str">
            <v>MOGGIA LUCCHINI CLAUDIA ELIANA</v>
          </cell>
          <cell r="E8" t="str">
            <v>FCA320002</v>
          </cell>
          <cell r="F8">
            <v>44</v>
          </cell>
          <cell r="G8">
            <v>30</v>
          </cell>
          <cell r="H8" t="str">
            <v>CMOGGIA@UTALCA.CL</v>
          </cell>
          <cell r="I8">
            <v>32436</v>
          </cell>
          <cell r="J8">
            <v>2958465</v>
          </cell>
          <cell r="K8" t="str">
            <v>PLANTA</v>
          </cell>
          <cell r="L8" t="str">
            <v>CA ORDINARIA</v>
          </cell>
          <cell r="M8" t="str">
            <v>PROFESOR ASOCIADO</v>
          </cell>
          <cell r="N8" t="str">
            <v>GRADO B</v>
          </cell>
          <cell r="O8" t="str">
            <v>DOCTORADO</v>
          </cell>
          <cell r="P8" t="str">
            <v>DOCTORADO EN CIENCIA Y TECNOLOGÍA AGRARIA Y A</v>
          </cell>
          <cell r="Q8" t="str">
            <v>TALCA</v>
          </cell>
          <cell r="R8" t="str">
            <v>FACULTAD DE CIENCIAS AGRARIAS</v>
          </cell>
          <cell r="S8" t="str">
            <v>DEPARTAMENTO DE HORTICULTURA</v>
          </cell>
        </row>
        <row r="9">
          <cell r="A9">
            <v>6337704</v>
          </cell>
          <cell r="B9" t="str">
            <v>6337704</v>
          </cell>
          <cell r="C9" t="str">
            <v>K</v>
          </cell>
          <cell r="D9" t="str">
            <v>GONZALEZ GARCIA HERNAN FERNAND</v>
          </cell>
          <cell r="E9" t="str">
            <v>FCJ320001</v>
          </cell>
          <cell r="F9">
            <v>8</v>
          </cell>
          <cell r="G9">
            <v>30</v>
          </cell>
          <cell r="H9" t="str">
            <v>HGONZALE@UTALCA.CL</v>
          </cell>
          <cell r="I9">
            <v>37681</v>
          </cell>
          <cell r="J9">
            <v>46446</v>
          </cell>
          <cell r="K9" t="str">
            <v>CONTRATA</v>
          </cell>
          <cell r="L9" t="str">
            <v>CA DOCENTE</v>
          </cell>
          <cell r="M9" t="str">
            <v>INSTRUCTOR</v>
          </cell>
          <cell r="N9" t="str">
            <v>GRADO D</v>
          </cell>
          <cell r="O9" t="str">
            <v>MAGISTER</v>
          </cell>
          <cell r="P9" t="str">
            <v>MAGISTER EN DERECHO JUDICIAL</v>
          </cell>
          <cell r="Q9" t="str">
            <v>TALCA</v>
          </cell>
          <cell r="R9" t="str">
            <v>FACULTAD CIENCIAS JURÍDICAS Y SOCIALES</v>
          </cell>
          <cell r="S9" t="str">
            <v>DPTO. DERECHO PENAL PROCESAL Y  TRABAJO</v>
          </cell>
        </row>
        <row r="10">
          <cell r="A10">
            <v>6376301</v>
          </cell>
          <cell r="B10" t="str">
            <v>6376301</v>
          </cell>
          <cell r="C10" t="str">
            <v>2</v>
          </cell>
          <cell r="D10" t="str">
            <v>SCHMIDT-HEBBEL DUNKER MARION G</v>
          </cell>
          <cell r="E10" t="str">
            <v>FED310003</v>
          </cell>
          <cell r="F10">
            <v>12</v>
          </cell>
          <cell r="G10">
            <v>30</v>
          </cell>
          <cell r="H10" t="str">
            <v>MSCHMIDT-HEBBEL@UTALCA.CL</v>
          </cell>
          <cell r="I10">
            <v>42248</v>
          </cell>
          <cell r="J10">
            <v>46446</v>
          </cell>
          <cell r="K10" t="str">
            <v>CONTRATA</v>
          </cell>
          <cell r="L10" t="str">
            <v>CA DOCENTE</v>
          </cell>
          <cell r="M10" t="str">
            <v>PROFESOR ASISTENTE</v>
          </cell>
          <cell r="N10" t="str">
            <v>GRADO C</v>
          </cell>
          <cell r="O10" t="str">
            <v>TÍTULO PROFESIONAL</v>
          </cell>
          <cell r="P10" t="str">
            <v>PROFESOR DE EDUCACIÓN MUSICAL</v>
          </cell>
          <cell r="Q10" t="str">
            <v>SANTIAGO</v>
          </cell>
          <cell r="R10" t="str">
            <v>FACULTAD DE CIENCIAS DE LA EDUCACIÓN</v>
          </cell>
          <cell r="S10" t="str">
            <v>ESCUELA DE PEDAGOGÍA EN ALEMÁN</v>
          </cell>
        </row>
        <row r="11">
          <cell r="A11">
            <v>6379389</v>
          </cell>
          <cell r="B11" t="str">
            <v>6379389</v>
          </cell>
          <cell r="C11" t="str">
            <v>2</v>
          </cell>
          <cell r="D11" t="str">
            <v>SCHIAPPACASSE CANEPA FLAVIA MA</v>
          </cell>
          <cell r="E11" t="str">
            <v>FCA320002</v>
          </cell>
          <cell r="F11">
            <v>22</v>
          </cell>
          <cell r="G11">
            <v>30</v>
          </cell>
          <cell r="H11" t="str">
            <v>FSCHIAP@UTALCA.CL</v>
          </cell>
          <cell r="I11">
            <v>32597</v>
          </cell>
          <cell r="J11">
            <v>2958465</v>
          </cell>
          <cell r="K11" t="str">
            <v>PLANTA</v>
          </cell>
          <cell r="L11" t="str">
            <v>CA ORDINARIA</v>
          </cell>
          <cell r="M11" t="str">
            <v>PROFESOR ASOCIADO</v>
          </cell>
          <cell r="N11" t="str">
            <v>GRADO B</v>
          </cell>
          <cell r="O11" t="str">
            <v>MAGISTER</v>
          </cell>
          <cell r="P11" t="str">
            <v>MASTER OF SCIENCE</v>
          </cell>
          <cell r="Q11" t="str">
            <v>TALCA</v>
          </cell>
          <cell r="R11" t="str">
            <v>FACULTAD DE CIENCIAS AGRARIAS</v>
          </cell>
          <cell r="S11" t="str">
            <v>DEPARTAMENTO DE HORTICULTURA</v>
          </cell>
        </row>
        <row r="12">
          <cell r="A12">
            <v>6454895</v>
          </cell>
          <cell r="B12" t="str">
            <v>6454895</v>
          </cell>
          <cell r="C12" t="str">
            <v>6</v>
          </cell>
          <cell r="D12" t="str">
            <v>MOYANO DIAZ EMILIO EDMUNDO</v>
          </cell>
          <cell r="E12" t="str">
            <v>FPS310001</v>
          </cell>
          <cell r="F12">
            <v>22</v>
          </cell>
          <cell r="G12">
            <v>30</v>
          </cell>
          <cell r="H12" t="str">
            <v>EMOYANO@UTALCA.CL</v>
          </cell>
          <cell r="I12">
            <v>37987</v>
          </cell>
          <cell r="J12">
            <v>46348</v>
          </cell>
          <cell r="K12" t="str">
            <v>CONTRATA</v>
          </cell>
          <cell r="L12" t="str">
            <v>CA ORDINARIA</v>
          </cell>
          <cell r="M12" t="str">
            <v>PROFESOR TITULAR</v>
          </cell>
          <cell r="N12" t="str">
            <v>GRADO A</v>
          </cell>
          <cell r="O12" t="str">
            <v>DOCTORADO</v>
          </cell>
          <cell r="P12" t="str">
            <v>DOCTOR EN PSICOLOGIA</v>
          </cell>
          <cell r="Q12" t="str">
            <v>TALCA</v>
          </cell>
          <cell r="R12" t="str">
            <v>FACULTAD DE PSICOLOGÍA</v>
          </cell>
          <cell r="S12" t="str">
            <v>ESCUELA DE PSICOLOGÍA</v>
          </cell>
        </row>
        <row r="13">
          <cell r="A13">
            <v>6515737</v>
          </cell>
          <cell r="B13" t="str">
            <v>6515737</v>
          </cell>
          <cell r="C13" t="str">
            <v>3</v>
          </cell>
          <cell r="D13" t="str">
            <v>RAYO URRUTIA GUSTAVO ANDRES</v>
          </cell>
          <cell r="E13" t="str">
            <v>FCJ320004</v>
          </cell>
          <cell r="F13">
            <v>44</v>
          </cell>
          <cell r="G13">
            <v>30</v>
          </cell>
          <cell r="H13" t="str">
            <v>GRAYO@UTALCA.CL</v>
          </cell>
          <cell r="I13">
            <v>41330</v>
          </cell>
          <cell r="J13">
            <v>2958465</v>
          </cell>
          <cell r="K13" t="str">
            <v>PLANTA</v>
          </cell>
          <cell r="L13" t="str">
            <v>CA ORDINARIA</v>
          </cell>
          <cell r="M13" t="str">
            <v>PROFESOR ASISTENTE</v>
          </cell>
          <cell r="N13" t="str">
            <v>GRADO C</v>
          </cell>
          <cell r="O13" t="str">
            <v>DOCTORADO</v>
          </cell>
          <cell r="P13" t="str">
            <v>DOCTEUR ESTUDES POLITIQUES</v>
          </cell>
          <cell r="Q13" t="str">
            <v>SANTIAGO</v>
          </cell>
          <cell r="R13" t="str">
            <v>FACULTAD CIENCIAS JURÍDICAS Y SOCIALES</v>
          </cell>
          <cell r="S13" t="str">
            <v>DPTO. CNCIA. POLÍTICA Y ADMÓN. PÚBLICA</v>
          </cell>
        </row>
        <row r="14">
          <cell r="A14">
            <v>6563247</v>
          </cell>
          <cell r="B14" t="str">
            <v>6563247</v>
          </cell>
          <cell r="C14" t="str">
            <v>0</v>
          </cell>
          <cell r="D14" t="str">
            <v>ARAYA MATURANA RAMIRO JUAN</v>
          </cell>
          <cell r="E14" t="str">
            <v>IQR300001</v>
          </cell>
          <cell r="F14">
            <v>44</v>
          </cell>
          <cell r="G14">
            <v>30</v>
          </cell>
          <cell r="H14" t="str">
            <v>RARAYA@UTALCA.CL</v>
          </cell>
          <cell r="I14">
            <v>42107</v>
          </cell>
          <cell r="J14">
            <v>2958465</v>
          </cell>
          <cell r="K14" t="str">
            <v>PLANTA</v>
          </cell>
          <cell r="L14" t="str">
            <v>CA ORDINARIA</v>
          </cell>
          <cell r="M14" t="str">
            <v>PROFESOR TITULAR</v>
          </cell>
          <cell r="N14" t="str">
            <v>GRADO A</v>
          </cell>
          <cell r="O14" t="str">
            <v>DOCTORADO</v>
          </cell>
          <cell r="P14" t="str">
            <v>DOCTOR EN CIENCIAS EXACTAS CON MENCIÓN EN QUÍ</v>
          </cell>
          <cell r="Q14" t="str">
            <v>TALCA</v>
          </cell>
          <cell r="R14" t="str">
            <v>INSTITUTO QUÍMICA DE RECURSOS NATURALES</v>
          </cell>
          <cell r="S14" t="str">
            <v>INSTITUTO QUÍMICA DE RECURSOS NATURALES</v>
          </cell>
        </row>
        <row r="15">
          <cell r="A15">
            <v>6605490</v>
          </cell>
          <cell r="B15" t="str">
            <v>6605490</v>
          </cell>
          <cell r="C15" t="str">
            <v>K</v>
          </cell>
          <cell r="D15" t="str">
            <v>DEL POZO LIRA ALEJANDRO HUMBER</v>
          </cell>
          <cell r="E15" t="str">
            <v>FCA320003</v>
          </cell>
          <cell r="F15">
            <v>44</v>
          </cell>
          <cell r="G15">
            <v>30</v>
          </cell>
          <cell r="H15" t="str">
            <v>ADELPOZO@UTALCA.CL</v>
          </cell>
          <cell r="I15">
            <v>38565</v>
          </cell>
          <cell r="J15">
            <v>2958465</v>
          </cell>
          <cell r="K15" t="str">
            <v>PLANTA</v>
          </cell>
          <cell r="L15" t="str">
            <v>CA ORDINARIA</v>
          </cell>
          <cell r="M15" t="str">
            <v>PROFESOR TITULAR</v>
          </cell>
          <cell r="N15" t="str">
            <v>GRADO A</v>
          </cell>
          <cell r="O15" t="str">
            <v>DOCTORADO</v>
          </cell>
          <cell r="P15" t="str">
            <v>PHD FISIOLOGÍA DE CULTIVOS</v>
          </cell>
          <cell r="Q15" t="str">
            <v>TALCA</v>
          </cell>
          <cell r="R15" t="str">
            <v>FACULTAD DE CIENCIAS AGRARIAS</v>
          </cell>
          <cell r="S15" t="str">
            <v>DEPARTAMENTO DE PRODUCCIÓN AGRÍCOLA</v>
          </cell>
        </row>
        <row r="16">
          <cell r="A16">
            <v>6637684</v>
          </cell>
          <cell r="B16" t="str">
            <v>6637684</v>
          </cell>
          <cell r="C16" t="str">
            <v>2</v>
          </cell>
          <cell r="D16" t="str">
            <v>PALOMO GONZALEZ IVAN FRANCISCO</v>
          </cell>
          <cell r="E16" t="str">
            <v>FCS320001</v>
          </cell>
          <cell r="F16">
            <v>44</v>
          </cell>
          <cell r="G16">
            <v>30</v>
          </cell>
          <cell r="H16" t="str">
            <v>IPALOMO@UTALCA.CL</v>
          </cell>
          <cell r="I16">
            <v>28065</v>
          </cell>
          <cell r="J16">
            <v>2958465</v>
          </cell>
          <cell r="K16" t="str">
            <v>PLANTA</v>
          </cell>
          <cell r="L16" t="str">
            <v>CA ORDINARIA</v>
          </cell>
          <cell r="M16" t="str">
            <v>PROFESOR TITULAR</v>
          </cell>
          <cell r="N16" t="str">
            <v>GRADO A</v>
          </cell>
          <cell r="O16" t="str">
            <v>DOCTORADO</v>
          </cell>
          <cell r="P16" t="str">
            <v>DOCTOR EN CIENCIAS BIOMEDICAS</v>
          </cell>
          <cell r="Q16" t="str">
            <v>TALCA</v>
          </cell>
          <cell r="R16" t="str">
            <v>FACULTAD DE CIENCIAS DE LA SALUD</v>
          </cell>
          <cell r="S16" t="str">
            <v>DPTO. BIOQUÍM. CLÍN. E INMUNOHEMATOLOGÍA</v>
          </cell>
        </row>
        <row r="17">
          <cell r="A17">
            <v>6690172</v>
          </cell>
          <cell r="B17" t="str">
            <v>6690172</v>
          </cell>
          <cell r="C17" t="str">
            <v>6</v>
          </cell>
          <cell r="D17" t="str">
            <v>RODRIGUEZ CUELLAR PATRICIA JEA</v>
          </cell>
          <cell r="E17" t="str">
            <v>FEN310004</v>
          </cell>
          <cell r="F17">
            <v>44</v>
          </cell>
          <cell r="G17">
            <v>30</v>
          </cell>
          <cell r="H17" t="str">
            <v>PRODRIG@UTALCA.CL</v>
          </cell>
          <cell r="I17">
            <v>31260</v>
          </cell>
          <cell r="J17">
            <v>2958465</v>
          </cell>
          <cell r="K17" t="str">
            <v>PLANTA</v>
          </cell>
          <cell r="L17" t="str">
            <v>CA ORDINARIA</v>
          </cell>
          <cell r="M17" t="str">
            <v>PROFESOR ASOCIADO</v>
          </cell>
          <cell r="N17" t="str">
            <v>GRADO B</v>
          </cell>
          <cell r="O17" t="str">
            <v>DOCTORADO</v>
          </cell>
          <cell r="P17" t="str">
            <v>DOCTOR EN ECONOMIA Y DIRECCION DE EMPRESAS</v>
          </cell>
          <cell r="Q17" t="str">
            <v>SANTIAGO</v>
          </cell>
          <cell r="R17" t="str">
            <v>FACULTAD DE ECONOMÍA Y NEGOCIOS</v>
          </cell>
          <cell r="S17" t="str">
            <v>ESC. AUDITORIA Y CONTROL DE GESTIÓN TLCA</v>
          </cell>
        </row>
        <row r="18">
          <cell r="A18">
            <v>6839736</v>
          </cell>
          <cell r="B18" t="str">
            <v>06839736</v>
          </cell>
          <cell r="C18" t="str">
            <v>7</v>
          </cell>
          <cell r="D18" t="str">
            <v>OLIVA TE-KLOOT JORGE</v>
          </cell>
          <cell r="E18" t="str">
            <v>FOD200001</v>
          </cell>
          <cell r="F18">
            <v>13</v>
          </cell>
          <cell r="G18">
            <v>30</v>
          </cell>
          <cell r="H18" t="str">
            <v>JORGE.OLIVA@UTALCA.CL</v>
          </cell>
          <cell r="I18">
            <v>45352</v>
          </cell>
          <cell r="J18">
            <v>46387</v>
          </cell>
          <cell r="K18" t="str">
            <v>CONTRATA</v>
          </cell>
          <cell r="L18" t="str">
            <v>C ESPECIALES</v>
          </cell>
          <cell r="M18" t="str">
            <v>TUTOR(A) PRÁCTICA</v>
          </cell>
          <cell r="N18" t="str">
            <v>SIN GRADO</v>
          </cell>
          <cell r="O18" t="str">
            <v>MAGISTER</v>
          </cell>
          <cell r="P18" t="str">
            <v>MAGISTER EN BIOÉTICA</v>
          </cell>
          <cell r="Q18" t="str">
            <v>TALCA</v>
          </cell>
          <cell r="R18" t="str">
            <v>FACULTAD DE ODONTOLOGÍA</v>
          </cell>
          <cell r="S18" t="str">
            <v>FACULTAD DE ODONTOLOGÍA</v>
          </cell>
        </row>
        <row r="19">
          <cell r="A19">
            <v>6863228</v>
          </cell>
          <cell r="B19" t="str">
            <v>6863228</v>
          </cell>
          <cell r="C19" t="str">
            <v>5</v>
          </cell>
          <cell r="D19" t="str">
            <v>ORYAN LERMANDA MANUEL PATRICIO</v>
          </cell>
          <cell r="E19" t="str">
            <v>IMF300001</v>
          </cell>
          <cell r="F19">
            <v>44</v>
          </cell>
          <cell r="G19">
            <v>30</v>
          </cell>
          <cell r="H19" t="str">
            <v>MORYAN@UTALCA.CL</v>
          </cell>
          <cell r="I19">
            <v>30468</v>
          </cell>
          <cell r="J19">
            <v>2958465</v>
          </cell>
          <cell r="K19" t="str">
            <v>PLANTA</v>
          </cell>
          <cell r="L19" t="str">
            <v>CA ORDINARIA</v>
          </cell>
          <cell r="M19" t="str">
            <v>PROFESOR ASOCIADO</v>
          </cell>
          <cell r="N19" t="str">
            <v>GRADO B</v>
          </cell>
          <cell r="O19" t="str">
            <v>DOCTORADO</v>
          </cell>
          <cell r="P19" t="str">
            <v>DOCTOR OF PHILOSOPHY</v>
          </cell>
          <cell r="Q19" t="str">
            <v>TALCA</v>
          </cell>
          <cell r="R19" t="str">
            <v>INSTITUTO DE MATEMÁTICAS</v>
          </cell>
          <cell r="S19" t="str">
            <v>INSTITUTO DE MATEMÁTICAS</v>
          </cell>
        </row>
        <row r="20">
          <cell r="A20">
            <v>6953548</v>
          </cell>
          <cell r="B20" t="str">
            <v>6953548</v>
          </cell>
          <cell r="C20" t="str">
            <v>8</v>
          </cell>
          <cell r="D20" t="str">
            <v>VERA BUSTOS LALFA ARLETTE</v>
          </cell>
          <cell r="E20" t="str">
            <v>FOD320001</v>
          </cell>
          <cell r="F20">
            <v>22</v>
          </cell>
          <cell r="G20">
            <v>30</v>
          </cell>
          <cell r="H20" t="str">
            <v>AVERAB@UTALCA.CL</v>
          </cell>
          <cell r="I20">
            <v>38777</v>
          </cell>
          <cell r="J20">
            <v>46446</v>
          </cell>
          <cell r="K20" t="str">
            <v>CONTRATA</v>
          </cell>
          <cell r="L20" t="str">
            <v>CA DOCENTE</v>
          </cell>
          <cell r="M20" t="str">
            <v>INSTRUCTOR</v>
          </cell>
          <cell r="N20" t="str">
            <v>GRADO D</v>
          </cell>
          <cell r="O20" t="str">
            <v>ESPECIAL. ODONTOLÓG.</v>
          </cell>
          <cell r="P20" t="str">
            <v>CIRUJANO DENTISTA - ESPECIALIDAD EN ENDODONCI</v>
          </cell>
          <cell r="Q20" t="str">
            <v>TALCA</v>
          </cell>
          <cell r="R20" t="str">
            <v>FACULTAD DE ODONTOLOGÍA</v>
          </cell>
          <cell r="S20" t="str">
            <v>DPTO. REHABILITACIÓN BUCO-MAXILOFACIAL</v>
          </cell>
        </row>
        <row r="21">
          <cell r="A21">
            <v>6969962</v>
          </cell>
          <cell r="B21" t="str">
            <v>6969962</v>
          </cell>
          <cell r="C21" t="str">
            <v>6</v>
          </cell>
          <cell r="D21" t="str">
            <v>ARENAS JARA MERCEDES SARA</v>
          </cell>
          <cell r="E21" t="str">
            <v>FCS310007</v>
          </cell>
          <cell r="F21">
            <v>44</v>
          </cell>
          <cell r="G21">
            <v>30</v>
          </cell>
          <cell r="H21" t="str">
            <v>MEARENAS@UTALCA.CL</v>
          </cell>
          <cell r="I21">
            <v>43024</v>
          </cell>
          <cell r="J21">
            <v>46387</v>
          </cell>
          <cell r="K21" t="str">
            <v>CONTRATA</v>
          </cell>
          <cell r="L21" t="str">
            <v>CA DOCENTE</v>
          </cell>
          <cell r="M21" t="str">
            <v>INSTRUCTOR</v>
          </cell>
          <cell r="N21" t="str">
            <v>GRADO D</v>
          </cell>
          <cell r="O21" t="str">
            <v>MAGISTER</v>
          </cell>
          <cell r="P21" t="str">
            <v>MAGISTER EN GESTION DE INSTITUCIONES DE SALUD</v>
          </cell>
          <cell r="Q21" t="str">
            <v>TALCA</v>
          </cell>
          <cell r="R21" t="str">
            <v>FACULTAD DE CIENCIAS DE LA SALUD</v>
          </cell>
          <cell r="S21" t="str">
            <v>ESCUELA DE OBSTETRICIA Y PUERICULTURA</v>
          </cell>
        </row>
        <row r="22">
          <cell r="A22">
            <v>6986444</v>
          </cell>
          <cell r="B22" t="str">
            <v>06986444</v>
          </cell>
          <cell r="C22" t="str">
            <v>9</v>
          </cell>
          <cell r="D22" t="str">
            <v>FUENTES VALENZUELA LEONCIO</v>
          </cell>
          <cell r="E22" t="str">
            <v>FAM320003</v>
          </cell>
          <cell r="F22">
            <v>22</v>
          </cell>
          <cell r="G22">
            <v>30</v>
          </cell>
          <cell r="H22" t="str">
            <v>LEOFUENTES@UTALCA.CL</v>
          </cell>
          <cell r="I22">
            <v>41334</v>
          </cell>
          <cell r="J22">
            <v>46446</v>
          </cell>
          <cell r="K22" t="str">
            <v>CONTRATA</v>
          </cell>
          <cell r="L22" t="str">
            <v>CA DE LA PROFESIÓN</v>
          </cell>
          <cell r="M22" t="str">
            <v>PROFESOR ASISTENTE</v>
          </cell>
          <cell r="N22" t="str">
            <v>GRADO C</v>
          </cell>
          <cell r="O22" t="str">
            <v>MAGISTER</v>
          </cell>
          <cell r="P22" t="str">
            <v>MAGISTER DE ESPECIALIDAD EN OBSTETRICIA Y GIN</v>
          </cell>
          <cell r="Q22" t="str">
            <v>TALCA</v>
          </cell>
          <cell r="R22" t="str">
            <v>FACULTAD DE MEDICINA</v>
          </cell>
          <cell r="S22" t="str">
            <v>DPTO. DE ESPECIALIDADES QUIRÚRGICAS</v>
          </cell>
        </row>
        <row r="23">
          <cell r="A23">
            <v>7024658</v>
          </cell>
          <cell r="B23" t="str">
            <v>7024658</v>
          </cell>
          <cell r="C23" t="str">
            <v>9</v>
          </cell>
          <cell r="D23" t="str">
            <v>TORRES PEREZ SERGIO EUGENIO</v>
          </cell>
          <cell r="E23" t="str">
            <v>ADC021005</v>
          </cell>
          <cell r="F23">
            <v>44</v>
          </cell>
          <cell r="G23">
            <v>30</v>
          </cell>
          <cell r="H23" t="str">
            <v>STORRES@UTALCA.CL</v>
          </cell>
          <cell r="I23">
            <v>31168</v>
          </cell>
          <cell r="J23">
            <v>2958465</v>
          </cell>
          <cell r="K23" t="str">
            <v>PLANTA</v>
          </cell>
          <cell r="L23" t="str">
            <v>ADMINISTRATIVO</v>
          </cell>
          <cell r="M23" t="str">
            <v>PROFESIONAL</v>
          </cell>
          <cell r="N23" t="str">
            <v>GRADO I.12</v>
          </cell>
          <cell r="O23" t="str">
            <v>TÍTULO PROFESIONAL</v>
          </cell>
          <cell r="P23" t="str">
            <v>PERIODISTA</v>
          </cell>
          <cell r="Q23" t="str">
            <v>TALCA</v>
          </cell>
          <cell r="R23" t="str">
            <v>DIRECCIÓN DE COMUNICACIONES CORPORATIVAS</v>
          </cell>
          <cell r="S23" t="str">
            <v>DPTO. DE COMUNICACIÓN EXTERNA Y MEDIOS</v>
          </cell>
        </row>
        <row r="24">
          <cell r="A24">
            <v>7069922</v>
          </cell>
          <cell r="B24" t="str">
            <v>7069922</v>
          </cell>
          <cell r="C24" t="str">
            <v>2</v>
          </cell>
          <cell r="D24" t="str">
            <v>ICAZA PEREZ MARIA INES</v>
          </cell>
          <cell r="E24" t="str">
            <v>IMF300001</v>
          </cell>
          <cell r="F24">
            <v>44</v>
          </cell>
          <cell r="G24">
            <v>30</v>
          </cell>
          <cell r="H24" t="str">
            <v>ICAZAP@UTALCA.CL</v>
          </cell>
          <cell r="I24">
            <v>35877</v>
          </cell>
          <cell r="J24">
            <v>2958465</v>
          </cell>
          <cell r="K24" t="str">
            <v>PLANTA</v>
          </cell>
          <cell r="L24" t="str">
            <v>CA ORDINARIA</v>
          </cell>
          <cell r="M24" t="str">
            <v>PROFESOR ASOCIADO</v>
          </cell>
          <cell r="N24" t="str">
            <v>GRADO B</v>
          </cell>
          <cell r="O24" t="str">
            <v>DOCTORADO</v>
          </cell>
          <cell r="P24" t="str">
            <v>DOCTOR OF PHILOSOPHY</v>
          </cell>
          <cell r="Q24" t="str">
            <v>TALCA</v>
          </cell>
          <cell r="R24" t="str">
            <v>INSTITUTO DE MATEMÁTICAS</v>
          </cell>
          <cell r="S24" t="str">
            <v>INSTITUTO DE MATEMÁTICAS</v>
          </cell>
        </row>
        <row r="25">
          <cell r="A25">
            <v>7097392</v>
          </cell>
          <cell r="B25" t="str">
            <v>7097392</v>
          </cell>
          <cell r="C25" t="str">
            <v>8</v>
          </cell>
          <cell r="D25" t="str">
            <v>ELGUETA FERRADA MILTON SALVADO</v>
          </cell>
          <cell r="E25" t="str">
            <v>FCI320004</v>
          </cell>
          <cell r="F25">
            <v>44</v>
          </cell>
          <cell r="G25">
            <v>30</v>
          </cell>
          <cell r="H25" t="str">
            <v>MELGUETA@UTALCA.CL</v>
          </cell>
          <cell r="I25">
            <v>40026</v>
          </cell>
          <cell r="J25">
            <v>46446</v>
          </cell>
          <cell r="K25" t="str">
            <v>CONTRATA</v>
          </cell>
          <cell r="L25" t="str">
            <v>CA DOCENTE</v>
          </cell>
          <cell r="M25" t="str">
            <v>INSTRUCTOR</v>
          </cell>
          <cell r="N25" t="str">
            <v>GRADO D</v>
          </cell>
          <cell r="O25" t="str">
            <v>MAGISTER</v>
          </cell>
          <cell r="P25" t="str">
            <v>MAGISTER EN CIENCIAS FISICAS</v>
          </cell>
          <cell r="Q25" t="str">
            <v>CURICO</v>
          </cell>
          <cell r="R25" t="str">
            <v>FACULTAD DE INGENIERÍA</v>
          </cell>
          <cell r="S25" t="str">
            <v>DEPARTAMENTO DE TECNOLOGÍA INDUSTRIALES</v>
          </cell>
        </row>
        <row r="26">
          <cell r="A26">
            <v>7125734</v>
          </cell>
          <cell r="B26" t="str">
            <v>07125734</v>
          </cell>
          <cell r="C26" t="str">
            <v>7</v>
          </cell>
          <cell r="D26" t="str">
            <v>JIMENEZ RETAMAL ADRIANA DE LAS</v>
          </cell>
          <cell r="E26" t="str">
            <v>FCS310007</v>
          </cell>
          <cell r="F26">
            <v>44</v>
          </cell>
          <cell r="G26">
            <v>30</v>
          </cell>
          <cell r="H26" t="str">
            <v>ADRIANA.JIMENEZ@UTALCA.CL</v>
          </cell>
          <cell r="I26">
            <v>44287</v>
          </cell>
          <cell r="J26">
            <v>46446</v>
          </cell>
          <cell r="K26" t="str">
            <v>CONTRATA</v>
          </cell>
          <cell r="L26" t="str">
            <v>CA DOCENTE</v>
          </cell>
          <cell r="M26" t="str">
            <v>INSTRUCTOR</v>
          </cell>
          <cell r="N26" t="str">
            <v>GRADO D</v>
          </cell>
          <cell r="O26" t="str">
            <v>MAGISTER</v>
          </cell>
          <cell r="P26" t="str">
            <v>MAGISTER EN GESTION EN ATENCION PRIMARIA DE S</v>
          </cell>
          <cell r="Q26" t="str">
            <v>TALCA</v>
          </cell>
          <cell r="R26" t="str">
            <v>FACULTAD DE CIENCIAS DE LA SALUD</v>
          </cell>
          <cell r="S26" t="str">
            <v>ESCUELA DE OBSTETRICIA Y PUERICULTURA</v>
          </cell>
        </row>
        <row r="27">
          <cell r="A27">
            <v>7125752</v>
          </cell>
          <cell r="B27" t="str">
            <v>07125752</v>
          </cell>
          <cell r="C27" t="str">
            <v>5</v>
          </cell>
          <cell r="D27" t="str">
            <v>BUSTAMANTE UBILLA MIGUEL ALEJA</v>
          </cell>
          <cell r="E27" t="str">
            <v>FEN310001</v>
          </cell>
          <cell r="F27">
            <v>44</v>
          </cell>
          <cell r="G27">
            <v>30</v>
          </cell>
          <cell r="H27" t="str">
            <v>MABU@UTALCA.CL</v>
          </cell>
          <cell r="I27">
            <v>28982</v>
          </cell>
          <cell r="J27">
            <v>2958465</v>
          </cell>
          <cell r="K27" t="str">
            <v>PLANTA</v>
          </cell>
          <cell r="L27" t="str">
            <v>CA ORDINARIA</v>
          </cell>
          <cell r="M27" t="str">
            <v>PROFESOR ASOCIADO</v>
          </cell>
          <cell r="N27" t="str">
            <v>GRADO B</v>
          </cell>
          <cell r="O27" t="str">
            <v>DOCTORADO</v>
          </cell>
          <cell r="P27" t="str">
            <v>DOCTOR EN CIENCIAS ECONOMIAS Y EMPRESARIALES</v>
          </cell>
          <cell r="Q27" t="str">
            <v>TALCA</v>
          </cell>
          <cell r="R27" t="str">
            <v>FACULTAD DE ECONOMÍA Y NEGOCIOS</v>
          </cell>
          <cell r="S27" t="str">
            <v>ESCUELA DE INGENIERÍA COMERCIAL DE TALCA</v>
          </cell>
        </row>
        <row r="28">
          <cell r="A28">
            <v>7191843</v>
          </cell>
          <cell r="B28" t="str">
            <v>07191843</v>
          </cell>
          <cell r="C28" t="str">
            <v>2</v>
          </cell>
          <cell r="D28" t="str">
            <v>IBARRA MUÑOZ ANA MARIA</v>
          </cell>
          <cell r="E28" t="str">
            <v>FCJ340009</v>
          </cell>
          <cell r="F28">
            <v>22</v>
          </cell>
          <cell r="G28">
            <v>30</v>
          </cell>
          <cell r="H28" t="str">
            <v>ANIBARRA@UTALCA.CL</v>
          </cell>
          <cell r="I28">
            <v>43466</v>
          </cell>
          <cell r="J28">
            <v>46387</v>
          </cell>
          <cell r="K28" t="str">
            <v>CONTRATA</v>
          </cell>
          <cell r="L28" t="str">
            <v>ADMINISTRATIVO</v>
          </cell>
          <cell r="M28" t="str">
            <v>ADMINISTRATIVO</v>
          </cell>
          <cell r="N28" t="str">
            <v>GRADO I.21</v>
          </cell>
          <cell r="O28" t="str">
            <v>TÉC. NIVEL MEDIO</v>
          </cell>
          <cell r="P28" t="str">
            <v>CONTADOR</v>
          </cell>
          <cell r="Q28" t="str">
            <v>SANTIAGO</v>
          </cell>
          <cell r="R28" t="str">
            <v>FACULTAD CIENCIAS JURÍDICAS Y SOCIALES</v>
          </cell>
          <cell r="S28" t="str">
            <v>CLÍNICA JURÍDICA DE SANTIAGO</v>
          </cell>
        </row>
        <row r="29">
          <cell r="A29">
            <v>7194358</v>
          </cell>
          <cell r="B29" t="str">
            <v>7194358</v>
          </cell>
          <cell r="C29" t="str">
            <v>5</v>
          </cell>
          <cell r="D29" t="str">
            <v>VILLALOBOS MATELUNA PABLO ALFO</v>
          </cell>
          <cell r="E29" t="str">
            <v>FCA320001</v>
          </cell>
          <cell r="F29">
            <v>44</v>
          </cell>
          <cell r="G29">
            <v>30</v>
          </cell>
          <cell r="H29" t="str">
            <v>PVILLAL@UTALCA.CL</v>
          </cell>
          <cell r="I29">
            <v>37865</v>
          </cell>
          <cell r="J29">
            <v>2958465</v>
          </cell>
          <cell r="K29" t="str">
            <v>PLANTA</v>
          </cell>
          <cell r="L29" t="str">
            <v>CA ORDINARIA</v>
          </cell>
          <cell r="M29" t="str">
            <v>PROFESOR ASOCIADO</v>
          </cell>
          <cell r="N29" t="str">
            <v>GRADO B</v>
          </cell>
          <cell r="O29" t="str">
            <v>DOCTORADO</v>
          </cell>
          <cell r="P29" t="str">
            <v>DOCTORADO EN CIENCIAS AGRARIAS</v>
          </cell>
          <cell r="Q29" t="str">
            <v>TALCA</v>
          </cell>
          <cell r="R29" t="str">
            <v>FACULTAD DE CIENCIAS AGRARIAS</v>
          </cell>
          <cell r="S29" t="str">
            <v>DEPARTAMENTO DE ECONOMÍA AGRARIA</v>
          </cell>
        </row>
        <row r="30">
          <cell r="A30">
            <v>7201239</v>
          </cell>
          <cell r="B30" t="str">
            <v>7201239</v>
          </cell>
          <cell r="C30" t="str">
            <v>9</v>
          </cell>
          <cell r="D30" t="str">
            <v>MENA FRAU CARLOS ANTONIO</v>
          </cell>
          <cell r="E30" t="str">
            <v>FEN310001</v>
          </cell>
          <cell r="F30">
            <v>22</v>
          </cell>
          <cell r="G30">
            <v>30</v>
          </cell>
          <cell r="H30" t="str">
            <v>CMENA@UTALCA.CL</v>
          </cell>
          <cell r="I30">
            <v>31778</v>
          </cell>
          <cell r="J30">
            <v>46446</v>
          </cell>
          <cell r="K30" t="str">
            <v>CONTRATA</v>
          </cell>
          <cell r="L30" t="str">
            <v>CA ORDINARIA</v>
          </cell>
          <cell r="M30" t="str">
            <v>PROFESOR TITULAR</v>
          </cell>
          <cell r="N30" t="str">
            <v>GRADO A</v>
          </cell>
          <cell r="O30" t="str">
            <v>DOCTORADO</v>
          </cell>
          <cell r="P30" t="str">
            <v>DOCTOR EN FILOSOFIA Y LETRAS (GEOGRAFÍA E HIS</v>
          </cell>
          <cell r="Q30" t="str">
            <v>TALCA</v>
          </cell>
          <cell r="R30" t="str">
            <v>FACULTAD DE ECONOMÍA Y NEGOCIOS</v>
          </cell>
          <cell r="S30" t="str">
            <v>ESCUELA DE INGENIERÍA COMERCIAL DE TALCA</v>
          </cell>
        </row>
        <row r="31">
          <cell r="A31">
            <v>7223921</v>
          </cell>
          <cell r="B31" t="str">
            <v>7223921</v>
          </cell>
          <cell r="C31" t="str">
            <v>0</v>
          </cell>
          <cell r="D31" t="str">
            <v>WILLSON ROJAS MARIA WALESKA</v>
          </cell>
          <cell r="E31" t="str">
            <v>FCS320011</v>
          </cell>
          <cell r="F31">
            <v>33</v>
          </cell>
          <cell r="G31">
            <v>30</v>
          </cell>
          <cell r="H31" t="str">
            <v>MWILLSON@UTALCA.CL</v>
          </cell>
          <cell r="I31">
            <v>42430</v>
          </cell>
          <cell r="J31">
            <v>46752</v>
          </cell>
          <cell r="K31" t="str">
            <v>CONTRATA</v>
          </cell>
          <cell r="L31" t="str">
            <v>CA DOCENTE</v>
          </cell>
          <cell r="M31" t="str">
            <v>INSTRUCTOR</v>
          </cell>
          <cell r="N31" t="str">
            <v>GRADO D</v>
          </cell>
          <cell r="O31" t="str">
            <v>MAGISTER</v>
          </cell>
          <cell r="P31" t="str">
            <v>MAGÍSTER EN EDU. UNIVERSITARIA PARA CS. DE LA</v>
          </cell>
          <cell r="Q31" t="str">
            <v>TALCA</v>
          </cell>
          <cell r="R31" t="str">
            <v>FACULTAD DE CIENCIAS DE LA SALUD</v>
          </cell>
          <cell r="S31" t="str">
            <v>DEPTO. CIENCIAS DE LA NUT. Y ALIMENTOS</v>
          </cell>
        </row>
        <row r="32">
          <cell r="A32">
            <v>7254097</v>
          </cell>
          <cell r="B32" t="str">
            <v>7254097</v>
          </cell>
          <cell r="C32" t="str">
            <v>2</v>
          </cell>
          <cell r="D32" t="str">
            <v>CATALDO DROGUETT FERNANDO PATR</v>
          </cell>
          <cell r="E32" t="str">
            <v>IQR300001</v>
          </cell>
          <cell r="F32">
            <v>44</v>
          </cell>
          <cell r="G32">
            <v>30</v>
          </cell>
          <cell r="H32" t="str">
            <v>FCATALDO@UTALCA.CL</v>
          </cell>
          <cell r="I32">
            <v>40544</v>
          </cell>
          <cell r="J32">
            <v>46446</v>
          </cell>
          <cell r="K32" t="str">
            <v>CONTRATA</v>
          </cell>
          <cell r="L32" t="str">
            <v>CA DOCENTE</v>
          </cell>
          <cell r="M32" t="str">
            <v>INSTRUCTOR</v>
          </cell>
          <cell r="N32" t="str">
            <v>GRADO D</v>
          </cell>
          <cell r="O32" t="str">
            <v>DOCTORADO</v>
          </cell>
          <cell r="P32" t="str">
            <v>DOCTOR EN FARMACIA</v>
          </cell>
          <cell r="Q32" t="str">
            <v>TALCA</v>
          </cell>
          <cell r="R32" t="str">
            <v>INSTITUTO QUÍMICA DE RECURSOS NATURALES</v>
          </cell>
          <cell r="S32" t="str">
            <v>INSTITUTO QUÍMICA DE RECURSOS NATURALES</v>
          </cell>
        </row>
        <row r="33">
          <cell r="A33">
            <v>7311912</v>
          </cell>
          <cell r="B33" t="str">
            <v>7311912</v>
          </cell>
          <cell r="C33" t="str">
            <v>K</v>
          </cell>
          <cell r="D33" t="str">
            <v>PIZARRO TAPIA MANUEL ROBERTO</v>
          </cell>
          <cell r="E33" t="str">
            <v>VAC400080</v>
          </cell>
          <cell r="F33">
            <v>40</v>
          </cell>
          <cell r="G33">
            <v>30</v>
          </cell>
          <cell r="H33" t="str">
            <v>RPIZARRO@UTALCA.CL</v>
          </cell>
          <cell r="I33">
            <v>32674</v>
          </cell>
          <cell r="J33">
            <v>2958465</v>
          </cell>
          <cell r="K33" t="str">
            <v>PLANTA</v>
          </cell>
          <cell r="L33" t="str">
            <v>CA ORDINARIA</v>
          </cell>
          <cell r="M33" t="str">
            <v>PROFESOR TITULAR</v>
          </cell>
          <cell r="N33" t="str">
            <v>GRADO A</v>
          </cell>
          <cell r="O33" t="str">
            <v>DOCTORADO</v>
          </cell>
          <cell r="P33" t="str">
            <v>DOCTOR INGENIERO DE MONTES (APTO "CUM LAUDE")</v>
          </cell>
          <cell r="Q33" t="str">
            <v>TALCA</v>
          </cell>
          <cell r="R33" t="str">
            <v>VICERRECTORÍA ACADÉMICA</v>
          </cell>
          <cell r="S33" t="str">
            <v>DIRECCIÓN DE INNOVACIÓN Y TRANSFERENCIA</v>
          </cell>
        </row>
        <row r="34">
          <cell r="A34">
            <v>7354667</v>
          </cell>
          <cell r="B34" t="str">
            <v>7354667</v>
          </cell>
          <cell r="C34" t="str">
            <v>2</v>
          </cell>
          <cell r="D34" t="str">
            <v>BECERRA LABRA CARLOS HUMBERTO</v>
          </cell>
          <cell r="E34" t="str">
            <v>FED310008</v>
          </cell>
          <cell r="F34">
            <v>44</v>
          </cell>
          <cell r="G34">
            <v>30</v>
          </cell>
          <cell r="H34" t="str">
            <v>CBECERRA@UTALCA.CL</v>
          </cell>
          <cell r="I34">
            <v>29221</v>
          </cell>
          <cell r="J34">
            <v>46446</v>
          </cell>
          <cell r="K34" t="str">
            <v>CONTRATA</v>
          </cell>
          <cell r="L34" t="str">
            <v>CA DOCENTE</v>
          </cell>
          <cell r="M34" t="str">
            <v>PROFESOR ASOCIADO</v>
          </cell>
          <cell r="N34" t="str">
            <v>GRADO B</v>
          </cell>
          <cell r="O34" t="str">
            <v>DOCTORADO</v>
          </cell>
          <cell r="P34" t="str">
            <v>DOCTOR EN ENSEÑANZA DE LA FÍSICA</v>
          </cell>
          <cell r="Q34" t="str">
            <v>LINARES</v>
          </cell>
          <cell r="R34" t="str">
            <v>FACULTAD DE CIENCIAS DE LA EDUCACIÓN</v>
          </cell>
          <cell r="S34" t="str">
            <v>ESC. PDG.CIENCIAS NATURALES Y EXACTAS</v>
          </cell>
        </row>
        <row r="35">
          <cell r="A35">
            <v>7432377</v>
          </cell>
          <cell r="B35" t="str">
            <v>7432377</v>
          </cell>
          <cell r="C35" t="str">
            <v>4</v>
          </cell>
          <cell r="D35" t="str">
            <v>GONZALEZ COLVILLE PATRICIO EUG</v>
          </cell>
          <cell r="E35" t="str">
            <v>FCA320003</v>
          </cell>
          <cell r="F35">
            <v>44</v>
          </cell>
          <cell r="G35">
            <v>30</v>
          </cell>
          <cell r="H35" t="str">
            <v>PGONZALE@UTALCA.CL</v>
          </cell>
          <cell r="I35">
            <v>30195</v>
          </cell>
          <cell r="J35">
            <v>2958465</v>
          </cell>
          <cell r="K35" t="str">
            <v>PLANTA</v>
          </cell>
          <cell r="L35" t="str">
            <v>CONFERENCIANTE</v>
          </cell>
          <cell r="M35" t="str">
            <v>PROFESIONAL</v>
          </cell>
          <cell r="N35" t="str">
            <v>GRADO I.13</v>
          </cell>
          <cell r="O35" t="str">
            <v>MAGISTER</v>
          </cell>
          <cell r="P35" t="str">
            <v>MAGÍSTER EN GEOGRAFÍA, MENCIÓN EN RECURSOS TE</v>
          </cell>
          <cell r="Q35" t="str">
            <v>TALCA</v>
          </cell>
          <cell r="R35" t="str">
            <v>FACULTAD DE CIENCIAS AGRARIAS</v>
          </cell>
          <cell r="S35" t="str">
            <v>DEPARTAMENTO DE PRODUCCIÓN AGRÍCOLA</v>
          </cell>
        </row>
        <row r="36">
          <cell r="A36">
            <v>7442634</v>
          </cell>
          <cell r="B36" t="str">
            <v>7442634</v>
          </cell>
          <cell r="C36" t="str">
            <v>4</v>
          </cell>
          <cell r="D36" t="str">
            <v>ROMAN PEREZ JUAN ERNESTO</v>
          </cell>
          <cell r="E36" t="str">
            <v>FAD310001</v>
          </cell>
          <cell r="F36">
            <v>22</v>
          </cell>
          <cell r="G36">
            <v>30</v>
          </cell>
          <cell r="H36" t="str">
            <v>JROMAN@UTALCA.CL</v>
          </cell>
          <cell r="I36">
            <v>36220</v>
          </cell>
          <cell r="J36">
            <v>46446</v>
          </cell>
          <cell r="K36" t="str">
            <v>CONTRATA</v>
          </cell>
          <cell r="L36" t="str">
            <v>CA DOCENTE</v>
          </cell>
          <cell r="M36" t="str">
            <v>PROFESOR TITULAR</v>
          </cell>
          <cell r="N36" t="str">
            <v>GRADO A</v>
          </cell>
          <cell r="O36" t="str">
            <v>DOCTORADO</v>
          </cell>
          <cell r="P36" t="str">
            <v>DOCTORADO EN ARQUITECTURA Y PATRIMONIO CULTUR</v>
          </cell>
          <cell r="Q36" t="str">
            <v>TALCA</v>
          </cell>
          <cell r="R36" t="str">
            <v>FACULTAD DE ARQUITECTUR, MÚSICA Y DISEÑO</v>
          </cell>
          <cell r="S36" t="str">
            <v>ESCUELA DE ARQUITECTURA</v>
          </cell>
        </row>
        <row r="37">
          <cell r="A37">
            <v>7461867</v>
          </cell>
          <cell r="B37" t="str">
            <v>7461867</v>
          </cell>
          <cell r="C37" t="str">
            <v>7</v>
          </cell>
          <cell r="D37" t="str">
            <v>RUIZ LARA SIMON AURELIO</v>
          </cell>
          <cell r="E37" t="str">
            <v>ICB300001</v>
          </cell>
          <cell r="F37">
            <v>44</v>
          </cell>
          <cell r="G37">
            <v>30</v>
          </cell>
          <cell r="H37" t="str">
            <v>SRUIZ@UTALCA.CL</v>
          </cell>
          <cell r="I37">
            <v>30025</v>
          </cell>
          <cell r="J37">
            <v>2958465</v>
          </cell>
          <cell r="K37" t="str">
            <v>PLANTA</v>
          </cell>
          <cell r="L37" t="str">
            <v>CA ORDINARIA</v>
          </cell>
          <cell r="M37" t="str">
            <v>PROFESOR TITULAR</v>
          </cell>
          <cell r="N37" t="str">
            <v>GRADO A</v>
          </cell>
          <cell r="O37" t="str">
            <v>DOCTORADO</v>
          </cell>
          <cell r="P37" t="str">
            <v>DOCTOR EN CIENCIAS BIOLOGICAS</v>
          </cell>
          <cell r="Q37" t="str">
            <v>TALCA</v>
          </cell>
          <cell r="R37" t="str">
            <v>INSTITUTO DE CIENCIAS BIOLÓGICAS</v>
          </cell>
          <cell r="S37" t="str">
            <v>INSTITUTO DE CIENCIAS BIOLÓGICAS</v>
          </cell>
        </row>
        <row r="38">
          <cell r="A38">
            <v>7488503</v>
          </cell>
          <cell r="B38" t="str">
            <v>7488503</v>
          </cell>
          <cell r="C38" t="str">
            <v>9</v>
          </cell>
          <cell r="D38" t="str">
            <v>VILLASEÑOR FICA JORGE EDUARDO</v>
          </cell>
          <cell r="E38" t="str">
            <v>IQR300001</v>
          </cell>
          <cell r="F38">
            <v>44</v>
          </cell>
          <cell r="G38">
            <v>30</v>
          </cell>
          <cell r="H38" t="str">
            <v>JVILLASE@UTALCA.CL</v>
          </cell>
          <cell r="I38">
            <v>32948</v>
          </cell>
          <cell r="J38">
            <v>2958465</v>
          </cell>
          <cell r="K38" t="str">
            <v>PLANTA</v>
          </cell>
          <cell r="L38" t="str">
            <v>CA ORDINARIA</v>
          </cell>
          <cell r="M38" t="str">
            <v>PROFESOR ASOCIADO</v>
          </cell>
          <cell r="N38" t="str">
            <v>GRADO B</v>
          </cell>
          <cell r="O38" t="str">
            <v>DOCTORADO</v>
          </cell>
          <cell r="P38" t="str">
            <v>DOCTOR EN CIENCIAS CON MENCION EN QUIMICA</v>
          </cell>
          <cell r="Q38" t="str">
            <v>TALCA</v>
          </cell>
          <cell r="R38" t="str">
            <v>INSTITUTO QUÍMICA DE RECURSOS NATURALES</v>
          </cell>
          <cell r="S38" t="str">
            <v>INSTITUTO QUÍMICA DE RECURSOS NATURALES</v>
          </cell>
        </row>
        <row r="39">
          <cell r="A39">
            <v>7559588</v>
          </cell>
          <cell r="B39" t="str">
            <v>7559588</v>
          </cell>
          <cell r="C39" t="str">
            <v>3</v>
          </cell>
          <cell r="D39" t="str">
            <v>BRUNEAU MELLADO ALBERTO ENRIQU</v>
          </cell>
          <cell r="E39" t="str">
            <v>ADC021005</v>
          </cell>
          <cell r="F39">
            <v>44</v>
          </cell>
          <cell r="G39">
            <v>30</v>
          </cell>
          <cell r="H39" t="str">
            <v>ABRUNEAU@UTALCA.CL</v>
          </cell>
          <cell r="I39">
            <v>43466</v>
          </cell>
          <cell r="J39">
            <v>46387</v>
          </cell>
          <cell r="K39" t="str">
            <v>CONTRATA</v>
          </cell>
          <cell r="L39" t="str">
            <v>ADMINISTRATIVO</v>
          </cell>
          <cell r="M39" t="str">
            <v>ADMINISTRATIVO</v>
          </cell>
          <cell r="N39" t="str">
            <v>GRADO I.21</v>
          </cell>
          <cell r="O39" t="str">
            <v>TÉC. NIVEL MEDIO</v>
          </cell>
          <cell r="P39" t="str">
            <v>ENSEÑANZA MEDIA H-C ADULTOS</v>
          </cell>
          <cell r="Q39" t="str">
            <v>TALCA</v>
          </cell>
          <cell r="R39" t="str">
            <v>DIRECCIÓN DE COMUNICACIONES CORPORATIVAS</v>
          </cell>
          <cell r="S39" t="str">
            <v>DPTO. DE COMUNICACIÓN EXTERNA Y MEDIOS</v>
          </cell>
        </row>
        <row r="40">
          <cell r="A40">
            <v>7610077</v>
          </cell>
          <cell r="B40" t="str">
            <v>7610077</v>
          </cell>
          <cell r="C40" t="str">
            <v>2</v>
          </cell>
          <cell r="D40" t="str">
            <v>NAVARRETE BUSTAMANTE JORGE ROB</v>
          </cell>
          <cell r="E40" t="str">
            <v>FEN310001</v>
          </cell>
          <cell r="F40">
            <v>44</v>
          </cell>
          <cell r="G40">
            <v>30</v>
          </cell>
          <cell r="H40" t="str">
            <v>JNAVARRETE@UTALCA.CL</v>
          </cell>
          <cell r="I40">
            <v>39417</v>
          </cell>
          <cell r="J40">
            <v>46446</v>
          </cell>
          <cell r="K40" t="str">
            <v>CONTRATA</v>
          </cell>
          <cell r="L40" t="str">
            <v>CA DE LA PROFESIÓN</v>
          </cell>
          <cell r="M40" t="str">
            <v>PROFESOR ASOCIADO</v>
          </cell>
          <cell r="N40" t="str">
            <v>GRADO B</v>
          </cell>
          <cell r="O40" t="str">
            <v>DOCTORADO</v>
          </cell>
          <cell r="P40" t="str">
            <v>DOCTORADO EN PROCESOS SOCIALES Y POLITICOS EN</v>
          </cell>
          <cell r="Q40" t="str">
            <v>TALCA</v>
          </cell>
          <cell r="R40" t="str">
            <v>FACULTAD DE ECONOMÍA Y NEGOCIOS</v>
          </cell>
          <cell r="S40" t="str">
            <v>ESCUELA DE INGENIERÍA COMERCIAL DE TALCA</v>
          </cell>
        </row>
        <row r="41">
          <cell r="A41">
            <v>7615764</v>
          </cell>
          <cell r="B41" t="str">
            <v>7615764</v>
          </cell>
          <cell r="C41" t="str">
            <v>2</v>
          </cell>
          <cell r="D41" t="str">
            <v>FAUNDEZ FIGUEROA HECTOR MANUEL</v>
          </cell>
          <cell r="E41" t="str">
            <v>FCS320001</v>
          </cell>
          <cell r="F41">
            <v>33</v>
          </cell>
          <cell r="G41">
            <v>30</v>
          </cell>
          <cell r="H41" t="str">
            <v>HECTOR.FAUNDEZ@UTALCA.CL</v>
          </cell>
          <cell r="I41">
            <v>44197</v>
          </cell>
          <cell r="J41">
            <v>46387</v>
          </cell>
          <cell r="K41" t="str">
            <v>CONTRATA</v>
          </cell>
          <cell r="L41" t="str">
            <v>TÉCNICO</v>
          </cell>
          <cell r="M41" t="str">
            <v>TÉCNICO</v>
          </cell>
          <cell r="N41" t="str">
            <v>GRADO I.21</v>
          </cell>
          <cell r="O41" t="str">
            <v>TÉC. NIVEL SUPERIOR</v>
          </cell>
          <cell r="P41" t="str">
            <v>PODOLOGO CLINICO</v>
          </cell>
          <cell r="Q41" t="str">
            <v>TALCA</v>
          </cell>
          <cell r="R41" t="str">
            <v>FACULTAD DE CIENCIAS DE LA SALUD</v>
          </cell>
          <cell r="S41" t="str">
            <v>DPTO. BIOQUÍM. CLÍN. E INMUNOHEMATOLOGÍA</v>
          </cell>
        </row>
        <row r="42">
          <cell r="A42">
            <v>7656340</v>
          </cell>
          <cell r="B42" t="str">
            <v>07656340</v>
          </cell>
          <cell r="C42" t="str">
            <v>3</v>
          </cell>
          <cell r="D42" t="str">
            <v>DEISLER COLL MARIANA ELISA</v>
          </cell>
          <cell r="E42" t="str">
            <v>VRF400009</v>
          </cell>
          <cell r="F42">
            <v>44</v>
          </cell>
          <cell r="G42">
            <v>30</v>
          </cell>
          <cell r="H42" t="str">
            <v>MDEISLER@UTALCA.CL</v>
          </cell>
          <cell r="I42">
            <v>41730</v>
          </cell>
          <cell r="J42">
            <v>46446</v>
          </cell>
          <cell r="K42" t="str">
            <v>CONTRATA</v>
          </cell>
          <cell r="L42" t="str">
            <v>CA DOCENTE</v>
          </cell>
          <cell r="M42" t="str">
            <v>PROFESOR ASOCIADO</v>
          </cell>
          <cell r="N42" t="str">
            <v>GRADO B</v>
          </cell>
          <cell r="O42" t="str">
            <v>MAGISTER</v>
          </cell>
          <cell r="P42" t="str">
            <v>MASTER OF ARTS</v>
          </cell>
          <cell r="Q42" t="str">
            <v>TALCA</v>
          </cell>
          <cell r="R42" t="str">
            <v>DIRECCIÓN DE PREGRADO</v>
          </cell>
          <cell r="S42" t="str">
            <v>PROGRAMA DE FORMACIÓN FUNDAMENTAL</v>
          </cell>
        </row>
        <row r="43">
          <cell r="A43">
            <v>7707241</v>
          </cell>
          <cell r="B43" t="str">
            <v>7707241</v>
          </cell>
          <cell r="C43" t="str">
            <v>1</v>
          </cell>
          <cell r="D43" t="str">
            <v>VENEGAS ROJAS BERNARDO ARTURO</v>
          </cell>
          <cell r="E43" t="str">
            <v>FOD320002</v>
          </cell>
          <cell r="F43">
            <v>12</v>
          </cell>
          <cell r="G43">
            <v>30</v>
          </cell>
          <cell r="H43" t="str">
            <v>BVENEGAS@UTALCA.CL</v>
          </cell>
          <cell r="I43">
            <v>36892</v>
          </cell>
          <cell r="J43">
            <v>46351</v>
          </cell>
          <cell r="K43" t="str">
            <v>CONTRATA</v>
          </cell>
          <cell r="L43" t="str">
            <v>CA DOCENTE</v>
          </cell>
          <cell r="M43" t="str">
            <v>PROFESOR ASOCIADO</v>
          </cell>
          <cell r="N43" t="str">
            <v>GRADO B</v>
          </cell>
          <cell r="O43" t="str">
            <v>DOCTORADO</v>
          </cell>
          <cell r="P43" t="str">
            <v>DOCTOR EN CIENCIAS MEDICAS</v>
          </cell>
          <cell r="Q43" t="str">
            <v>TALCA</v>
          </cell>
          <cell r="R43" t="str">
            <v>FACULTAD DE ODONTOLOGÍA</v>
          </cell>
          <cell r="S43" t="str">
            <v>DEPARTAMENTO DE ESTOMATOLOGÍA</v>
          </cell>
        </row>
        <row r="44">
          <cell r="A44">
            <v>7730709</v>
          </cell>
          <cell r="B44" t="str">
            <v>7730709</v>
          </cell>
          <cell r="C44" t="str">
            <v>5</v>
          </cell>
          <cell r="D44" t="str">
            <v>TENREIRO LEIVA CLAUDIO FABIAN</v>
          </cell>
          <cell r="E44" t="str">
            <v>FCI320004</v>
          </cell>
          <cell r="F44">
            <v>44</v>
          </cell>
          <cell r="G44">
            <v>30</v>
          </cell>
          <cell r="H44" t="str">
            <v>CTENREIRO@UTALCA.CL</v>
          </cell>
          <cell r="I44">
            <v>38173</v>
          </cell>
          <cell r="J44">
            <v>2958465</v>
          </cell>
          <cell r="K44" t="str">
            <v>PLANTA</v>
          </cell>
          <cell r="L44" t="str">
            <v>CA ORDINARIA</v>
          </cell>
          <cell r="M44" t="str">
            <v>PROFESOR TITULAR</v>
          </cell>
          <cell r="N44" t="str">
            <v>GRADO A</v>
          </cell>
          <cell r="O44" t="str">
            <v>DOCTORADO</v>
          </cell>
          <cell r="P44" t="str">
            <v>DOCTOR EN FÍSICA</v>
          </cell>
          <cell r="Q44" t="str">
            <v>CURICO</v>
          </cell>
          <cell r="R44" t="str">
            <v>FACULTAD DE INGENIERÍA</v>
          </cell>
          <cell r="S44" t="str">
            <v>DEPARTAMENTO DE TECNOLOGÍA INDUSTRIALES</v>
          </cell>
        </row>
        <row r="45">
          <cell r="A45">
            <v>7743260</v>
          </cell>
          <cell r="B45" t="str">
            <v>7743260</v>
          </cell>
          <cell r="C45" t="str">
            <v>4</v>
          </cell>
          <cell r="D45" t="str">
            <v>ZUÑIGA REYES FRANCISCO FEDERIC</v>
          </cell>
          <cell r="E45" t="str">
            <v>FAM320003</v>
          </cell>
          <cell r="F45">
            <v>6</v>
          </cell>
          <cell r="G45">
            <v>30</v>
          </cell>
          <cell r="H45" t="str">
            <v>FZUNIGA@UTALCA.CL</v>
          </cell>
          <cell r="I45">
            <v>41852</v>
          </cell>
          <cell r="J45">
            <v>46446</v>
          </cell>
          <cell r="K45" t="str">
            <v>CONTRATA</v>
          </cell>
          <cell r="L45" t="str">
            <v>CA DE LA PROFESIÓN</v>
          </cell>
          <cell r="M45" t="str">
            <v>INSTRUCTOR</v>
          </cell>
          <cell r="N45" t="str">
            <v>GRADO D</v>
          </cell>
          <cell r="O45" t="str">
            <v>ESPECIAL. MÉDICA</v>
          </cell>
          <cell r="P45" t="str">
            <v>ESPECIALISTA EN CIRUGÍA ONCOLÓGICA</v>
          </cell>
          <cell r="Q45" t="str">
            <v>TALCA</v>
          </cell>
          <cell r="R45" t="str">
            <v>FACULTAD DE MEDICINA</v>
          </cell>
          <cell r="S45" t="str">
            <v>DPTO. DE ESPECIALIDADES QUIRÚRGICAS</v>
          </cell>
        </row>
        <row r="46">
          <cell r="A46">
            <v>7751217</v>
          </cell>
          <cell r="B46" t="str">
            <v>07751217</v>
          </cell>
          <cell r="C46" t="str">
            <v>9</v>
          </cell>
          <cell r="D46" t="str">
            <v>BRIONES LORCA MARIA DEL CARMEN</v>
          </cell>
          <cell r="E46" t="str">
            <v>FCS310007</v>
          </cell>
          <cell r="F46">
            <v>44</v>
          </cell>
          <cell r="G46">
            <v>30</v>
          </cell>
          <cell r="H46" t="str">
            <v>MBRIONESL@UTALCA.CL</v>
          </cell>
          <cell r="I46">
            <v>44317</v>
          </cell>
          <cell r="J46">
            <v>46446</v>
          </cell>
          <cell r="K46" t="str">
            <v>CONTRATA</v>
          </cell>
          <cell r="L46" t="str">
            <v>CA DOCENTE</v>
          </cell>
          <cell r="M46" t="str">
            <v>INSTRUCTOR</v>
          </cell>
          <cell r="N46" t="str">
            <v>GRADO D</v>
          </cell>
          <cell r="O46" t="str">
            <v>MAGISTER</v>
          </cell>
          <cell r="P46" t="str">
            <v>MAGISTER EN GERENCIA Y GESTION PUBLICA</v>
          </cell>
          <cell r="Q46" t="str">
            <v>TALCA</v>
          </cell>
          <cell r="R46" t="str">
            <v>FACULTAD DE CIENCIAS DE LA SALUD</v>
          </cell>
          <cell r="S46" t="str">
            <v>ESCUELA DE OBSTETRICIA Y PUERICULTURA</v>
          </cell>
        </row>
        <row r="47">
          <cell r="A47">
            <v>7817802</v>
          </cell>
          <cell r="B47" t="str">
            <v>07817802</v>
          </cell>
          <cell r="C47" t="str">
            <v>7</v>
          </cell>
          <cell r="D47" t="str">
            <v>SAITUA MATURANA LUZ MARIA</v>
          </cell>
          <cell r="E47" t="str">
            <v>FED310003</v>
          </cell>
          <cell r="F47">
            <v>6</v>
          </cell>
          <cell r="G47">
            <v>30</v>
          </cell>
          <cell r="H47" t="str">
            <v>LSAITUA@UTALCA.CL</v>
          </cell>
          <cell r="I47">
            <v>42248</v>
          </cell>
          <cell r="J47">
            <v>46446</v>
          </cell>
          <cell r="K47" t="str">
            <v>CONTRATA</v>
          </cell>
          <cell r="L47" t="str">
            <v>CA DOCENTE</v>
          </cell>
          <cell r="M47" t="str">
            <v>PROFESOR ASISTENTE</v>
          </cell>
          <cell r="N47" t="str">
            <v>GRADO C</v>
          </cell>
          <cell r="O47" t="str">
            <v>MAGISTER</v>
          </cell>
          <cell r="P47" t="str">
            <v>MASTER EN ARTES MENCIÓN MUSICOLOGÍA</v>
          </cell>
          <cell r="Q47" t="str">
            <v>SANTIAGO</v>
          </cell>
          <cell r="R47" t="str">
            <v>FACULTAD DE CIENCIAS DE LA EDUCACIÓN</v>
          </cell>
          <cell r="S47" t="str">
            <v>ESCUELA DE PEDAGOGÍA EN ALEMÁN</v>
          </cell>
        </row>
        <row r="48">
          <cell r="A48">
            <v>7876530</v>
          </cell>
          <cell r="B48" t="str">
            <v>7876530</v>
          </cell>
          <cell r="C48" t="str">
            <v>5</v>
          </cell>
          <cell r="D48" t="str">
            <v>OSORES OSORIO CARLOS EUSEBIO</v>
          </cell>
          <cell r="E48" t="str">
            <v>ADC019005</v>
          </cell>
          <cell r="F48">
            <v>44</v>
          </cell>
          <cell r="G48">
            <v>30</v>
          </cell>
          <cell r="H48" t="str">
            <v>CARLOS.OSORES@UTALCA.CL</v>
          </cell>
          <cell r="I48">
            <v>44927</v>
          </cell>
          <cell r="J48">
            <v>46112</v>
          </cell>
          <cell r="K48" t="str">
            <v>CONTRATA</v>
          </cell>
          <cell r="L48" t="str">
            <v>PROFESIONAL</v>
          </cell>
          <cell r="M48" t="str">
            <v>PROFESIONAL</v>
          </cell>
          <cell r="N48" t="str">
            <v>GRADO I.17</v>
          </cell>
          <cell r="O48" t="str">
            <v>TÍTULO PROFESIONAL</v>
          </cell>
          <cell r="P48" t="str">
            <v>PROFESOR DE ESTADO DE ARTES PLASTICAS</v>
          </cell>
          <cell r="Q48" t="str">
            <v>TALCA</v>
          </cell>
          <cell r="R48" t="str">
            <v>EDITORIAL</v>
          </cell>
          <cell r="S48" t="str">
            <v>EDITORIAL</v>
          </cell>
        </row>
        <row r="49">
          <cell r="A49">
            <v>7901566</v>
          </cell>
          <cell r="B49" t="str">
            <v>7901566</v>
          </cell>
          <cell r="C49" t="str">
            <v>0</v>
          </cell>
          <cell r="D49" t="str">
            <v>LOBOS ANDRADE GERMAN ENRIQUE</v>
          </cell>
          <cell r="E49" t="str">
            <v>FEN310001</v>
          </cell>
          <cell r="F49">
            <v>44</v>
          </cell>
          <cell r="G49">
            <v>30</v>
          </cell>
          <cell r="H49" t="str">
            <v>GLOBOS@UTALCA.CL</v>
          </cell>
          <cell r="I49">
            <v>34790</v>
          </cell>
          <cell r="J49">
            <v>2958465</v>
          </cell>
          <cell r="K49" t="str">
            <v>PLANTA</v>
          </cell>
          <cell r="L49" t="str">
            <v>CA ORDINARIA</v>
          </cell>
          <cell r="M49" t="str">
            <v>PROFESOR TITULAR</v>
          </cell>
          <cell r="N49" t="str">
            <v>GRADO A</v>
          </cell>
          <cell r="O49" t="str">
            <v>DOCTORADO</v>
          </cell>
          <cell r="P49" t="str">
            <v>DOCTORAT DE GESTION</v>
          </cell>
          <cell r="Q49" t="str">
            <v>TALCA</v>
          </cell>
          <cell r="R49" t="str">
            <v>FACULTAD DE ECONOMÍA Y NEGOCIOS</v>
          </cell>
          <cell r="S49" t="str">
            <v>ESCUELA DE INGENIERÍA COMERCIAL DE TALCA</v>
          </cell>
        </row>
        <row r="50">
          <cell r="A50">
            <v>7921623</v>
          </cell>
          <cell r="B50" t="str">
            <v>7921623</v>
          </cell>
          <cell r="C50" t="str">
            <v>2</v>
          </cell>
          <cell r="D50" t="str">
            <v>REYES GONZALEZ MARIA ELIANA</v>
          </cell>
          <cell r="E50" t="str">
            <v>VRF400040</v>
          </cell>
          <cell r="F50">
            <v>44</v>
          </cell>
          <cell r="G50">
            <v>30</v>
          </cell>
          <cell r="H50" t="str">
            <v>MEREYES@UTALCA.CL</v>
          </cell>
          <cell r="I50">
            <v>32813</v>
          </cell>
          <cell r="J50">
            <v>2958465</v>
          </cell>
          <cell r="K50" t="str">
            <v>PLANTA</v>
          </cell>
          <cell r="L50" t="str">
            <v>ADMINISTRATIVO</v>
          </cell>
          <cell r="M50" t="str">
            <v>TÉCNICO</v>
          </cell>
          <cell r="N50" t="str">
            <v>GRADO I.23</v>
          </cell>
          <cell r="O50" t="str">
            <v>TÍTULO PROFESIONAL</v>
          </cell>
          <cell r="P50" t="str">
            <v>ADMINISTRADOR CON MENCION EN GESTION PUBLICA.</v>
          </cell>
          <cell r="Q50" t="str">
            <v>TALCA</v>
          </cell>
          <cell r="R50" t="str">
            <v>VICERRECTORÍA DE FORMACIÓN</v>
          </cell>
          <cell r="S50" t="str">
            <v>DIRECCIÓN DE CICLO DE VIDA ESTUDIANTIL</v>
          </cell>
        </row>
        <row r="51">
          <cell r="A51">
            <v>7939559</v>
          </cell>
          <cell r="B51" t="str">
            <v>7939559</v>
          </cell>
          <cell r="C51" t="str">
            <v>5</v>
          </cell>
          <cell r="D51" t="str">
            <v>ZAPATA LARRAIN GONZALO</v>
          </cell>
          <cell r="E51" t="str">
            <v>VRF100003</v>
          </cell>
          <cell r="F51">
            <v>44</v>
          </cell>
          <cell r="G51">
            <v>30</v>
          </cell>
          <cell r="H51" t="str">
            <v>GONZALO.ZAPATAL@UTALCA.CL</v>
          </cell>
          <cell r="I51">
            <v>45048</v>
          </cell>
          <cell r="J51">
            <v>2958465</v>
          </cell>
          <cell r="K51" t="str">
            <v>PLANTA</v>
          </cell>
          <cell r="L51" t="str">
            <v>CONFERENCIANTE</v>
          </cell>
          <cell r="M51" t="str">
            <v>DIR EXCLU. CONFIANZA</v>
          </cell>
          <cell r="N51" t="str">
            <v>GRADO I.8</v>
          </cell>
          <cell r="O51" t="str">
            <v>DOCTORADO</v>
          </cell>
          <cell r="P51" t="str">
            <v>DOCTOR OF PHILOSOPHY</v>
          </cell>
          <cell r="Q51" t="str">
            <v>TALCA</v>
          </cell>
          <cell r="R51" t="str">
            <v>VICERRECTORÍA DE FORMACIÓN</v>
          </cell>
          <cell r="S51" t="str">
            <v>ACADEMIA DOCENTE</v>
          </cell>
        </row>
        <row r="52">
          <cell r="A52">
            <v>7956416</v>
          </cell>
          <cell r="B52" t="str">
            <v>7956416</v>
          </cell>
          <cell r="C52" t="str">
            <v>8</v>
          </cell>
          <cell r="D52" t="str">
            <v>ESTRADA CASTRO VIVIANA DE FATI</v>
          </cell>
          <cell r="E52" t="str">
            <v>FCS320009</v>
          </cell>
          <cell r="F52">
            <v>44</v>
          </cell>
          <cell r="G52">
            <v>30</v>
          </cell>
          <cell r="H52" t="str">
            <v>VESTRADA@UTALCA.CL</v>
          </cell>
          <cell r="I52">
            <v>39965</v>
          </cell>
          <cell r="J52">
            <v>46446</v>
          </cell>
          <cell r="K52" t="str">
            <v>CONTRATA</v>
          </cell>
          <cell r="L52" t="str">
            <v>CA DOCENTE</v>
          </cell>
          <cell r="M52" t="str">
            <v>INSTRUCTOR</v>
          </cell>
          <cell r="N52" t="str">
            <v>GRADO D</v>
          </cell>
          <cell r="O52" t="str">
            <v>MAGISTER</v>
          </cell>
          <cell r="P52" t="str">
            <v>MAGISTER EN GERONTOLOGÍA SOCIAL</v>
          </cell>
          <cell r="Q52" t="str">
            <v>TALCA</v>
          </cell>
          <cell r="R52" t="str">
            <v>FACULTAD DE CIENCIAS DE LA SALUD</v>
          </cell>
          <cell r="S52" t="str">
            <v>DPTO. DE CIENCIAS DEL MOVIMIENTO HUMANO</v>
          </cell>
        </row>
        <row r="53">
          <cell r="A53">
            <v>7976936</v>
          </cell>
          <cell r="B53" t="str">
            <v>7976936</v>
          </cell>
          <cell r="C53" t="str">
            <v>3</v>
          </cell>
          <cell r="D53" t="str">
            <v>SANTIBAÑEZ GONZALEZ ERNESTO DE</v>
          </cell>
          <cell r="E53" t="str">
            <v>FCI320002</v>
          </cell>
          <cell r="F53">
            <v>44</v>
          </cell>
          <cell r="G53">
            <v>30</v>
          </cell>
          <cell r="H53" t="str">
            <v>ESANTIBANEZ@UTALCA.CL</v>
          </cell>
          <cell r="I53">
            <v>41974</v>
          </cell>
          <cell r="J53">
            <v>2958465</v>
          </cell>
          <cell r="K53" t="str">
            <v>PLANTA</v>
          </cell>
          <cell r="L53" t="str">
            <v>CA ORDINARIA</v>
          </cell>
          <cell r="M53" t="str">
            <v>PROFESOR TITULAR</v>
          </cell>
          <cell r="N53" t="str">
            <v>GRADO A</v>
          </cell>
          <cell r="O53" t="str">
            <v>DOCTORADO</v>
          </cell>
          <cell r="P53" t="str">
            <v>DOCTOR EN CIENCIAS EN INGENIERÍA DE LA PRODUC</v>
          </cell>
          <cell r="Q53" t="str">
            <v>CURICO</v>
          </cell>
          <cell r="R53" t="str">
            <v>FACULTAD DE INGENIERÍA</v>
          </cell>
          <cell r="S53" t="str">
            <v>DEPARTAMENTO DE INGENIERÍA INDUSTRIAL</v>
          </cell>
        </row>
        <row r="54">
          <cell r="A54">
            <v>8000748</v>
          </cell>
          <cell r="B54" t="str">
            <v>8000748</v>
          </cell>
          <cell r="C54" t="str">
            <v>5</v>
          </cell>
          <cell r="D54" t="str">
            <v>MARTINEZ JIMENEZ LUIS FERNANDO</v>
          </cell>
          <cell r="E54" t="str">
            <v>FCS320010</v>
          </cell>
          <cell r="F54">
            <v>44</v>
          </cell>
          <cell r="G54">
            <v>30</v>
          </cell>
          <cell r="H54" t="str">
            <v>LMARTINEZ@UTALCA.CL</v>
          </cell>
          <cell r="I54">
            <v>38047</v>
          </cell>
          <cell r="J54">
            <v>46446</v>
          </cell>
          <cell r="K54" t="str">
            <v>CONTRATA</v>
          </cell>
          <cell r="L54" t="str">
            <v>CA DOCENTE</v>
          </cell>
          <cell r="M54" t="str">
            <v>PROFESOR ASISTENTE</v>
          </cell>
          <cell r="N54" t="str">
            <v>GRADO C</v>
          </cell>
          <cell r="O54" t="str">
            <v>DOCTORADO</v>
          </cell>
          <cell r="P54" t="str">
            <v>DOCTOR EN LINGÜISTICA</v>
          </cell>
          <cell r="Q54" t="str">
            <v>TALCA</v>
          </cell>
          <cell r="R54" t="str">
            <v>FACULTAD DE CIENCIAS DE LA SALUD</v>
          </cell>
          <cell r="S54" t="str">
            <v>DPTO. DE CIENCIAS DE FONOAUDIOLOGÍA</v>
          </cell>
        </row>
        <row r="55">
          <cell r="A55">
            <v>8002094</v>
          </cell>
          <cell r="B55" t="str">
            <v>8002094</v>
          </cell>
          <cell r="C55" t="str">
            <v>5</v>
          </cell>
          <cell r="D55" t="str">
            <v>ZAMUDIO ARANCIBIA FRANCISCO JA</v>
          </cell>
          <cell r="E55" t="str">
            <v>FCS320003</v>
          </cell>
          <cell r="F55">
            <v>44</v>
          </cell>
          <cell r="G55">
            <v>30</v>
          </cell>
          <cell r="H55" t="str">
            <v>FRANZAMUDIO@UTALCA.CL</v>
          </cell>
          <cell r="I55">
            <v>32203</v>
          </cell>
          <cell r="J55">
            <v>2958465</v>
          </cell>
          <cell r="K55" t="str">
            <v>PLANTA</v>
          </cell>
          <cell r="L55" t="str">
            <v>CA ORDINARIA</v>
          </cell>
          <cell r="M55" t="str">
            <v>PROFESOR TITULAR</v>
          </cell>
          <cell r="N55" t="str">
            <v>GRADO A</v>
          </cell>
          <cell r="O55" t="str">
            <v>DOCTORADO</v>
          </cell>
          <cell r="P55" t="str">
            <v>DOCTOR EN PHILOSOPHY</v>
          </cell>
          <cell r="Q55" t="str">
            <v>TALCA</v>
          </cell>
          <cell r="R55" t="str">
            <v>FACULTAD DE CIENCIAS DE LA SALUD</v>
          </cell>
          <cell r="S55" t="str">
            <v>DEPARTAMENTO DE SALUD PÚBLICA</v>
          </cell>
        </row>
        <row r="56">
          <cell r="A56">
            <v>8037817</v>
          </cell>
          <cell r="B56" t="str">
            <v>8037817</v>
          </cell>
          <cell r="C56" t="str">
            <v>3</v>
          </cell>
          <cell r="D56" t="str">
            <v>YURI SALOMON JOSE ANTONIO</v>
          </cell>
          <cell r="E56" t="str">
            <v>FCA320002</v>
          </cell>
          <cell r="F56">
            <v>22</v>
          </cell>
          <cell r="G56">
            <v>30</v>
          </cell>
          <cell r="H56" t="str">
            <v>AYURI@UTALCA.CL</v>
          </cell>
          <cell r="I56">
            <v>33329</v>
          </cell>
          <cell r="J56">
            <v>46446</v>
          </cell>
          <cell r="K56" t="str">
            <v>CONTRATA</v>
          </cell>
          <cell r="L56" t="str">
            <v>CA ORDINARIA</v>
          </cell>
          <cell r="M56" t="str">
            <v>PROFESOR TITULAR</v>
          </cell>
          <cell r="N56" t="str">
            <v>GRADO A</v>
          </cell>
          <cell r="O56" t="str">
            <v>DOCTORADO</v>
          </cell>
          <cell r="P56" t="str">
            <v>DOCTOR EN CIENCIAS AGRICOLAS (DR.AGR.)</v>
          </cell>
          <cell r="Q56" t="str">
            <v>TALCA</v>
          </cell>
          <cell r="R56" t="str">
            <v>FACULTAD DE CIENCIAS AGRARIAS</v>
          </cell>
          <cell r="S56" t="str">
            <v>DEPARTAMENTO DE HORTICULTURA</v>
          </cell>
        </row>
        <row r="57">
          <cell r="A57">
            <v>8128167</v>
          </cell>
          <cell r="B57" t="str">
            <v>8128167</v>
          </cell>
          <cell r="C57" t="str">
            <v>K</v>
          </cell>
          <cell r="D57" t="str">
            <v>ELGUETA SIERRA PAULA</v>
          </cell>
          <cell r="E57" t="str">
            <v>FAD320005</v>
          </cell>
          <cell r="F57">
            <v>44</v>
          </cell>
          <cell r="G57">
            <v>30</v>
          </cell>
          <cell r="H57" t="str">
            <v>PAULA.ELGUETA@UTALCA.CL</v>
          </cell>
          <cell r="I57">
            <v>43831</v>
          </cell>
          <cell r="J57">
            <v>46446</v>
          </cell>
          <cell r="K57" t="str">
            <v>CONTRATA</v>
          </cell>
          <cell r="L57" t="str">
            <v>CA DE LA PROFESIÓN</v>
          </cell>
          <cell r="M57" t="str">
            <v>PROFESOR ASOCIADO</v>
          </cell>
          <cell r="N57" t="str">
            <v>GRADO B</v>
          </cell>
          <cell r="O57" t="str">
            <v>TÍTULO PROFESIONAL</v>
          </cell>
          <cell r="P57" t="str">
            <v>PROFESORA DE EDUCACION MUSICAL</v>
          </cell>
          <cell r="Q57" t="str">
            <v>TALCA</v>
          </cell>
          <cell r="R57" t="str">
            <v>FACULTAD DE ARQUITECTUR, MÚSICA Y DISEÑO</v>
          </cell>
          <cell r="S57" t="str">
            <v>DEPTO. DE INTERP. Y FORM. MUSICAL ESPEC.</v>
          </cell>
        </row>
        <row r="58">
          <cell r="A58">
            <v>8158868</v>
          </cell>
          <cell r="B58" t="str">
            <v>8158868</v>
          </cell>
          <cell r="C58" t="str">
            <v>6</v>
          </cell>
          <cell r="D58" t="str">
            <v>SUAREZ CROTHERS CHRISTIAN GABR</v>
          </cell>
          <cell r="E58" t="str">
            <v>FCJ320003</v>
          </cell>
          <cell r="F58">
            <v>44</v>
          </cell>
          <cell r="G58">
            <v>30</v>
          </cell>
          <cell r="H58" t="str">
            <v>CSUAREZ@UTALCA.CL</v>
          </cell>
          <cell r="I58">
            <v>33675</v>
          </cell>
          <cell r="J58">
            <v>2958465</v>
          </cell>
          <cell r="K58" t="str">
            <v>PLANTA</v>
          </cell>
          <cell r="L58" t="str">
            <v>CA ORDINARIA</v>
          </cell>
          <cell r="M58" t="str">
            <v>PROFESOR ASOCIADO</v>
          </cell>
          <cell r="N58" t="str">
            <v>GRADO B</v>
          </cell>
          <cell r="O58" t="str">
            <v>DOCTORADO</v>
          </cell>
          <cell r="P58" t="str">
            <v>DOCTOR EN DERECHO</v>
          </cell>
          <cell r="Q58" t="str">
            <v>TALCA</v>
          </cell>
          <cell r="R58" t="str">
            <v>FACULTAD CIENCIAS JURÍDICAS Y SOCIALES</v>
          </cell>
          <cell r="S58" t="str">
            <v>DEPARTAMENTO DE DERECHO PÚBLICO</v>
          </cell>
        </row>
        <row r="59">
          <cell r="A59">
            <v>8186262</v>
          </cell>
          <cell r="B59" t="str">
            <v>8186262</v>
          </cell>
          <cell r="C59" t="str">
            <v>1</v>
          </cell>
          <cell r="D59" t="str">
            <v>LOBOS GILABERT OLGA DE LAS MER</v>
          </cell>
          <cell r="E59" t="str">
            <v>FCS320002</v>
          </cell>
          <cell r="F59">
            <v>44</v>
          </cell>
          <cell r="G59">
            <v>30</v>
          </cell>
          <cell r="H59" t="str">
            <v>OLOBOS@UTALCA.CL</v>
          </cell>
          <cell r="I59">
            <v>35490</v>
          </cell>
          <cell r="J59">
            <v>46446</v>
          </cell>
          <cell r="K59" t="str">
            <v>CONTRATA</v>
          </cell>
          <cell r="L59" t="str">
            <v>CA DOCENTE</v>
          </cell>
          <cell r="M59" t="str">
            <v>PROFESOR ASOCIADO</v>
          </cell>
          <cell r="N59" t="str">
            <v>GRADO B</v>
          </cell>
          <cell r="O59" t="str">
            <v>MAGISTER</v>
          </cell>
          <cell r="P59" t="str">
            <v>MAGÍSTER EN CIENCIAS BIOMÉDICAS M/ MICROBIOLO</v>
          </cell>
          <cell r="Q59" t="str">
            <v>TALCA</v>
          </cell>
          <cell r="R59" t="str">
            <v>FACULTAD DE CIENCIAS DE LA SALUD</v>
          </cell>
          <cell r="S59" t="str">
            <v>DEPARTAMENTO DE MICROBIOLOGÍA</v>
          </cell>
        </row>
        <row r="60">
          <cell r="A60">
            <v>8186514</v>
          </cell>
          <cell r="B60" t="str">
            <v>8186514</v>
          </cell>
          <cell r="C60" t="str">
            <v>0</v>
          </cell>
          <cell r="D60" t="str">
            <v>ITURRA HERRERA CAROLINA</v>
          </cell>
          <cell r="E60" t="str">
            <v>FPS200001</v>
          </cell>
          <cell r="F60">
            <v>44</v>
          </cell>
          <cell r="G60">
            <v>30</v>
          </cell>
          <cell r="H60" t="str">
            <v>CITURRA@UTALCA.CL</v>
          </cell>
          <cell r="I60">
            <v>41036</v>
          </cell>
          <cell r="J60">
            <v>2958465</v>
          </cell>
          <cell r="K60" t="str">
            <v>PLANTA</v>
          </cell>
          <cell r="L60" t="str">
            <v>CA ORDINARIA</v>
          </cell>
          <cell r="M60" t="str">
            <v>PROFESOR ASOCIADO</v>
          </cell>
          <cell r="N60" t="str">
            <v>GRADO B</v>
          </cell>
          <cell r="O60" t="str">
            <v>DOCTORADO</v>
          </cell>
          <cell r="P60" t="str">
            <v>DOCTOR POR LA UNIVERSIDAD DE SALAMANCA</v>
          </cell>
          <cell r="Q60" t="str">
            <v>TALCA</v>
          </cell>
          <cell r="R60" t="str">
            <v>FACULTAD DE PSICOLOGÍA</v>
          </cell>
          <cell r="S60" t="str">
            <v>FACULTAD DE PSICOLOGÍA</v>
          </cell>
        </row>
        <row r="61">
          <cell r="A61">
            <v>8205579</v>
          </cell>
          <cell r="B61" t="str">
            <v>8205579</v>
          </cell>
          <cell r="C61" t="str">
            <v>7</v>
          </cell>
          <cell r="D61" t="str">
            <v>BALDI PACHECO LEONARDO SANTIAG</v>
          </cell>
          <cell r="E61" t="str">
            <v>VAC400001</v>
          </cell>
          <cell r="F61">
            <v>44</v>
          </cell>
          <cell r="G61">
            <v>30</v>
          </cell>
          <cell r="H61" t="str">
            <v>LBALDI@UTALCA.CL</v>
          </cell>
          <cell r="I61">
            <v>32509</v>
          </cell>
          <cell r="J61">
            <v>2958465</v>
          </cell>
          <cell r="K61" t="str">
            <v>PLANTA</v>
          </cell>
          <cell r="L61" t="str">
            <v>AUXILIAR</v>
          </cell>
          <cell r="M61" t="str">
            <v>ADMINISTRATIVO</v>
          </cell>
          <cell r="N61" t="str">
            <v>GRADO I.18</v>
          </cell>
          <cell r="O61" t="str">
            <v>ESCOLARIDAD CIENT HU</v>
          </cell>
          <cell r="P61" t="str">
            <v>LICENCIA ENSEÑANZA MEDIA</v>
          </cell>
          <cell r="Q61" t="str">
            <v>TALCA</v>
          </cell>
          <cell r="R61" t="str">
            <v>VICERRECTORÍA ACADÉMICA</v>
          </cell>
          <cell r="S61" t="str">
            <v>DIRECCIÓN DE BIBLIOTECAS</v>
          </cell>
        </row>
        <row r="62">
          <cell r="A62">
            <v>8209952</v>
          </cell>
          <cell r="B62" t="str">
            <v>8209952</v>
          </cell>
          <cell r="C62" t="str">
            <v>2</v>
          </cell>
          <cell r="D62" t="str">
            <v>TOLEDO ABARCA CARLOS PATRICIO</v>
          </cell>
          <cell r="E62" t="str">
            <v>FCI320002</v>
          </cell>
          <cell r="F62">
            <v>44</v>
          </cell>
          <cell r="G62">
            <v>30</v>
          </cell>
          <cell r="H62" t="str">
            <v>CTOLEDOA@UTALCA.CL</v>
          </cell>
          <cell r="I62">
            <v>35309</v>
          </cell>
          <cell r="J62">
            <v>2958465</v>
          </cell>
          <cell r="K62" t="str">
            <v>PLANTA</v>
          </cell>
          <cell r="L62" t="str">
            <v>CA ORDINARIA</v>
          </cell>
          <cell r="M62" t="str">
            <v>PROFESOR ASISTENTE</v>
          </cell>
          <cell r="N62" t="str">
            <v>GRADO C</v>
          </cell>
          <cell r="O62" t="str">
            <v>MAGISTER</v>
          </cell>
          <cell r="P62" t="str">
            <v>MASTER EN MANUFACTORING SYSTEMS ENGINEERING</v>
          </cell>
          <cell r="Q62" t="str">
            <v>CURICO</v>
          </cell>
          <cell r="R62" t="str">
            <v>FACULTAD DE INGENIERÍA</v>
          </cell>
          <cell r="S62" t="str">
            <v>DEPARTAMENTO DE INGENIERÍA INDUSTRIAL</v>
          </cell>
        </row>
        <row r="63">
          <cell r="A63">
            <v>8306042</v>
          </cell>
          <cell r="B63" t="str">
            <v>8306042</v>
          </cell>
          <cell r="C63" t="str">
            <v>5</v>
          </cell>
          <cell r="D63" t="str">
            <v>HERRERA FAUNDEZ RAUL SIMON</v>
          </cell>
          <cell r="E63" t="str">
            <v>ICB300001</v>
          </cell>
          <cell r="F63">
            <v>44</v>
          </cell>
          <cell r="G63">
            <v>30</v>
          </cell>
          <cell r="H63" t="str">
            <v>RAHERRE@UTALCA.CL</v>
          </cell>
          <cell r="I63">
            <v>32964</v>
          </cell>
          <cell r="J63">
            <v>2958465</v>
          </cell>
          <cell r="K63" t="str">
            <v>PLANTA</v>
          </cell>
          <cell r="L63" t="str">
            <v>CA ORDINARIA</v>
          </cell>
          <cell r="M63" t="str">
            <v>PROFESOR TITULAR</v>
          </cell>
          <cell r="N63" t="str">
            <v>GRADO A</v>
          </cell>
          <cell r="O63" t="str">
            <v>DOCTORADO</v>
          </cell>
          <cell r="P63" t="str">
            <v>DOCTOR EN BIOLOGIA MOLECULAR</v>
          </cell>
          <cell r="Q63" t="str">
            <v>TALCA</v>
          </cell>
          <cell r="R63" t="str">
            <v>INSTITUTO DE CIENCIAS BIOLÓGICAS</v>
          </cell>
          <cell r="S63" t="str">
            <v>INSTITUTO DE CIENCIAS BIOLÓGICAS</v>
          </cell>
        </row>
        <row r="64">
          <cell r="A64">
            <v>8317186</v>
          </cell>
          <cell r="B64" t="str">
            <v>8317186</v>
          </cell>
          <cell r="C64" t="str">
            <v>3</v>
          </cell>
          <cell r="D64" t="str">
            <v>NANJARI ALVAREZ JUAN CARLOS</v>
          </cell>
          <cell r="E64" t="str">
            <v>VRF400009</v>
          </cell>
          <cell r="F64">
            <v>44</v>
          </cell>
          <cell r="G64">
            <v>30</v>
          </cell>
          <cell r="H64" t="str">
            <v>JNANJARI@UTALCA.CL</v>
          </cell>
          <cell r="I64">
            <v>43344</v>
          </cell>
          <cell r="J64">
            <v>46446</v>
          </cell>
          <cell r="K64" t="str">
            <v>CONTRATA</v>
          </cell>
          <cell r="L64" t="str">
            <v>CA DOCENTE</v>
          </cell>
          <cell r="M64" t="str">
            <v>INSTRUCTOR</v>
          </cell>
          <cell r="N64" t="str">
            <v>GRADO D</v>
          </cell>
          <cell r="O64" t="str">
            <v>MAGISTER</v>
          </cell>
          <cell r="P64" t="str">
            <v>MAGÍSTER EN POLÍTICA Y GESTIÓN EDUCACIONAL</v>
          </cell>
          <cell r="Q64" t="str">
            <v>TALCA</v>
          </cell>
          <cell r="R64" t="str">
            <v>DIRECCIÓN DE PREGRADO</v>
          </cell>
          <cell r="S64" t="str">
            <v>PROGRAMA DE FORMACIÓN FUNDAMENTAL</v>
          </cell>
        </row>
        <row r="65">
          <cell r="A65">
            <v>8326856</v>
          </cell>
          <cell r="B65" t="str">
            <v>8326856</v>
          </cell>
          <cell r="C65" t="str">
            <v>5</v>
          </cell>
          <cell r="D65" t="str">
            <v>MENDEZ ARENAS JUDITH EUGENIA</v>
          </cell>
          <cell r="E65" t="str">
            <v>VDE400001</v>
          </cell>
          <cell r="F65">
            <v>44</v>
          </cell>
          <cell r="G65">
            <v>30</v>
          </cell>
          <cell r="H65" t="str">
            <v>JMENDEZ@UTALCA.CL</v>
          </cell>
          <cell r="I65">
            <v>30834</v>
          </cell>
          <cell r="J65">
            <v>2958465</v>
          </cell>
          <cell r="K65" t="str">
            <v>PLANTA</v>
          </cell>
          <cell r="L65" t="str">
            <v>ADMINISTRATIVO</v>
          </cell>
          <cell r="M65" t="str">
            <v>ADMINISTRATIVO</v>
          </cell>
          <cell r="N65" t="str">
            <v>GRADO I.17</v>
          </cell>
          <cell r="O65" t="str">
            <v>TÉC. NIVEL SUPERIOR</v>
          </cell>
          <cell r="P65" t="str">
            <v>SECRETARIA EJECUTIVA BILINGUE</v>
          </cell>
          <cell r="Q65" t="str">
            <v>TALCA</v>
          </cell>
          <cell r="R65" t="str">
            <v>VICERRECTORÍA DE DESARROLLO ESTUDIANTIL</v>
          </cell>
          <cell r="S65" t="str">
            <v>DIRECCIÓN DE BIENESTAR ESTUDIANTIL</v>
          </cell>
        </row>
        <row r="66">
          <cell r="A66">
            <v>8355196</v>
          </cell>
          <cell r="B66" t="str">
            <v>8355196</v>
          </cell>
          <cell r="C66" t="str">
            <v>8</v>
          </cell>
          <cell r="D66" t="str">
            <v>LEON ARAYA JUANITA SORAYA</v>
          </cell>
          <cell r="E66" t="str">
            <v>FOD320001</v>
          </cell>
          <cell r="F66">
            <v>44</v>
          </cell>
          <cell r="G66">
            <v>30</v>
          </cell>
          <cell r="H66" t="str">
            <v>SLEON@UTALCA.CL</v>
          </cell>
          <cell r="I66">
            <v>36586</v>
          </cell>
          <cell r="J66">
            <v>2958465</v>
          </cell>
          <cell r="K66" t="str">
            <v>PLANTA</v>
          </cell>
          <cell r="L66" t="str">
            <v>CA ORDINARIA</v>
          </cell>
          <cell r="M66" t="str">
            <v>PROFESOR ASOCIADO</v>
          </cell>
          <cell r="N66" t="str">
            <v>GRADO B</v>
          </cell>
          <cell r="O66" t="str">
            <v>DOCTORADO</v>
          </cell>
          <cell r="P66" t="str">
            <v>DOUTORA EM ODONTOLOGIA</v>
          </cell>
          <cell r="Q66" t="str">
            <v>TALCA</v>
          </cell>
          <cell r="R66" t="str">
            <v>FACULTAD DE ODONTOLOGÍA</v>
          </cell>
          <cell r="S66" t="str">
            <v>DPTO. REHABILITACIÓN BUCO-MAXILOFACIAL</v>
          </cell>
        </row>
        <row r="67">
          <cell r="A67">
            <v>8371714</v>
          </cell>
          <cell r="B67" t="str">
            <v>8371714</v>
          </cell>
          <cell r="C67" t="str">
            <v>9</v>
          </cell>
          <cell r="D67" t="str">
            <v>ROJAS MIÑO IRENE EUGENIA</v>
          </cell>
          <cell r="E67" t="str">
            <v>FCJ320001</v>
          </cell>
          <cell r="F67">
            <v>44</v>
          </cell>
          <cell r="G67">
            <v>30</v>
          </cell>
          <cell r="H67" t="str">
            <v>IROJAS@UTALCA.CL</v>
          </cell>
          <cell r="I67">
            <v>35490</v>
          </cell>
          <cell r="J67">
            <v>2958465</v>
          </cell>
          <cell r="K67" t="str">
            <v>PLANTA</v>
          </cell>
          <cell r="L67" t="str">
            <v>CA ORDINARIA</v>
          </cell>
          <cell r="M67" t="str">
            <v>PROFESOR TITULAR</v>
          </cell>
          <cell r="N67" t="str">
            <v>GRADO A</v>
          </cell>
          <cell r="O67" t="str">
            <v>DOCTORADO</v>
          </cell>
          <cell r="P67" t="str">
            <v>DOCTORA EN DERECHO</v>
          </cell>
          <cell r="Q67" t="str">
            <v>SANTIAGO</v>
          </cell>
          <cell r="R67" t="str">
            <v>FACULTAD CIENCIAS JURÍDICAS Y SOCIALES</v>
          </cell>
          <cell r="S67" t="str">
            <v>DPTO. DERECHO PENAL PROCESAL Y  TRABAJO</v>
          </cell>
        </row>
        <row r="68">
          <cell r="A68">
            <v>8449864</v>
          </cell>
          <cell r="B68" t="str">
            <v>8449864</v>
          </cell>
          <cell r="C68" t="str">
            <v>5</v>
          </cell>
          <cell r="D68" t="str">
            <v>BRAVO BRAVO ORLANDO PATRICIO</v>
          </cell>
          <cell r="E68" t="str">
            <v>VRF400061</v>
          </cell>
          <cell r="F68">
            <v>44</v>
          </cell>
          <cell r="G68">
            <v>30</v>
          </cell>
          <cell r="H68" t="str">
            <v>PBRAVO@UTALCA.CL</v>
          </cell>
          <cell r="I68">
            <v>30042</v>
          </cell>
          <cell r="J68">
            <v>2958465</v>
          </cell>
          <cell r="K68" t="str">
            <v>PLANTA</v>
          </cell>
          <cell r="L68" t="str">
            <v>TÉCNICO</v>
          </cell>
          <cell r="M68" t="str">
            <v>TÉCNICO</v>
          </cell>
          <cell r="N68" t="str">
            <v>GRADO I.17</v>
          </cell>
          <cell r="O68" t="str">
            <v>ESCOLARIDAD CIENT HU</v>
          </cell>
          <cell r="P68" t="str">
            <v>TÉCNICO INDUSTRIAL</v>
          </cell>
          <cell r="Q68" t="str">
            <v>TALCA</v>
          </cell>
          <cell r="R68" t="str">
            <v>VICERRECTORÍA DE FORMACIÓN</v>
          </cell>
          <cell r="S68" t="str">
            <v>UNIDAD DE RECURSOS DIGITALES DOCENTES</v>
          </cell>
        </row>
        <row r="69">
          <cell r="A69">
            <v>8455271</v>
          </cell>
          <cell r="B69" t="str">
            <v>8455271</v>
          </cell>
          <cell r="C69" t="str">
            <v>2</v>
          </cell>
          <cell r="D69" t="str">
            <v>CARNEVALI RODRIGUEZ RAUL ANTON</v>
          </cell>
          <cell r="E69" t="str">
            <v>FCJ320001</v>
          </cell>
          <cell r="F69">
            <v>44</v>
          </cell>
          <cell r="G69">
            <v>30</v>
          </cell>
          <cell r="H69" t="str">
            <v>RCARNEVALI@UTALCA.CL</v>
          </cell>
          <cell r="I69">
            <v>38412</v>
          </cell>
          <cell r="J69">
            <v>2958465</v>
          </cell>
          <cell r="K69" t="str">
            <v>PLANTA</v>
          </cell>
          <cell r="L69" t="str">
            <v>CA ORDINARIA</v>
          </cell>
          <cell r="M69" t="str">
            <v>PROFESOR TITULAR</v>
          </cell>
          <cell r="N69" t="str">
            <v>GRADO A</v>
          </cell>
          <cell r="O69" t="str">
            <v>DOCTORADO</v>
          </cell>
          <cell r="P69" t="str">
            <v>DOCTOR EN DERECHO</v>
          </cell>
          <cell r="Q69" t="str">
            <v>SANTIAGO</v>
          </cell>
          <cell r="R69" t="str">
            <v>FACULTAD CIENCIAS JURÍDICAS Y SOCIALES</v>
          </cell>
          <cell r="S69" t="str">
            <v>DPTO. DERECHO PENAL PROCESAL Y  TRABAJO</v>
          </cell>
        </row>
        <row r="70">
          <cell r="A70">
            <v>8465038</v>
          </cell>
          <cell r="B70" t="str">
            <v>8465038</v>
          </cell>
          <cell r="C70" t="str">
            <v>2</v>
          </cell>
          <cell r="D70" t="str">
            <v>FIGUEROA CARO ALFREDO CHRISTIA</v>
          </cell>
          <cell r="E70" t="str">
            <v>ICB300001</v>
          </cell>
          <cell r="F70">
            <v>44</v>
          </cell>
          <cell r="G70">
            <v>30</v>
          </cell>
          <cell r="H70" t="str">
            <v>ALFIGUEROA@UTALCA.CL</v>
          </cell>
          <cell r="I70">
            <v>41334</v>
          </cell>
          <cell r="J70">
            <v>2958465</v>
          </cell>
          <cell r="K70" t="str">
            <v>PLANTA</v>
          </cell>
          <cell r="L70" t="str">
            <v>CA ORDINARIA</v>
          </cell>
          <cell r="M70" t="str">
            <v>PROFESOR TITULAR</v>
          </cell>
          <cell r="N70" t="str">
            <v>GRADO A</v>
          </cell>
          <cell r="O70" t="str">
            <v>DOCTORADO</v>
          </cell>
          <cell r="P70" t="str">
            <v>DOCTOR EN CIENCIAS BIOMÉDICAS</v>
          </cell>
          <cell r="Q70" t="str">
            <v>TALCA</v>
          </cell>
          <cell r="R70" t="str">
            <v>INSTITUTO DE CIENCIAS BIOLÓGICAS</v>
          </cell>
          <cell r="S70" t="str">
            <v>INSTITUTO DE CIENCIAS BIOLÓGICAS</v>
          </cell>
        </row>
        <row r="71">
          <cell r="A71">
            <v>8498412</v>
          </cell>
          <cell r="B71" t="str">
            <v>8498412</v>
          </cell>
          <cell r="C71" t="str">
            <v>4</v>
          </cell>
          <cell r="D71" t="str">
            <v>MELLA ROJAS LUIS ENRIQUE</v>
          </cell>
          <cell r="E71" t="str">
            <v>IQR300001</v>
          </cell>
          <cell r="F71">
            <v>44</v>
          </cell>
          <cell r="G71">
            <v>30</v>
          </cell>
          <cell r="H71" t="str">
            <v>LMELLA@UTALCA.CL</v>
          </cell>
          <cell r="I71">
            <v>31518</v>
          </cell>
          <cell r="J71">
            <v>2958465</v>
          </cell>
          <cell r="K71" t="str">
            <v>PLANTA</v>
          </cell>
          <cell r="L71" t="str">
            <v>AUXILIAR</v>
          </cell>
          <cell r="M71" t="str">
            <v>AUXILIAR</v>
          </cell>
          <cell r="N71" t="str">
            <v>GRADO I.20</v>
          </cell>
          <cell r="O71" t="str">
            <v>ESCOLARIDAD CIENT HU</v>
          </cell>
          <cell r="P71" t="str">
            <v>LICENCIA ENSEÑANZA MEDIA</v>
          </cell>
          <cell r="Q71" t="str">
            <v>TALCA</v>
          </cell>
          <cell r="R71" t="str">
            <v>INSTITUTO QUÍMICA DE RECURSOS NATURALES</v>
          </cell>
          <cell r="S71" t="str">
            <v>INSTITUTO QUÍMICA DE RECURSOS NATURALES</v>
          </cell>
        </row>
        <row r="72">
          <cell r="A72">
            <v>8524680</v>
          </cell>
          <cell r="B72" t="str">
            <v>8524680</v>
          </cell>
          <cell r="C72" t="str">
            <v>1</v>
          </cell>
          <cell r="D72" t="str">
            <v>MURGAS YAÑEZ MARIA EMILIA</v>
          </cell>
          <cell r="E72" t="str">
            <v>ADC022001</v>
          </cell>
          <cell r="F72">
            <v>44</v>
          </cell>
          <cell r="G72">
            <v>30</v>
          </cell>
          <cell r="H72" t="str">
            <v>EMURGAS@UTALCA.CL</v>
          </cell>
          <cell r="I72">
            <v>32599</v>
          </cell>
          <cell r="J72">
            <v>2958465</v>
          </cell>
          <cell r="K72" t="str">
            <v>PLANTA</v>
          </cell>
          <cell r="L72" t="str">
            <v>ADMINISTRATIVO</v>
          </cell>
          <cell r="M72" t="str">
            <v>PROFESIONAL</v>
          </cell>
          <cell r="N72" t="str">
            <v>GRADO I.15</v>
          </cell>
          <cell r="O72" t="str">
            <v>TÍTULO PROFESIONAL</v>
          </cell>
          <cell r="P72" t="str">
            <v>PROFESORA DE ESTADO ARTES PLASTICAS</v>
          </cell>
          <cell r="Q72" t="str">
            <v>TALCA</v>
          </cell>
          <cell r="R72" t="str">
            <v>DIRECCIÓN DE EXTENSIÓN</v>
          </cell>
          <cell r="S72" t="str">
            <v>DIRECCIÓN DE EXTENSIÓN</v>
          </cell>
        </row>
        <row r="73">
          <cell r="A73">
            <v>8537434</v>
          </cell>
          <cell r="B73" t="str">
            <v>08537434</v>
          </cell>
          <cell r="C73" t="str">
            <v>6</v>
          </cell>
          <cell r="D73" t="str">
            <v>CHAMORRO MUÑOZ CHRISTIAN ALEJA</v>
          </cell>
          <cell r="E73" t="str">
            <v>VGE400056</v>
          </cell>
          <cell r="F73">
            <v>44</v>
          </cell>
          <cell r="G73">
            <v>30</v>
          </cell>
          <cell r="H73" t="str">
            <v>CCHAMORRO@UTALCA.CL</v>
          </cell>
          <cell r="I73">
            <v>43466</v>
          </cell>
          <cell r="J73">
            <v>46387</v>
          </cell>
          <cell r="K73" t="str">
            <v>CONTRATA</v>
          </cell>
          <cell r="L73" t="str">
            <v>PROFESIONAL</v>
          </cell>
          <cell r="M73" t="str">
            <v>PROFESIONAL</v>
          </cell>
          <cell r="N73" t="str">
            <v>GRADO I.17</v>
          </cell>
          <cell r="O73" t="str">
            <v>TÍTULO PROFESIONAL</v>
          </cell>
          <cell r="P73" t="str">
            <v>INGENIERO DE EJECUCION EN COMPUTACION E INFOR</v>
          </cell>
          <cell r="Q73" t="str">
            <v>TALCA</v>
          </cell>
          <cell r="R73" t="str">
            <v>VIC. GESTIÓN ECONÓMICA Y ADMINISTRACIÓN</v>
          </cell>
          <cell r="S73" t="str">
            <v>DEPARTAMENTO DE SISTEMAS</v>
          </cell>
        </row>
        <row r="74">
          <cell r="A74">
            <v>8555270</v>
          </cell>
          <cell r="B74" t="str">
            <v>8555270</v>
          </cell>
          <cell r="C74" t="str">
            <v>8</v>
          </cell>
          <cell r="D74" t="str">
            <v>BRAVO ACEVEDO SAMUEL ANTONIO</v>
          </cell>
          <cell r="E74" t="str">
            <v>VGE400050</v>
          </cell>
          <cell r="F74">
            <v>44</v>
          </cell>
          <cell r="G74">
            <v>30</v>
          </cell>
          <cell r="H74" t="str">
            <v>SBRAVO@UTALCA.CL</v>
          </cell>
          <cell r="I74">
            <v>30437</v>
          </cell>
          <cell r="J74">
            <v>2958465</v>
          </cell>
          <cell r="K74" t="str">
            <v>PLANTA</v>
          </cell>
          <cell r="L74" t="str">
            <v>AUXILIAR</v>
          </cell>
          <cell r="M74" t="str">
            <v>ADMINISTRATIVO</v>
          </cell>
          <cell r="N74" t="str">
            <v>GRADO I.18</v>
          </cell>
          <cell r="O74" t="str">
            <v>ESCOLARIDAD CIENT HU</v>
          </cell>
          <cell r="P74" t="str">
            <v>LICENCIA ENSEÑANZA MEDIA</v>
          </cell>
          <cell r="Q74" t="str">
            <v>TALCA</v>
          </cell>
          <cell r="R74" t="str">
            <v>VIC. GESTIÓN ECONÓMICA Y ADMINISTRACIÓN</v>
          </cell>
          <cell r="S74" t="str">
            <v>DEPARTAMENTO DE ADMINISTRACIÓN DE CAMPUS</v>
          </cell>
        </row>
        <row r="75">
          <cell r="A75">
            <v>8556535</v>
          </cell>
          <cell r="B75" t="str">
            <v>8556535</v>
          </cell>
          <cell r="C75" t="str">
            <v>4</v>
          </cell>
          <cell r="D75" t="str">
            <v>CARRASCO SILVA GILDA ASTRID</v>
          </cell>
          <cell r="E75" t="str">
            <v>FCA320002</v>
          </cell>
          <cell r="F75">
            <v>44</v>
          </cell>
          <cell r="G75">
            <v>30</v>
          </cell>
          <cell r="H75" t="str">
            <v>GCARRASC@UTALCA.CL</v>
          </cell>
          <cell r="I75">
            <v>32356</v>
          </cell>
          <cell r="J75">
            <v>2958465</v>
          </cell>
          <cell r="K75" t="str">
            <v>PLANTA</v>
          </cell>
          <cell r="L75" t="str">
            <v>CA ORDINARIA</v>
          </cell>
          <cell r="M75" t="str">
            <v>PROFESOR TITULAR</v>
          </cell>
          <cell r="N75" t="str">
            <v>GRADO A</v>
          </cell>
          <cell r="O75" t="str">
            <v>DOCTORADO</v>
          </cell>
          <cell r="P75" t="str">
            <v>DOCTOR OF PHILOSOPHY ,HORTICULTURE</v>
          </cell>
          <cell r="Q75" t="str">
            <v>TALCA</v>
          </cell>
          <cell r="R75" t="str">
            <v>FACULTAD DE CIENCIAS AGRARIAS</v>
          </cell>
          <cell r="S75" t="str">
            <v>DEPARTAMENTO DE HORTICULTURA</v>
          </cell>
        </row>
        <row r="76">
          <cell r="A76">
            <v>8557201</v>
          </cell>
          <cell r="B76" t="str">
            <v>8557201</v>
          </cell>
          <cell r="C76" t="str">
            <v>6</v>
          </cell>
          <cell r="D76" t="str">
            <v>AYLWIN OSTALE MARIA DE LA LUZ</v>
          </cell>
          <cell r="E76" t="str">
            <v>FAM320001</v>
          </cell>
          <cell r="F76">
            <v>44</v>
          </cell>
          <cell r="G76">
            <v>30</v>
          </cell>
          <cell r="H76" t="str">
            <v>MAAYLWIN@UTALCA.CL</v>
          </cell>
          <cell r="I76">
            <v>41334</v>
          </cell>
          <cell r="J76">
            <v>2958465</v>
          </cell>
          <cell r="K76" t="str">
            <v>PLANTA</v>
          </cell>
          <cell r="L76" t="str">
            <v>CA ORDINARIA</v>
          </cell>
          <cell r="M76" t="str">
            <v>PROFESOR ASOCIADO</v>
          </cell>
          <cell r="N76" t="str">
            <v>GRADO B</v>
          </cell>
          <cell r="O76" t="str">
            <v>DOCTORADO</v>
          </cell>
          <cell r="P76" t="str">
            <v>PHILOSOPHIAE DOCTORIS</v>
          </cell>
          <cell r="Q76" t="str">
            <v>TALCA</v>
          </cell>
          <cell r="R76" t="str">
            <v>FACULTAD DE MEDICINA</v>
          </cell>
          <cell r="S76" t="str">
            <v>DEPARTAMENTO DE CIENCIAS PRECLÍNICAS</v>
          </cell>
        </row>
        <row r="77">
          <cell r="A77">
            <v>8563512</v>
          </cell>
          <cell r="B77" t="str">
            <v>8563512</v>
          </cell>
          <cell r="C77" t="str">
            <v>3</v>
          </cell>
          <cell r="D77" t="str">
            <v>MARAGAÑO LEVEQUE ANDRES DANIEL</v>
          </cell>
          <cell r="E77" t="str">
            <v>FAD310001</v>
          </cell>
          <cell r="F77">
            <v>44</v>
          </cell>
          <cell r="G77">
            <v>30</v>
          </cell>
          <cell r="H77" t="str">
            <v>AMARAGANO@UTALCA.CL</v>
          </cell>
          <cell r="I77">
            <v>37316</v>
          </cell>
          <cell r="J77">
            <v>2958465</v>
          </cell>
          <cell r="K77" t="str">
            <v>PLANTA</v>
          </cell>
          <cell r="L77" t="str">
            <v>CA ORDINARIA</v>
          </cell>
          <cell r="M77" t="str">
            <v>PROFESOR ASOCIADO</v>
          </cell>
          <cell r="N77" t="str">
            <v>GRADO B</v>
          </cell>
          <cell r="O77" t="str">
            <v>MAGISTER</v>
          </cell>
          <cell r="P77" t="str">
            <v>MASTER EN URBANISMO, PROYECCIÓN URBANÍSTICA</v>
          </cell>
          <cell r="Q77" t="str">
            <v>TALCA</v>
          </cell>
          <cell r="R77" t="str">
            <v>FACULTAD DE ARQUITECTUR, MÚSICA Y DISEÑO</v>
          </cell>
          <cell r="S77" t="str">
            <v>ESCUELA DE ARQUITECTURA</v>
          </cell>
        </row>
        <row r="78">
          <cell r="A78">
            <v>8612713</v>
          </cell>
          <cell r="B78" t="str">
            <v>8612713</v>
          </cell>
          <cell r="C78" t="str">
            <v>K</v>
          </cell>
          <cell r="D78" t="str">
            <v>VITRIOL GAYSINSKY VERONICA ELI</v>
          </cell>
          <cell r="E78" t="str">
            <v>FAM320002</v>
          </cell>
          <cell r="F78">
            <v>28</v>
          </cell>
          <cell r="G78">
            <v>30</v>
          </cell>
          <cell r="H78" t="str">
            <v>VVITRIOL@UTALCA.CL</v>
          </cell>
          <cell r="I78">
            <v>40756</v>
          </cell>
          <cell r="J78">
            <v>46446</v>
          </cell>
          <cell r="K78" t="str">
            <v>CONTRATA</v>
          </cell>
          <cell r="L78" t="str">
            <v>CA DE LA PROFESIÓN</v>
          </cell>
          <cell r="M78" t="str">
            <v>PROFESOR ASOCIADO</v>
          </cell>
          <cell r="N78" t="str">
            <v>GRADO B</v>
          </cell>
          <cell r="O78" t="str">
            <v>MAGISTER</v>
          </cell>
          <cell r="P78" t="str">
            <v>MAGISTER EN PSICOLOGÍA MENCIÓN PSICOANALISIS</v>
          </cell>
          <cell r="Q78" t="str">
            <v>TALCA</v>
          </cell>
          <cell r="R78" t="str">
            <v>FACULTAD DE MEDICINA</v>
          </cell>
          <cell r="S78" t="str">
            <v>DEPARTAMENTO DE MEDICINA CLÍNICA</v>
          </cell>
        </row>
        <row r="79">
          <cell r="A79">
            <v>8620798</v>
          </cell>
          <cell r="B79" t="str">
            <v>08620798</v>
          </cell>
          <cell r="C79" t="str">
            <v>2</v>
          </cell>
          <cell r="D79" t="str">
            <v>BAEZA LUDUEÑA JOSE ALCIDES</v>
          </cell>
          <cell r="E79" t="str">
            <v>ADC030140</v>
          </cell>
          <cell r="F79">
            <v>44</v>
          </cell>
          <cell r="G79">
            <v>30</v>
          </cell>
          <cell r="H79" t="str">
            <v>JBAEZA@UTALCA.CL</v>
          </cell>
          <cell r="I79">
            <v>43101</v>
          </cell>
          <cell r="J79">
            <v>46387</v>
          </cell>
          <cell r="K79" t="str">
            <v>CONTRATA</v>
          </cell>
          <cell r="L79" t="str">
            <v>AUXILIAR</v>
          </cell>
          <cell r="M79" t="str">
            <v>AUXILIAR</v>
          </cell>
          <cell r="N79" t="str">
            <v>GRADO I.24</v>
          </cell>
          <cell r="O79" t="str">
            <v>ESCOLARIDAD CIENT HU</v>
          </cell>
          <cell r="P79" t="str">
            <v>7° AÑO BÁSICO</v>
          </cell>
          <cell r="Q79" t="str">
            <v>SANTIAGO</v>
          </cell>
          <cell r="R79" t="str">
            <v>DIRECCIÓN DE SEDE SANTIAGO</v>
          </cell>
          <cell r="S79" t="str">
            <v>DIRECCIÓN DE SEDE SANTIAGO</v>
          </cell>
        </row>
        <row r="80">
          <cell r="A80">
            <v>8628773</v>
          </cell>
          <cell r="B80" t="str">
            <v>8628773</v>
          </cell>
          <cell r="C80" t="str">
            <v>0</v>
          </cell>
          <cell r="D80" t="str">
            <v>DEL PICO RUBIO JORGE LEONARDO</v>
          </cell>
          <cell r="E80" t="str">
            <v>FCJ320002</v>
          </cell>
          <cell r="F80">
            <v>44</v>
          </cell>
          <cell r="G80">
            <v>30</v>
          </cell>
          <cell r="H80" t="str">
            <v>JLP@UTALCA.CL</v>
          </cell>
          <cell r="I80">
            <v>38718</v>
          </cell>
          <cell r="J80">
            <v>2958465</v>
          </cell>
          <cell r="K80" t="str">
            <v>PLANTA</v>
          </cell>
          <cell r="L80" t="str">
            <v>CA ORDINARIA</v>
          </cell>
          <cell r="M80" t="str">
            <v>PROFESOR ASOCIADO</v>
          </cell>
          <cell r="N80" t="str">
            <v>GRADO B</v>
          </cell>
          <cell r="O80" t="str">
            <v>DOCTORADO</v>
          </cell>
          <cell r="P80" t="str">
            <v>DOCTORADO EN DERECHO</v>
          </cell>
          <cell r="Q80" t="str">
            <v>TALCA</v>
          </cell>
          <cell r="R80" t="str">
            <v>FACULTAD CIENCIAS JURÍDICAS Y SOCIALES</v>
          </cell>
          <cell r="S80" t="str">
            <v>DPTO. DERECHO PRIVADO Y CNCIAS. DERECHO</v>
          </cell>
        </row>
        <row r="81">
          <cell r="A81">
            <v>8641502</v>
          </cell>
          <cell r="B81" t="str">
            <v>8641502</v>
          </cell>
          <cell r="C81" t="str">
            <v>K</v>
          </cell>
          <cell r="D81" t="str">
            <v>VALENZUELA VALENZUELA RUTH EST</v>
          </cell>
          <cell r="E81" t="str">
            <v>FCS340010</v>
          </cell>
          <cell r="F81">
            <v>44</v>
          </cell>
          <cell r="G81">
            <v>30</v>
          </cell>
          <cell r="H81" t="str">
            <v>RUTH.VALENZUELA@UTALCA.CL</v>
          </cell>
          <cell r="I81">
            <v>44927</v>
          </cell>
          <cell r="J81">
            <v>46387</v>
          </cell>
          <cell r="K81" t="str">
            <v>CONTRATA</v>
          </cell>
          <cell r="L81" t="str">
            <v>AUXILIAR</v>
          </cell>
          <cell r="M81" t="str">
            <v>AUXILIAR</v>
          </cell>
          <cell r="N81" t="str">
            <v>GRADO I.24</v>
          </cell>
          <cell r="O81" t="str">
            <v>ESCOLARIDAD CIENT HU</v>
          </cell>
          <cell r="P81" t="str">
            <v>LICENCIA ENSEÑANZA MEDIA</v>
          </cell>
          <cell r="Q81" t="str">
            <v>TALCA</v>
          </cell>
          <cell r="R81" t="str">
            <v>FACULTAD DE CIENCIAS DE LA SALUD</v>
          </cell>
          <cell r="S81" t="str">
            <v>CLÍNICAS DE FONOAUDIOLOGÍA</v>
          </cell>
        </row>
        <row r="82">
          <cell r="A82">
            <v>8644834</v>
          </cell>
          <cell r="B82" t="str">
            <v>8644834</v>
          </cell>
          <cell r="C82" t="str">
            <v>3</v>
          </cell>
          <cell r="D82" t="str">
            <v>ICAZA NOGUERA MARIA GLORIA VER</v>
          </cell>
          <cell r="E82" t="str">
            <v>IMF300001</v>
          </cell>
          <cell r="F82">
            <v>44</v>
          </cell>
          <cell r="G82">
            <v>30</v>
          </cell>
          <cell r="H82" t="str">
            <v>GICAZA@UTALCA.CL</v>
          </cell>
          <cell r="I82">
            <v>36220</v>
          </cell>
          <cell r="J82">
            <v>2958465</v>
          </cell>
          <cell r="K82" t="str">
            <v>PLANTA</v>
          </cell>
          <cell r="L82" t="str">
            <v>CA ORDINARIA</v>
          </cell>
          <cell r="M82" t="str">
            <v>PROFESOR ASOCIADO</v>
          </cell>
          <cell r="N82" t="str">
            <v>GRADO B</v>
          </cell>
          <cell r="O82" t="str">
            <v>DOCTORADO</v>
          </cell>
          <cell r="P82" t="str">
            <v>DOCTOR OF PHILOSOPHY M/ ANALYTIC HEALTH SCIEN</v>
          </cell>
          <cell r="Q82" t="str">
            <v>TALCA</v>
          </cell>
          <cell r="R82" t="str">
            <v>INSTITUTO DE MATEMÁTICAS</v>
          </cell>
          <cell r="S82" t="str">
            <v>INSTITUTO DE MATEMÁTICAS</v>
          </cell>
        </row>
        <row r="83">
          <cell r="A83">
            <v>8656541</v>
          </cell>
          <cell r="B83" t="str">
            <v>8656541</v>
          </cell>
          <cell r="C83" t="str">
            <v>2</v>
          </cell>
          <cell r="D83" t="str">
            <v>NUÑEZ FRANZ MARIA LORETO</v>
          </cell>
          <cell r="E83" t="str">
            <v>FCS320003</v>
          </cell>
          <cell r="F83">
            <v>44</v>
          </cell>
          <cell r="G83">
            <v>30</v>
          </cell>
          <cell r="H83" t="str">
            <v>LNUNEZF@UTALCA.CL</v>
          </cell>
          <cell r="I83">
            <v>37681</v>
          </cell>
          <cell r="J83">
            <v>2958465</v>
          </cell>
          <cell r="K83" t="str">
            <v>PLANTA</v>
          </cell>
          <cell r="L83" t="str">
            <v>CA ORDINARIA</v>
          </cell>
          <cell r="M83" t="str">
            <v>PROFESOR ASISTENTE</v>
          </cell>
          <cell r="N83" t="str">
            <v>GRADO C</v>
          </cell>
          <cell r="O83" t="str">
            <v>MAGISTER</v>
          </cell>
          <cell r="P83" t="str">
            <v>MASTER OF PUBLIC HEALTH</v>
          </cell>
          <cell r="Q83" t="str">
            <v>TALCA</v>
          </cell>
          <cell r="R83" t="str">
            <v>FACULTAD DE CIENCIAS DE LA SALUD</v>
          </cell>
          <cell r="S83" t="str">
            <v>DEPARTAMENTO DE SALUD PÚBLICA</v>
          </cell>
        </row>
        <row r="84">
          <cell r="A84">
            <v>8662084</v>
          </cell>
          <cell r="B84" t="str">
            <v>8662084</v>
          </cell>
          <cell r="C84" t="str">
            <v>7</v>
          </cell>
          <cell r="D84" t="str">
            <v>RIADI MAHIAS GONZALO</v>
          </cell>
          <cell r="E84" t="str">
            <v>FCI320001</v>
          </cell>
          <cell r="F84">
            <v>44</v>
          </cell>
          <cell r="G84">
            <v>30</v>
          </cell>
          <cell r="H84" t="str">
            <v>GRIADI@UTALCA.CL</v>
          </cell>
          <cell r="I84">
            <v>38353</v>
          </cell>
          <cell r="J84">
            <v>2958465</v>
          </cell>
          <cell r="K84" t="str">
            <v>PLANTA</v>
          </cell>
          <cell r="L84" t="str">
            <v>CA ORDINARIA</v>
          </cell>
          <cell r="M84" t="str">
            <v>PROFESOR ASISTENTE</v>
          </cell>
          <cell r="N84" t="str">
            <v>GRADO C</v>
          </cell>
          <cell r="O84" t="str">
            <v>DOCTORADO</v>
          </cell>
          <cell r="P84" t="str">
            <v>DOCTOR EN BIOTECNOLOGIA</v>
          </cell>
          <cell r="Q84" t="str">
            <v>TALCA</v>
          </cell>
          <cell r="R84" t="str">
            <v>FACULTAD DE INGENIERÍA</v>
          </cell>
          <cell r="S84" t="str">
            <v>DEPARTAMENTO DE BIOINFORMÁTICA</v>
          </cell>
        </row>
        <row r="85">
          <cell r="A85">
            <v>8688267</v>
          </cell>
          <cell r="B85" t="str">
            <v>8688267</v>
          </cell>
          <cell r="C85" t="str">
            <v>1</v>
          </cell>
          <cell r="D85" t="str">
            <v>HERRERA ESPINOZA GERARDO GILBE</v>
          </cell>
          <cell r="E85" t="str">
            <v>FCJ200001</v>
          </cell>
          <cell r="F85">
            <v>44</v>
          </cell>
          <cell r="G85">
            <v>30</v>
          </cell>
          <cell r="H85" t="str">
            <v>GHERRERA@UTALCA.CL</v>
          </cell>
          <cell r="I85">
            <v>30195</v>
          </cell>
          <cell r="J85">
            <v>2958465</v>
          </cell>
          <cell r="K85" t="str">
            <v>PLANTA</v>
          </cell>
          <cell r="L85" t="str">
            <v>AUXILIAR</v>
          </cell>
          <cell r="M85" t="str">
            <v>AUXILIAR</v>
          </cell>
          <cell r="N85" t="str">
            <v>GRADO I.20</v>
          </cell>
          <cell r="O85" t="str">
            <v>TÉC. NIVEL MEDIO</v>
          </cell>
          <cell r="P85" t="str">
            <v>TECNICO INDUSTRIAL ESPECIALIDAD  MUEBLISTA</v>
          </cell>
          <cell r="Q85" t="str">
            <v>TALCA</v>
          </cell>
          <cell r="R85" t="str">
            <v>FACULTAD CIENCIAS JURÍDICAS Y SOCIALES</v>
          </cell>
          <cell r="S85" t="str">
            <v>FACULTAD CIENCIAS JURÍDICAS Y SOCIALES</v>
          </cell>
        </row>
        <row r="86">
          <cell r="A86">
            <v>8690753</v>
          </cell>
          <cell r="B86" t="str">
            <v>8690753</v>
          </cell>
          <cell r="C86" t="str">
            <v>4</v>
          </cell>
          <cell r="D86" t="str">
            <v>VERA RAMOS LILIAN FABIOLA</v>
          </cell>
          <cell r="E86" t="str">
            <v>FCS320009</v>
          </cell>
          <cell r="F86">
            <v>44</v>
          </cell>
          <cell r="G86">
            <v>30</v>
          </cell>
          <cell r="H86" t="str">
            <v>LVERAR@UTALCA.CL</v>
          </cell>
          <cell r="I86">
            <v>38718</v>
          </cell>
          <cell r="J86">
            <v>46446</v>
          </cell>
          <cell r="K86" t="str">
            <v>CONTRATA</v>
          </cell>
          <cell r="L86" t="str">
            <v>CA DOCENTE</v>
          </cell>
          <cell r="M86" t="str">
            <v>INSTRUCTOR</v>
          </cell>
          <cell r="N86" t="str">
            <v>GRADO D</v>
          </cell>
          <cell r="O86" t="str">
            <v>MAGISTER</v>
          </cell>
          <cell r="P86" t="str">
            <v>MAGISTER EN KINESIOLOGIA MENCIÓN EN ATENCIÓN</v>
          </cell>
          <cell r="Q86" t="str">
            <v>TALCA</v>
          </cell>
          <cell r="R86" t="str">
            <v>FACULTAD DE CIENCIAS DE LA SALUD</v>
          </cell>
          <cell r="S86" t="str">
            <v>DPTO. DE CIENCIAS DEL MOVIMIENTO HUMANO</v>
          </cell>
        </row>
        <row r="87">
          <cell r="A87">
            <v>8702168</v>
          </cell>
          <cell r="B87" t="str">
            <v>08702168</v>
          </cell>
          <cell r="C87" t="str">
            <v>8</v>
          </cell>
          <cell r="D87" t="str">
            <v>CANALES CARRASCO LUIS EDUARDO</v>
          </cell>
          <cell r="E87" t="str">
            <v>FEN310002</v>
          </cell>
          <cell r="F87">
            <v>44</v>
          </cell>
          <cell r="G87">
            <v>30</v>
          </cell>
          <cell r="H87" t="str">
            <v>LCANALES@UTALCA.CL</v>
          </cell>
          <cell r="I87">
            <v>43556</v>
          </cell>
          <cell r="J87">
            <v>46446</v>
          </cell>
          <cell r="K87" t="str">
            <v>CONTRATA</v>
          </cell>
          <cell r="L87" t="str">
            <v>CA DOCENTE</v>
          </cell>
          <cell r="M87" t="str">
            <v>INSTRUCTOR</v>
          </cell>
          <cell r="N87" t="str">
            <v>GRADO D</v>
          </cell>
          <cell r="O87" t="str">
            <v>MAGISTER</v>
          </cell>
          <cell r="P87" t="str">
            <v>MAGÍSTER EN INGENIERÍA INFORMÁTICA</v>
          </cell>
          <cell r="Q87" t="str">
            <v>TALCA</v>
          </cell>
          <cell r="R87" t="str">
            <v>FACULTAD DE ECONOMÍA Y NEGOCIOS</v>
          </cell>
          <cell r="S87" t="str">
            <v>ESC. DE ING. INFORMÁTICA EMPRESARIAL</v>
          </cell>
        </row>
        <row r="88">
          <cell r="A88">
            <v>8723891</v>
          </cell>
          <cell r="B88" t="str">
            <v>8723891</v>
          </cell>
          <cell r="C88" t="str">
            <v>1</v>
          </cell>
          <cell r="D88" t="str">
            <v>PINOCHET OLAVE RUPERTO ANDRES</v>
          </cell>
          <cell r="E88" t="str">
            <v>FCJ320002</v>
          </cell>
          <cell r="F88">
            <v>44</v>
          </cell>
          <cell r="G88">
            <v>30</v>
          </cell>
          <cell r="H88" t="str">
            <v>RPINOCHE@UTALCA.CL</v>
          </cell>
          <cell r="I88">
            <v>35490</v>
          </cell>
          <cell r="J88">
            <v>2958465</v>
          </cell>
          <cell r="K88" t="str">
            <v>PLANTA</v>
          </cell>
          <cell r="L88" t="str">
            <v>CA ORDINARIA</v>
          </cell>
          <cell r="M88" t="str">
            <v>PROFESOR ASOCIADO</v>
          </cell>
          <cell r="N88" t="str">
            <v>GRADO B</v>
          </cell>
          <cell r="O88" t="str">
            <v>DOCTORADO</v>
          </cell>
          <cell r="P88" t="str">
            <v>DOCTOR EN DRET</v>
          </cell>
          <cell r="Q88" t="str">
            <v>TALCA</v>
          </cell>
          <cell r="R88" t="str">
            <v>FACULTAD CIENCIAS JURÍDICAS Y SOCIALES</v>
          </cell>
          <cell r="S88" t="str">
            <v>DPTO. DERECHO PRIVADO Y CNCIAS. DERECHO</v>
          </cell>
        </row>
        <row r="89">
          <cell r="A89">
            <v>8732221</v>
          </cell>
          <cell r="B89" t="str">
            <v>8732221</v>
          </cell>
          <cell r="C89" t="str">
            <v>1</v>
          </cell>
          <cell r="D89" t="str">
            <v>ALBORNOZ DACHELET MARCELA ELEN</v>
          </cell>
          <cell r="E89" t="str">
            <v>ADC019005</v>
          </cell>
          <cell r="F89">
            <v>44</v>
          </cell>
          <cell r="G89">
            <v>30</v>
          </cell>
          <cell r="H89" t="str">
            <v>MALBORNO@UTALCA.CL</v>
          </cell>
          <cell r="I89">
            <v>33604</v>
          </cell>
          <cell r="J89">
            <v>2958465</v>
          </cell>
          <cell r="K89" t="str">
            <v>PLANTA</v>
          </cell>
          <cell r="L89" t="str">
            <v>PROFESIONAL</v>
          </cell>
          <cell r="M89" t="str">
            <v>DIR EXCLU. CONFIANZA</v>
          </cell>
          <cell r="N89" t="str">
            <v>GRADO I.4</v>
          </cell>
          <cell r="O89" t="str">
            <v>MAGISTER</v>
          </cell>
          <cell r="P89" t="str">
            <v>MAGISTER EN EDICION</v>
          </cell>
          <cell r="Q89" t="str">
            <v>TALCA</v>
          </cell>
          <cell r="R89" t="str">
            <v>DIRECCIÓN DE EXTENSIÓN</v>
          </cell>
          <cell r="S89" t="str">
            <v>DIRECCIÓN DE EXTENSIÓN</v>
          </cell>
        </row>
        <row r="90">
          <cell r="A90">
            <v>8742829</v>
          </cell>
          <cell r="B90" t="str">
            <v>8742829</v>
          </cell>
          <cell r="C90" t="str">
            <v>K</v>
          </cell>
          <cell r="D90" t="str">
            <v>CERDA URRUTIA ARCADIO ALBERTO</v>
          </cell>
          <cell r="E90" t="str">
            <v>FEN310001</v>
          </cell>
          <cell r="F90">
            <v>44</v>
          </cell>
          <cell r="G90">
            <v>30</v>
          </cell>
          <cell r="H90" t="str">
            <v>ACERDA@UTALCA.CL</v>
          </cell>
          <cell r="I90">
            <v>35431</v>
          </cell>
          <cell r="J90">
            <v>2958465</v>
          </cell>
          <cell r="K90" t="str">
            <v>PLANTA</v>
          </cell>
          <cell r="L90" t="str">
            <v>CA ORDINARIA</v>
          </cell>
          <cell r="M90" t="str">
            <v>PROFESOR ASOCIADO</v>
          </cell>
          <cell r="N90" t="str">
            <v>GRADO B</v>
          </cell>
          <cell r="O90" t="str">
            <v>DOCTORADO</v>
          </cell>
          <cell r="P90" t="str">
            <v>PH.D. OF PHILOSOPHY IN AGRICULTURAL &amp; RESOURC</v>
          </cell>
          <cell r="Q90" t="str">
            <v>TALCA</v>
          </cell>
          <cell r="R90" t="str">
            <v>FACULTAD DE ECONOMÍA Y NEGOCIOS</v>
          </cell>
          <cell r="S90" t="str">
            <v>ESCUELA DE INGENIERÍA COMERCIAL DE TALCA</v>
          </cell>
        </row>
        <row r="91">
          <cell r="A91">
            <v>8753926</v>
          </cell>
          <cell r="B91" t="str">
            <v>8753926</v>
          </cell>
          <cell r="C91" t="str">
            <v>1</v>
          </cell>
          <cell r="D91" t="str">
            <v>POBLETE CASANOVA FERNANDO ENRI</v>
          </cell>
          <cell r="E91" t="str">
            <v>ICB300001</v>
          </cell>
          <cell r="F91">
            <v>44</v>
          </cell>
          <cell r="G91">
            <v>30</v>
          </cell>
          <cell r="H91" t="str">
            <v>FPOBLETE@UTALCA.CL</v>
          </cell>
          <cell r="I91">
            <v>36373</v>
          </cell>
          <cell r="J91">
            <v>46752</v>
          </cell>
          <cell r="K91" t="str">
            <v>CONTRATA</v>
          </cell>
          <cell r="L91" t="str">
            <v>CA DOCENTE</v>
          </cell>
          <cell r="M91" t="str">
            <v>INSTRUCTOR</v>
          </cell>
          <cell r="N91" t="str">
            <v>GRADO D</v>
          </cell>
          <cell r="O91" t="str">
            <v>MAGISTER</v>
          </cell>
          <cell r="P91" t="str">
            <v>MASTER OF SCIENCE</v>
          </cell>
          <cell r="Q91" t="str">
            <v>TALCA</v>
          </cell>
          <cell r="R91" t="str">
            <v>INSTITUTO DE CIENCIAS BIOLÓGICAS</v>
          </cell>
          <cell r="S91" t="str">
            <v>INSTITUTO DE CIENCIAS BIOLÓGICAS</v>
          </cell>
        </row>
        <row r="92">
          <cell r="A92">
            <v>8759994</v>
          </cell>
          <cell r="B92" t="str">
            <v>8759994</v>
          </cell>
          <cell r="C92" t="str">
            <v>9</v>
          </cell>
          <cell r="D92" t="str">
            <v>VEGA SANTANDER PEDRO SEBASTIAN</v>
          </cell>
          <cell r="E92" t="str">
            <v>FAD310004</v>
          </cell>
          <cell r="F92">
            <v>44</v>
          </cell>
          <cell r="G92">
            <v>30</v>
          </cell>
          <cell r="H92" t="str">
            <v>PVEGA@UTALCA.CL</v>
          </cell>
          <cell r="I92">
            <v>37681</v>
          </cell>
          <cell r="J92">
            <v>2958465</v>
          </cell>
          <cell r="K92" t="str">
            <v>PLANTA</v>
          </cell>
          <cell r="L92" t="str">
            <v>ADMINISTRATIVO</v>
          </cell>
          <cell r="M92" t="str">
            <v>ADMINISTRATIVO</v>
          </cell>
          <cell r="N92" t="str">
            <v>GRADO I.16</v>
          </cell>
          <cell r="O92" t="str">
            <v>TÉC. NIVEL MEDIO</v>
          </cell>
          <cell r="P92" t="str">
            <v>TECNICO ESPECIALIDAD CONSTRUCCIONES METALICAS</v>
          </cell>
          <cell r="Q92" t="str">
            <v>TALCA</v>
          </cell>
          <cell r="R92" t="str">
            <v>FACULTAD DE ARQUITECTUR, MÚSICA Y DISEÑO</v>
          </cell>
          <cell r="S92" t="str">
            <v>ESCUELA DE MÚSICA</v>
          </cell>
        </row>
        <row r="93">
          <cell r="A93">
            <v>8762722</v>
          </cell>
          <cell r="B93" t="str">
            <v>8762722</v>
          </cell>
          <cell r="C93" t="str">
            <v>5</v>
          </cell>
          <cell r="D93" t="str">
            <v>CONTRERAS PEREZ OLGA SERAFINA</v>
          </cell>
          <cell r="E93" t="str">
            <v>ICB300001</v>
          </cell>
          <cell r="F93">
            <v>44</v>
          </cell>
          <cell r="G93">
            <v>30</v>
          </cell>
          <cell r="H93" t="str">
            <v>OCONTRER@UTALCA.CL</v>
          </cell>
          <cell r="I93">
            <v>32933</v>
          </cell>
          <cell r="J93">
            <v>46752</v>
          </cell>
          <cell r="K93" t="str">
            <v>CONTRATA</v>
          </cell>
          <cell r="L93" t="str">
            <v>CA DOCENTE</v>
          </cell>
          <cell r="M93" t="str">
            <v>INSTRUCTOR</v>
          </cell>
          <cell r="N93" t="str">
            <v>GRADO D</v>
          </cell>
          <cell r="O93" t="str">
            <v>MAGISTER</v>
          </cell>
          <cell r="P93" t="str">
            <v>MAGISTER EDUCACIÓN DE LAS CIENCIAS</v>
          </cell>
          <cell r="Q93" t="str">
            <v>TALCA</v>
          </cell>
          <cell r="R93" t="str">
            <v>INSTITUTO DE CIENCIAS BIOLÓGICAS</v>
          </cell>
          <cell r="S93" t="str">
            <v>INSTITUTO DE CIENCIAS BIOLÓGICAS</v>
          </cell>
        </row>
        <row r="94">
          <cell r="A94">
            <v>8770126</v>
          </cell>
          <cell r="B94" t="str">
            <v>8770126</v>
          </cell>
          <cell r="C94" t="str">
            <v>3</v>
          </cell>
          <cell r="D94" t="str">
            <v>MATUS NORERO MARIA CAROLINA</v>
          </cell>
          <cell r="E94" t="str">
            <v>VRF400008</v>
          </cell>
          <cell r="F94">
            <v>44</v>
          </cell>
          <cell r="G94">
            <v>30</v>
          </cell>
          <cell r="H94" t="str">
            <v>MMATUS@UTALCA.CL</v>
          </cell>
          <cell r="I94">
            <v>42095</v>
          </cell>
          <cell r="J94">
            <v>2958465</v>
          </cell>
          <cell r="K94" t="str">
            <v>PLANTA</v>
          </cell>
          <cell r="L94" t="str">
            <v>ADMINISTRATIVO</v>
          </cell>
          <cell r="M94" t="str">
            <v>ADMINISTRATIVO</v>
          </cell>
          <cell r="N94" t="str">
            <v>GRADO I.19</v>
          </cell>
          <cell r="O94" t="str">
            <v>TÉC. NIVEL SUPERIOR</v>
          </cell>
          <cell r="P94" t="str">
            <v>SECRETARIA EJECUTIVA COMPUTACIONAL MENCION RE</v>
          </cell>
          <cell r="Q94" t="str">
            <v>TALCA</v>
          </cell>
          <cell r="R94" t="str">
            <v>DIRECCIÓN DE PREGRADO</v>
          </cell>
          <cell r="S94" t="str">
            <v>PROGRAMA DE IDIOMAS</v>
          </cell>
        </row>
        <row r="95">
          <cell r="A95">
            <v>8776906</v>
          </cell>
          <cell r="B95" t="str">
            <v>08776906</v>
          </cell>
          <cell r="C95" t="str">
            <v>2</v>
          </cell>
          <cell r="D95" t="str">
            <v>LARENAS TAPIA MARCO ANTONIO</v>
          </cell>
          <cell r="E95" t="str">
            <v>VGE400050</v>
          </cell>
          <cell r="F95">
            <v>44</v>
          </cell>
          <cell r="G95">
            <v>30</v>
          </cell>
          <cell r="H95" t="str">
            <v>MLARENAS@UTALCA.CL</v>
          </cell>
          <cell r="I95">
            <v>43101</v>
          </cell>
          <cell r="J95">
            <v>46387</v>
          </cell>
          <cell r="K95" t="str">
            <v>CONTRATA</v>
          </cell>
          <cell r="L95" t="str">
            <v>ADMINISTRATIVO</v>
          </cell>
          <cell r="M95" t="str">
            <v>ADMINISTRATIVO</v>
          </cell>
          <cell r="N95" t="str">
            <v>GRADO I.21</v>
          </cell>
          <cell r="O95" t="str">
            <v>TÉC. NIVEL SUPERIOR</v>
          </cell>
          <cell r="P95" t="str">
            <v>TÉCNICO EN ADMINISTRACIÓN DE EMPRESAS</v>
          </cell>
          <cell r="Q95" t="str">
            <v>SANTIAGO</v>
          </cell>
          <cell r="R95" t="str">
            <v>VIC. GESTIÓN ECONÓMICA Y ADMINISTRACIÓN</v>
          </cell>
          <cell r="S95" t="str">
            <v>DEPARTAMENTO DE ADMINISTRACIÓN DE CAMPUS</v>
          </cell>
        </row>
        <row r="96">
          <cell r="A96">
            <v>8809997</v>
          </cell>
          <cell r="B96" t="str">
            <v>8809997</v>
          </cell>
          <cell r="C96" t="str">
            <v>4</v>
          </cell>
          <cell r="D96" t="str">
            <v>GARRIDO ORREGO RUTH MARIA BEAT</v>
          </cell>
          <cell r="E96" t="str">
            <v>FCI320003</v>
          </cell>
          <cell r="F96">
            <v>44</v>
          </cell>
          <cell r="G96">
            <v>30</v>
          </cell>
          <cell r="H96" t="str">
            <v>RGARRIDO@UTALCA.CL</v>
          </cell>
          <cell r="I96">
            <v>37622</v>
          </cell>
          <cell r="J96">
            <v>46446</v>
          </cell>
          <cell r="K96" t="str">
            <v>CONTRATA</v>
          </cell>
          <cell r="L96" t="str">
            <v>CA DOCENTE</v>
          </cell>
          <cell r="M96" t="str">
            <v>INSTRUCTOR</v>
          </cell>
          <cell r="N96" t="str">
            <v>GRADO D</v>
          </cell>
          <cell r="O96" t="str">
            <v>MAGISTER</v>
          </cell>
          <cell r="P96" t="str">
            <v>MAGISTER EN TECNOLOGÍAS DE INFORMACION</v>
          </cell>
          <cell r="Q96" t="str">
            <v>CURICO</v>
          </cell>
          <cell r="R96" t="str">
            <v>FACULTAD DE INGENIERÍA</v>
          </cell>
          <cell r="S96" t="str">
            <v>DPTO. DE CIENCIAS DE LA COMPUTACIÓN</v>
          </cell>
        </row>
        <row r="97">
          <cell r="A97">
            <v>8815546</v>
          </cell>
          <cell r="B97" t="str">
            <v>8815546</v>
          </cell>
          <cell r="C97" t="str">
            <v>7</v>
          </cell>
          <cell r="D97" t="str">
            <v>JIMENEZ DEL RIO PATRICIA FRANC</v>
          </cell>
          <cell r="E97" t="str">
            <v>FOD320003</v>
          </cell>
          <cell r="F97">
            <v>33</v>
          </cell>
          <cell r="G97">
            <v>30</v>
          </cell>
          <cell r="H97" t="str">
            <v>PJIMENEZ@UTALCA.CL</v>
          </cell>
          <cell r="I97">
            <v>35977</v>
          </cell>
          <cell r="J97">
            <v>2958465</v>
          </cell>
          <cell r="K97" t="str">
            <v>PLANTA</v>
          </cell>
          <cell r="L97" t="str">
            <v>CA DOCENTE</v>
          </cell>
          <cell r="M97" t="str">
            <v>PROFESOR ASISTENTE</v>
          </cell>
          <cell r="N97" t="str">
            <v>GRADO C</v>
          </cell>
          <cell r="O97" t="str">
            <v>MAGISTER</v>
          </cell>
          <cell r="P97" t="str">
            <v>MAESTRÍA EN CIENCIAS EN ODONTOLOGÍA</v>
          </cell>
          <cell r="Q97" t="str">
            <v>TALCA</v>
          </cell>
          <cell r="R97" t="str">
            <v>FACULTAD DE ODONTOLOGÍA</v>
          </cell>
          <cell r="S97" t="str">
            <v>DEPARTAMENTO DE PEDIATRÍA ESTOMATOLÓGICA</v>
          </cell>
        </row>
        <row r="98">
          <cell r="A98">
            <v>8819875</v>
          </cell>
          <cell r="B98" t="str">
            <v>8819875</v>
          </cell>
          <cell r="C98" t="str">
            <v>1</v>
          </cell>
          <cell r="D98" t="str">
            <v>LAVANDERO ICAZA BLAS EXEQUIEL</v>
          </cell>
          <cell r="E98" t="str">
            <v>FCA320003</v>
          </cell>
          <cell r="F98">
            <v>44</v>
          </cell>
          <cell r="G98">
            <v>30</v>
          </cell>
          <cell r="H98" t="str">
            <v>BLAVANDERO@UTALCA.CL</v>
          </cell>
          <cell r="I98">
            <v>36161</v>
          </cell>
          <cell r="J98">
            <v>2958465</v>
          </cell>
          <cell r="K98" t="str">
            <v>PLANTA</v>
          </cell>
          <cell r="L98" t="str">
            <v>CA ORDINARIA</v>
          </cell>
          <cell r="M98" t="str">
            <v>PROFESOR ASOCIADO</v>
          </cell>
          <cell r="N98" t="str">
            <v>GRADO B</v>
          </cell>
          <cell r="O98" t="str">
            <v>DOCTORADO</v>
          </cell>
          <cell r="P98" t="str">
            <v>DOCTR OF PHILOSOPHY IN ECOLOGY</v>
          </cell>
          <cell r="Q98" t="str">
            <v>TALCA</v>
          </cell>
          <cell r="R98" t="str">
            <v>FACULTAD DE CIENCIAS AGRARIAS</v>
          </cell>
          <cell r="S98" t="str">
            <v>DEPARTAMENTO DE PRODUCCIÓN AGRÍCOLA</v>
          </cell>
        </row>
        <row r="99">
          <cell r="A99">
            <v>8827036</v>
          </cell>
          <cell r="B99" t="str">
            <v>8827036</v>
          </cell>
          <cell r="C99" t="str">
            <v>3</v>
          </cell>
          <cell r="D99" t="str">
            <v>MUÑOZ SANCHEZ MARIA ESTER SOLE</v>
          </cell>
          <cell r="E99" t="str">
            <v>FCS320012</v>
          </cell>
          <cell r="F99">
            <v>44</v>
          </cell>
          <cell r="G99">
            <v>30</v>
          </cell>
          <cell r="H99" t="str">
            <v>MEMUNOZ@UTALCA.CL</v>
          </cell>
          <cell r="I99">
            <v>42795</v>
          </cell>
          <cell r="J99">
            <v>46446</v>
          </cell>
          <cell r="K99" t="str">
            <v>CONTRATA</v>
          </cell>
          <cell r="L99" t="str">
            <v>CA DOCENTE</v>
          </cell>
          <cell r="M99" t="str">
            <v>INSTRUCTOR</v>
          </cell>
          <cell r="N99" t="str">
            <v>GRADO D</v>
          </cell>
          <cell r="O99" t="str">
            <v>MAGISTER</v>
          </cell>
          <cell r="P99" t="str">
            <v>MAGISTER EN DOCENCIA PARA LA EDUCACIÓN SUPERI</v>
          </cell>
          <cell r="Q99" t="str">
            <v>TALCA</v>
          </cell>
          <cell r="R99" t="str">
            <v>FACULTAD DE CIENCIAS DE LA SALUD</v>
          </cell>
          <cell r="S99" t="str">
            <v>DEPTO. CIENCIAS DEL CUIDADO EN ENFERM.</v>
          </cell>
        </row>
        <row r="100">
          <cell r="A100">
            <v>8863236</v>
          </cell>
          <cell r="B100" t="str">
            <v>8863236</v>
          </cell>
          <cell r="C100" t="str">
            <v>2</v>
          </cell>
          <cell r="D100" t="str">
            <v>COX PUGA PAULO</v>
          </cell>
          <cell r="E100" t="str">
            <v>FEN310003</v>
          </cell>
          <cell r="F100">
            <v>44</v>
          </cell>
          <cell r="G100">
            <v>30</v>
          </cell>
          <cell r="H100" t="str">
            <v>PAULOCOX@UTALCA.CL</v>
          </cell>
          <cell r="I100">
            <v>42948</v>
          </cell>
          <cell r="J100">
            <v>2958465</v>
          </cell>
          <cell r="K100" t="str">
            <v>PLANTA</v>
          </cell>
          <cell r="L100" t="str">
            <v>CA ORDINARIA</v>
          </cell>
          <cell r="M100" t="str">
            <v>PROFESOR ASISTENTE</v>
          </cell>
          <cell r="N100" t="str">
            <v>GRADO C</v>
          </cell>
          <cell r="O100" t="str">
            <v>DOCTORADO</v>
          </cell>
          <cell r="P100" t="str">
            <v>DOCTOR EN CIENCIAS ECONOMICAS</v>
          </cell>
          <cell r="Q100" t="str">
            <v>SANTIAGO</v>
          </cell>
          <cell r="R100" t="str">
            <v>FACULTAD DE ECONOMÍA Y NEGOCIOS</v>
          </cell>
          <cell r="S100" t="str">
            <v>ESC. DE INGENIERÍA COMERCIAL DE SANTIAGO</v>
          </cell>
        </row>
        <row r="101">
          <cell r="A101">
            <v>8879757</v>
          </cell>
          <cell r="B101" t="str">
            <v>8879757</v>
          </cell>
          <cell r="C101" t="str">
            <v>4</v>
          </cell>
          <cell r="D101" t="str">
            <v>CATALDO CATALDO ALEJANDRO JAVI</v>
          </cell>
          <cell r="E101" t="str">
            <v>FEN310002</v>
          </cell>
          <cell r="F101">
            <v>44</v>
          </cell>
          <cell r="G101">
            <v>30</v>
          </cell>
          <cell r="H101" t="str">
            <v>ACATALDO@UTALCA.CL</v>
          </cell>
          <cell r="I101">
            <v>41852</v>
          </cell>
          <cell r="J101">
            <v>2958465</v>
          </cell>
          <cell r="K101" t="str">
            <v>PLANTA</v>
          </cell>
          <cell r="L101" t="str">
            <v>CA ORDINARIA</v>
          </cell>
          <cell r="M101" t="str">
            <v>PROFESOR ASOCIADO</v>
          </cell>
          <cell r="N101" t="str">
            <v>GRADO B</v>
          </cell>
          <cell r="O101" t="str">
            <v>DOCTORADO</v>
          </cell>
          <cell r="P101" t="str">
            <v>DOCTOR EN CIENCIAS DE LA INGENIERÍA</v>
          </cell>
          <cell r="Q101" t="str">
            <v>TALCA</v>
          </cell>
          <cell r="R101" t="str">
            <v>FACULTAD DE ECONOMÍA Y NEGOCIOS</v>
          </cell>
          <cell r="S101" t="str">
            <v>ESC. DE ING. INFORMÁTICA EMPRESARIAL</v>
          </cell>
        </row>
        <row r="102">
          <cell r="A102">
            <v>8885353</v>
          </cell>
          <cell r="B102" t="str">
            <v>8885353</v>
          </cell>
          <cell r="C102" t="str">
            <v>9</v>
          </cell>
          <cell r="D102" t="str">
            <v>SOTO ROSALES VERONICA</v>
          </cell>
          <cell r="E102" t="str">
            <v>FOD200001</v>
          </cell>
          <cell r="F102">
            <v>8</v>
          </cell>
          <cell r="G102">
            <v>30</v>
          </cell>
          <cell r="H102" t="str">
            <v>VESOTO@UTALCA.CL</v>
          </cell>
          <cell r="I102">
            <v>42583</v>
          </cell>
          <cell r="J102">
            <v>46387</v>
          </cell>
          <cell r="K102" t="str">
            <v>CONTRATA</v>
          </cell>
          <cell r="L102" t="str">
            <v>C ESPECIALES</v>
          </cell>
          <cell r="M102" t="str">
            <v>TUTOR(A) PRÁCTICA</v>
          </cell>
          <cell r="N102" t="str">
            <v>SIN GRADO</v>
          </cell>
          <cell r="O102" t="str">
            <v>TÍTULO PROFESIONAL</v>
          </cell>
          <cell r="P102" t="str">
            <v>CIRUJANO DENTISTA</v>
          </cell>
          <cell r="Q102" t="str">
            <v>TALCA</v>
          </cell>
          <cell r="R102" t="str">
            <v>FACULTAD DE ODONTOLOGÍA</v>
          </cell>
          <cell r="S102" t="str">
            <v>FACULTAD DE ODONTOLOGÍA</v>
          </cell>
        </row>
        <row r="103">
          <cell r="A103">
            <v>8887056</v>
          </cell>
          <cell r="B103" t="str">
            <v>8887056</v>
          </cell>
          <cell r="C103" t="str">
            <v>5</v>
          </cell>
          <cell r="D103" t="str">
            <v>MORENO SIMUNOVIC YERKO MARCELO</v>
          </cell>
          <cell r="E103" t="str">
            <v>FCA320002</v>
          </cell>
          <cell r="F103">
            <v>44</v>
          </cell>
          <cell r="G103">
            <v>30</v>
          </cell>
          <cell r="H103" t="str">
            <v>YMORENO@UTALCA.CL</v>
          </cell>
          <cell r="I103">
            <v>32408</v>
          </cell>
          <cell r="J103">
            <v>2958465</v>
          </cell>
          <cell r="K103" t="str">
            <v>PLANTA</v>
          </cell>
          <cell r="L103" t="str">
            <v>CA ORDINARIA</v>
          </cell>
          <cell r="M103" t="str">
            <v>PROFESOR TITULAR</v>
          </cell>
          <cell r="N103" t="str">
            <v>GRADO A</v>
          </cell>
          <cell r="O103" t="str">
            <v>DOCTORADO</v>
          </cell>
          <cell r="P103" t="str">
            <v>DOCTOR OF PHILOSOPHY</v>
          </cell>
          <cell r="Q103" t="str">
            <v>TALCA</v>
          </cell>
          <cell r="R103" t="str">
            <v>FACULTAD DE CIENCIAS AGRARIAS</v>
          </cell>
          <cell r="S103" t="str">
            <v>DEPARTAMENTO DE HORTICULTURA</v>
          </cell>
        </row>
        <row r="104">
          <cell r="A104">
            <v>8910188</v>
          </cell>
          <cell r="B104" t="str">
            <v>8910188</v>
          </cell>
          <cell r="C104" t="str">
            <v>3</v>
          </cell>
          <cell r="D104" t="str">
            <v>SCHLOSSER BURGOS ANDRES GERARD</v>
          </cell>
          <cell r="E104" t="str">
            <v>FOD320001</v>
          </cell>
          <cell r="F104">
            <v>22</v>
          </cell>
          <cell r="G104">
            <v>30</v>
          </cell>
          <cell r="H104" t="str">
            <v>ASCHLOSSER@UTALCA.CL</v>
          </cell>
          <cell r="I104">
            <v>39873</v>
          </cell>
          <cell r="J104">
            <v>46446</v>
          </cell>
          <cell r="K104" t="str">
            <v>CONTRATA</v>
          </cell>
          <cell r="L104" t="str">
            <v>CA DE LA PROFESIÓN</v>
          </cell>
          <cell r="M104" t="str">
            <v>PROFESOR ASISTENTE</v>
          </cell>
          <cell r="N104" t="str">
            <v>GRADO C</v>
          </cell>
          <cell r="O104" t="str">
            <v>ESPECIAL. ODONTOLÓG.</v>
          </cell>
          <cell r="P104" t="str">
            <v>ESPECIALISTA EN REHABILITACION ORAL</v>
          </cell>
          <cell r="Q104" t="str">
            <v>TALCA</v>
          </cell>
          <cell r="R104" t="str">
            <v>FACULTAD DE ODONTOLOGÍA</v>
          </cell>
          <cell r="S104" t="str">
            <v>DPTO. REHABILITACIÓN BUCO-MAXILOFACIAL</v>
          </cell>
        </row>
        <row r="105">
          <cell r="A105">
            <v>8911775</v>
          </cell>
          <cell r="B105" t="str">
            <v>8911775</v>
          </cell>
          <cell r="C105" t="str">
            <v>5</v>
          </cell>
          <cell r="D105" t="str">
            <v>PAILLAN LEGUE JUAN HERNAN</v>
          </cell>
          <cell r="E105" t="str">
            <v>FCA320002</v>
          </cell>
          <cell r="F105">
            <v>44</v>
          </cell>
          <cell r="G105">
            <v>30</v>
          </cell>
          <cell r="H105" t="str">
            <v>HPAILLAN@UTALCA.CL</v>
          </cell>
          <cell r="I105">
            <v>33497</v>
          </cell>
          <cell r="J105">
            <v>2958465</v>
          </cell>
          <cell r="K105" t="str">
            <v>PLANTA</v>
          </cell>
          <cell r="L105" t="str">
            <v>CA ORDINARIA</v>
          </cell>
          <cell r="M105" t="str">
            <v>PROFESOR ASOCIADO</v>
          </cell>
          <cell r="N105" t="str">
            <v>GRADO B</v>
          </cell>
          <cell r="O105" t="str">
            <v>DOCTORADO</v>
          </cell>
          <cell r="P105" t="str">
            <v>DOKTORS DER AGRARWISSENSCHAFTEN</v>
          </cell>
          <cell r="Q105" t="str">
            <v>TALCA</v>
          </cell>
          <cell r="R105" t="str">
            <v>FACULTAD DE CIENCIAS AGRARIAS</v>
          </cell>
          <cell r="S105" t="str">
            <v>DEPARTAMENTO DE HORTICULTURA</v>
          </cell>
        </row>
        <row r="106">
          <cell r="A106">
            <v>8912298</v>
          </cell>
          <cell r="B106" t="str">
            <v>8912298</v>
          </cell>
          <cell r="C106" t="str">
            <v>8</v>
          </cell>
          <cell r="D106" t="str">
            <v>OBANDO CAMINO IVAN MAURICIO</v>
          </cell>
          <cell r="E106" t="str">
            <v>FCJ320003</v>
          </cell>
          <cell r="F106">
            <v>44</v>
          </cell>
          <cell r="G106">
            <v>30</v>
          </cell>
          <cell r="H106" t="str">
            <v>IOBANDOC@UTALCA.CL</v>
          </cell>
          <cell r="I106">
            <v>38047</v>
          </cell>
          <cell r="J106">
            <v>2958465</v>
          </cell>
          <cell r="K106" t="str">
            <v>PLANTA</v>
          </cell>
          <cell r="L106" t="str">
            <v>CA ORDINARIA</v>
          </cell>
          <cell r="M106" t="str">
            <v>PROFESOR ASOCIADO</v>
          </cell>
          <cell r="N106" t="str">
            <v>GRADO B</v>
          </cell>
          <cell r="O106" t="str">
            <v>DOCTORADO</v>
          </cell>
          <cell r="P106" t="str">
            <v>DOCTOR OF PHILOSOPHY</v>
          </cell>
          <cell r="Q106" t="str">
            <v>TALCA</v>
          </cell>
          <cell r="R106" t="str">
            <v>FACULTAD CIENCIAS JURÍDICAS Y SOCIALES</v>
          </cell>
          <cell r="S106" t="str">
            <v>DEPARTAMENTO DE DERECHO PÚBLICO</v>
          </cell>
        </row>
        <row r="107">
          <cell r="A107">
            <v>8937431</v>
          </cell>
          <cell r="B107" t="str">
            <v>8937431</v>
          </cell>
          <cell r="C107" t="str">
            <v>6</v>
          </cell>
          <cell r="D107" t="str">
            <v>MATUS FUENZALIDA SERGIO FERNAN</v>
          </cell>
          <cell r="E107" t="str">
            <v>FOD320002</v>
          </cell>
          <cell r="F107">
            <v>44</v>
          </cell>
          <cell r="G107">
            <v>30</v>
          </cell>
          <cell r="H107" t="str">
            <v>SEMATUS@UTALCA.CL</v>
          </cell>
          <cell r="I107">
            <v>32587</v>
          </cell>
          <cell r="J107">
            <v>2958465</v>
          </cell>
          <cell r="K107" t="str">
            <v>PLANTA</v>
          </cell>
          <cell r="L107" t="str">
            <v>CA DOCENTE</v>
          </cell>
          <cell r="M107" t="str">
            <v>PROFESOR ASISTENTE</v>
          </cell>
          <cell r="N107" t="str">
            <v>GRADO II.3</v>
          </cell>
          <cell r="O107" t="str">
            <v>MAGISTER</v>
          </cell>
          <cell r="P107" t="str">
            <v>MAGÍSTER EN CIENCIAS MÉDICAS M/ CIRUGÍA</v>
          </cell>
          <cell r="Q107" t="str">
            <v>TALCA</v>
          </cell>
          <cell r="R107" t="str">
            <v>FACULTAD DE ODONTOLOGÍA</v>
          </cell>
          <cell r="S107" t="str">
            <v>DEPARTAMENTO DE ESTOMATOLOGÍA</v>
          </cell>
        </row>
        <row r="108">
          <cell r="A108">
            <v>8937432</v>
          </cell>
          <cell r="B108" t="str">
            <v>8937432</v>
          </cell>
          <cell r="C108" t="str">
            <v>4</v>
          </cell>
          <cell r="D108" t="str">
            <v>VILLENA CABRERA MARCELA ISABEL</v>
          </cell>
          <cell r="E108" t="str">
            <v>IAM300001</v>
          </cell>
          <cell r="F108">
            <v>44</v>
          </cell>
          <cell r="G108">
            <v>30</v>
          </cell>
          <cell r="H108" t="str">
            <v>MVILLENAS@UTALCA.CL</v>
          </cell>
          <cell r="I108">
            <v>39873</v>
          </cell>
          <cell r="J108">
            <v>46446</v>
          </cell>
          <cell r="K108" t="str">
            <v>CONTRATA</v>
          </cell>
          <cell r="L108" t="str">
            <v>CA DOCENTE</v>
          </cell>
          <cell r="M108" t="str">
            <v>INSTRUCTOR</v>
          </cell>
          <cell r="N108" t="str">
            <v>GRADO D</v>
          </cell>
          <cell r="O108" t="str">
            <v>MAGISTER</v>
          </cell>
          <cell r="P108" t="str">
            <v>MAGISTER EN POLITICA Y GESTION EDUCACIONAL</v>
          </cell>
          <cell r="Q108" t="str">
            <v>TALCA</v>
          </cell>
          <cell r="R108" t="str">
            <v>INST. ESTUDIOS HUMANÍSTICOS ABATE J.I.M.</v>
          </cell>
          <cell r="S108" t="str">
            <v>INST. ESTUDIOS HUMANÍSTICOS ABATE J.I.M.</v>
          </cell>
        </row>
        <row r="109">
          <cell r="A109">
            <v>8939770</v>
          </cell>
          <cell r="B109" t="str">
            <v>8939770</v>
          </cell>
          <cell r="C109" t="str">
            <v>7</v>
          </cell>
          <cell r="D109" t="str">
            <v>OLIVA GALLEGOS ALFONSO ANTONIO</v>
          </cell>
          <cell r="E109" t="str">
            <v>FPS200001</v>
          </cell>
          <cell r="F109">
            <v>44</v>
          </cell>
          <cell r="G109">
            <v>30</v>
          </cell>
          <cell r="H109" t="str">
            <v>AOLIVA@UTALCA.CL</v>
          </cell>
          <cell r="I109">
            <v>30103</v>
          </cell>
          <cell r="J109">
            <v>2958465</v>
          </cell>
          <cell r="K109" t="str">
            <v>PLANTA</v>
          </cell>
          <cell r="L109" t="str">
            <v>AUXILIAR</v>
          </cell>
          <cell r="M109" t="str">
            <v>AUXILIAR</v>
          </cell>
          <cell r="N109" t="str">
            <v>GRADO I.20</v>
          </cell>
          <cell r="O109" t="str">
            <v>ESCOLARIDAD CIENT HU</v>
          </cell>
          <cell r="P109" t="str">
            <v>LICENCIA ENSEÑANZA MEDIA</v>
          </cell>
          <cell r="Q109" t="str">
            <v>TALCA</v>
          </cell>
          <cell r="R109" t="str">
            <v>FACULTAD DE PSICOLOGÍA</v>
          </cell>
          <cell r="S109" t="str">
            <v>FACULTAD DE PSICOLOGÍA</v>
          </cell>
        </row>
        <row r="110">
          <cell r="A110">
            <v>8943910</v>
          </cell>
          <cell r="B110" t="str">
            <v>8943910</v>
          </cell>
          <cell r="C110" t="str">
            <v>8</v>
          </cell>
          <cell r="D110" t="str">
            <v>SANCHEZ HENRIQUEZ JORGE ALEJAN</v>
          </cell>
          <cell r="E110" t="str">
            <v>FEN310004</v>
          </cell>
          <cell r="F110">
            <v>44</v>
          </cell>
          <cell r="G110">
            <v>30</v>
          </cell>
          <cell r="H110" t="str">
            <v>JSANCHEZ@UTALCA.CL</v>
          </cell>
          <cell r="I110">
            <v>32660</v>
          </cell>
          <cell r="J110">
            <v>2958465</v>
          </cell>
          <cell r="K110" t="str">
            <v>PLANTA</v>
          </cell>
          <cell r="L110" t="str">
            <v>CA ORDINARIA</v>
          </cell>
          <cell r="M110" t="str">
            <v>PROFESOR ASISTENTE</v>
          </cell>
          <cell r="N110" t="str">
            <v>GRADO C</v>
          </cell>
          <cell r="O110" t="str">
            <v>DOCTORADO</v>
          </cell>
          <cell r="P110" t="str">
            <v>DOCTOR IN BUSINESS ADMINISTRATION</v>
          </cell>
          <cell r="Q110" t="str">
            <v>TALCA</v>
          </cell>
          <cell r="R110" t="str">
            <v>FACULTAD DE ECONOMÍA Y NEGOCIOS</v>
          </cell>
          <cell r="S110" t="str">
            <v>ESC. AUDITORIA Y CONTROL DE GESTIÓN TLCA</v>
          </cell>
        </row>
        <row r="111">
          <cell r="A111">
            <v>8972110</v>
          </cell>
          <cell r="B111" t="str">
            <v>8972110</v>
          </cell>
          <cell r="C111" t="str">
            <v>5</v>
          </cell>
          <cell r="D111" t="str">
            <v>CANCINO ARCE ALFREDO ENRIQUE</v>
          </cell>
          <cell r="E111" t="str">
            <v>FAM200001</v>
          </cell>
          <cell r="F111">
            <v>11</v>
          </cell>
          <cell r="G111">
            <v>30</v>
          </cell>
          <cell r="H111" t="str">
            <v>ACANCINO@UTALCA.CL</v>
          </cell>
          <cell r="I111">
            <v>45352</v>
          </cell>
          <cell r="J111">
            <v>46387</v>
          </cell>
          <cell r="K111" t="str">
            <v>CONTRATA</v>
          </cell>
          <cell r="L111" t="str">
            <v>C ESPECIALES</v>
          </cell>
          <cell r="M111" t="str">
            <v>TUTOR(A) PRÁCTICA</v>
          </cell>
          <cell r="N111" t="str">
            <v>SIN GRADO</v>
          </cell>
          <cell r="O111" t="str">
            <v>ESPECIAL. MÉDICA</v>
          </cell>
          <cell r="P111" t="str">
            <v>ESPECIALIDAD EN MEDICINA FAMILIAR</v>
          </cell>
          <cell r="Q111" t="str">
            <v>TALCA</v>
          </cell>
          <cell r="R111" t="str">
            <v>FACULTAD DE MEDICINA</v>
          </cell>
          <cell r="S111" t="str">
            <v>FACULTAD DE MEDICINA</v>
          </cell>
        </row>
        <row r="112">
          <cell r="A112">
            <v>9014007</v>
          </cell>
          <cell r="B112" t="str">
            <v>9014007</v>
          </cell>
          <cell r="C112" t="str">
            <v>8</v>
          </cell>
          <cell r="D112" t="str">
            <v>REYES QUIROGA JUAN CARLOS</v>
          </cell>
          <cell r="E112" t="str">
            <v>VGE400050</v>
          </cell>
          <cell r="F112">
            <v>44</v>
          </cell>
          <cell r="G112">
            <v>30</v>
          </cell>
          <cell r="H112" t="str">
            <v>JCREYES@UTALCA.CL</v>
          </cell>
          <cell r="I112">
            <v>37104</v>
          </cell>
          <cell r="J112">
            <v>2958465</v>
          </cell>
          <cell r="K112" t="str">
            <v>PLANTA</v>
          </cell>
          <cell r="L112" t="str">
            <v>ADMINISTRATIVO</v>
          </cell>
          <cell r="M112" t="str">
            <v>ADMINISTRATIVO</v>
          </cell>
          <cell r="N112" t="str">
            <v>GRADO I.20</v>
          </cell>
          <cell r="O112" t="str">
            <v>ESCOLARIDAD CIENT HU</v>
          </cell>
          <cell r="P112" t="str">
            <v>LICENCIA ENSEÑANZA MEDIA</v>
          </cell>
          <cell r="Q112" t="str">
            <v>TALCA</v>
          </cell>
          <cell r="R112" t="str">
            <v>VIC. GESTIÓN ECONÓMICA Y ADMINISTRACIÓN</v>
          </cell>
          <cell r="S112" t="str">
            <v>DEPARTAMENTO DE ADMINISTRACIÓN DE CAMPUS</v>
          </cell>
        </row>
        <row r="113">
          <cell r="A113">
            <v>9026371</v>
          </cell>
          <cell r="B113" t="str">
            <v>9026371</v>
          </cell>
          <cell r="C113" t="str">
            <v>4</v>
          </cell>
          <cell r="D113" t="str">
            <v>PEREZ REBOLLEDO ARNALDO EDUARD</v>
          </cell>
          <cell r="E113" t="str">
            <v>FAM200001</v>
          </cell>
          <cell r="F113">
            <v>11</v>
          </cell>
          <cell r="G113">
            <v>30</v>
          </cell>
          <cell r="H113" t="str">
            <v>ARPEREZ@UTALCA.CL</v>
          </cell>
          <cell r="I113">
            <v>41334</v>
          </cell>
          <cell r="J113">
            <v>46387</v>
          </cell>
          <cell r="K113" t="str">
            <v>CONTRATA</v>
          </cell>
          <cell r="L113" t="str">
            <v>C ESPECIALES</v>
          </cell>
          <cell r="M113" t="str">
            <v>TUTOR(A) PRÁCTICA</v>
          </cell>
          <cell r="N113" t="str">
            <v>SIN GRADO</v>
          </cell>
          <cell r="O113" t="str">
            <v>ESPECIAL. MÉDICA</v>
          </cell>
          <cell r="P113" t="str">
            <v>ESPECIALIDAD EN ANESTESIOLOGIA</v>
          </cell>
          <cell r="Q113" t="str">
            <v>TALCA</v>
          </cell>
          <cell r="R113" t="str">
            <v>FACULTAD DE MEDICINA</v>
          </cell>
          <cell r="S113" t="str">
            <v>FACULTAD DE MEDICINA</v>
          </cell>
        </row>
        <row r="114">
          <cell r="A114">
            <v>9035307</v>
          </cell>
          <cell r="B114" t="str">
            <v>09035307</v>
          </cell>
          <cell r="C114" t="str">
            <v>1</v>
          </cell>
          <cell r="D114" t="str">
            <v>FLORES GONZALEZ MARIANELLA ELE</v>
          </cell>
          <cell r="E114" t="str">
            <v>FED310002</v>
          </cell>
          <cell r="F114">
            <v>44</v>
          </cell>
          <cell r="G114">
            <v>30</v>
          </cell>
          <cell r="H114" t="str">
            <v>MARIANELLA.FLORES@UTALCA.CL</v>
          </cell>
          <cell r="I114">
            <v>43556</v>
          </cell>
          <cell r="J114">
            <v>46446</v>
          </cell>
          <cell r="K114" t="str">
            <v>CONTRATA</v>
          </cell>
          <cell r="L114" t="str">
            <v>CA DOCENTE</v>
          </cell>
          <cell r="M114" t="str">
            <v>INSTRUCTOR</v>
          </cell>
          <cell r="N114" t="str">
            <v>GRADO D</v>
          </cell>
          <cell r="O114" t="str">
            <v>MAGISTER</v>
          </cell>
          <cell r="P114" t="str">
            <v>MAGISTER EN EDUCACIÓN MENCIÓN GESTIÓN Y LIDER</v>
          </cell>
          <cell r="Q114" t="str">
            <v>LINARES</v>
          </cell>
          <cell r="R114" t="str">
            <v>FACULTAD DE CIENCIAS DE LA EDUCACIÓN</v>
          </cell>
          <cell r="S114" t="str">
            <v>ESCUELA DE PEDAGOGÍA EN INGLÉS</v>
          </cell>
        </row>
        <row r="115">
          <cell r="A115">
            <v>9048488</v>
          </cell>
          <cell r="B115" t="str">
            <v>09048488</v>
          </cell>
          <cell r="C115" t="str">
            <v>5</v>
          </cell>
          <cell r="D115" t="str">
            <v>GONZALEZ ROJAS JAIME</v>
          </cell>
          <cell r="E115" t="str">
            <v>VGE400050</v>
          </cell>
          <cell r="F115">
            <v>44</v>
          </cell>
          <cell r="G115">
            <v>30</v>
          </cell>
          <cell r="H115" t="str">
            <v>JAIME.GONZALEZ@UTALCA.CL</v>
          </cell>
          <cell r="I115">
            <v>43831</v>
          </cell>
          <cell r="J115">
            <v>46387</v>
          </cell>
          <cell r="K115" t="str">
            <v>CONTRATA</v>
          </cell>
          <cell r="L115" t="str">
            <v>AUXILIAR</v>
          </cell>
          <cell r="M115" t="str">
            <v>AUXILIAR</v>
          </cell>
          <cell r="N115" t="str">
            <v>GRADO I.24</v>
          </cell>
          <cell r="O115" t="str">
            <v>ESCOLARIDAD CIENT HU</v>
          </cell>
          <cell r="P115" t="str">
            <v>LICENCIA ENSEÑANZA MEDIA</v>
          </cell>
          <cell r="Q115" t="str">
            <v>TALCA</v>
          </cell>
          <cell r="R115" t="str">
            <v>VIC. GESTIÓN ECONÓMICA Y ADMINISTRACIÓN</v>
          </cell>
          <cell r="S115" t="str">
            <v>DEPARTAMENTO DE ADMINISTRACIÓN DE CAMPUS</v>
          </cell>
        </row>
        <row r="116">
          <cell r="A116">
            <v>9073385</v>
          </cell>
          <cell r="B116" t="str">
            <v>9073385</v>
          </cell>
          <cell r="C116" t="str">
            <v>0</v>
          </cell>
          <cell r="D116" t="str">
            <v>VITALI GONZALEZ HARRIET EVELYN</v>
          </cell>
          <cell r="E116" t="str">
            <v>FAM320003</v>
          </cell>
          <cell r="F116">
            <v>6</v>
          </cell>
          <cell r="G116">
            <v>30</v>
          </cell>
          <cell r="H116" t="str">
            <v>HVITALI@UTALCA.CL</v>
          </cell>
          <cell r="I116">
            <v>41852</v>
          </cell>
          <cell r="J116">
            <v>46446</v>
          </cell>
          <cell r="K116" t="str">
            <v>CONTRATA</v>
          </cell>
          <cell r="L116" t="str">
            <v>CA DE LA PROFESIÓN</v>
          </cell>
          <cell r="M116" t="str">
            <v>INSTRUCTOR</v>
          </cell>
          <cell r="N116" t="str">
            <v>GRADO D</v>
          </cell>
          <cell r="O116" t="str">
            <v>ESPECIAL. MÉDICA</v>
          </cell>
          <cell r="P116" t="str">
            <v>ESPECIALISTA EN OBSTETRICIA Y GINECOLOGÍA</v>
          </cell>
          <cell r="Q116" t="str">
            <v>TALCA</v>
          </cell>
          <cell r="R116" t="str">
            <v>FACULTAD DE MEDICINA</v>
          </cell>
          <cell r="S116" t="str">
            <v>DPTO. DE ESPECIALIDADES QUIRÚRGICAS</v>
          </cell>
        </row>
        <row r="117">
          <cell r="A117">
            <v>9086541</v>
          </cell>
          <cell r="B117" t="str">
            <v>9086541</v>
          </cell>
          <cell r="C117" t="str">
            <v>2</v>
          </cell>
          <cell r="D117" t="str">
            <v>LOBOS PRATS GUSTAVO ADOLFO</v>
          </cell>
          <cell r="E117" t="str">
            <v>FCA320002</v>
          </cell>
          <cell r="F117">
            <v>44</v>
          </cell>
          <cell r="G117">
            <v>30</v>
          </cell>
          <cell r="H117" t="str">
            <v>GLOBOSP@UTALCA.CL</v>
          </cell>
          <cell r="I117">
            <v>37747</v>
          </cell>
          <cell r="J117">
            <v>2958465</v>
          </cell>
          <cell r="K117" t="str">
            <v>PLANTA</v>
          </cell>
          <cell r="L117" t="str">
            <v>CA ORDINARIA</v>
          </cell>
          <cell r="M117" t="str">
            <v>PROFESOR TITULAR</v>
          </cell>
          <cell r="N117" t="str">
            <v>GRADO A</v>
          </cell>
          <cell r="O117" t="str">
            <v>DOCTORADO</v>
          </cell>
          <cell r="P117" t="str">
            <v>DOCTOR EN CIENCIAS AGRARÍAS</v>
          </cell>
          <cell r="Q117" t="str">
            <v>TALCA</v>
          </cell>
          <cell r="R117" t="str">
            <v>FACULTAD DE CIENCIAS AGRARIAS</v>
          </cell>
          <cell r="S117" t="str">
            <v>DEPARTAMENTO DE HORTICULTURA</v>
          </cell>
        </row>
        <row r="118">
          <cell r="A118">
            <v>9087215</v>
          </cell>
          <cell r="B118" t="str">
            <v>9087215</v>
          </cell>
          <cell r="C118" t="str">
            <v>K</v>
          </cell>
          <cell r="D118" t="str">
            <v>MENA ALBORNOZ JUAN EMILIANO</v>
          </cell>
          <cell r="E118" t="str">
            <v>ADC022001</v>
          </cell>
          <cell r="F118">
            <v>44</v>
          </cell>
          <cell r="G118">
            <v>30</v>
          </cell>
          <cell r="H118" t="str">
            <v>JMENA@UTALCA.CL</v>
          </cell>
          <cell r="I118">
            <v>34394</v>
          </cell>
          <cell r="J118">
            <v>2958465</v>
          </cell>
          <cell r="K118" t="str">
            <v>PLANTA</v>
          </cell>
          <cell r="L118" t="str">
            <v>ADMINISTRATIVO</v>
          </cell>
          <cell r="M118" t="str">
            <v>ADMINISTRATIVO</v>
          </cell>
          <cell r="N118" t="str">
            <v>GRADO I.17</v>
          </cell>
          <cell r="O118" t="str">
            <v>ESCOLARIDAD CIENT HU</v>
          </cell>
          <cell r="P118" t="str">
            <v>LICENCIA ENSEÑANZA MEDIA</v>
          </cell>
          <cell r="Q118" t="str">
            <v>TALCA</v>
          </cell>
          <cell r="R118" t="str">
            <v>DIRECCIÓN DE EXTENSIÓN</v>
          </cell>
          <cell r="S118" t="str">
            <v>DIRECCIÓN DE EXTENSIÓN</v>
          </cell>
        </row>
        <row r="119">
          <cell r="A119">
            <v>9093951</v>
          </cell>
          <cell r="B119" t="str">
            <v>9093951</v>
          </cell>
          <cell r="C119" t="str">
            <v>3</v>
          </cell>
          <cell r="D119" t="str">
            <v>MOYA LEON MARIA ALEJANDRA</v>
          </cell>
          <cell r="E119" t="str">
            <v>ICB300001</v>
          </cell>
          <cell r="F119">
            <v>44</v>
          </cell>
          <cell r="G119">
            <v>30</v>
          </cell>
          <cell r="H119" t="str">
            <v>ALEMOYA@UTALCA.CL</v>
          </cell>
          <cell r="I119">
            <v>33329</v>
          </cell>
          <cell r="J119">
            <v>2958465</v>
          </cell>
          <cell r="K119" t="str">
            <v>PLANTA</v>
          </cell>
          <cell r="L119" t="str">
            <v>CA ORDINARIA</v>
          </cell>
          <cell r="M119" t="str">
            <v>PROFESOR TITULAR</v>
          </cell>
          <cell r="N119" t="str">
            <v>GRADO A</v>
          </cell>
          <cell r="O119" t="str">
            <v>DOCTORADO</v>
          </cell>
          <cell r="P119" t="str">
            <v>DOCTOR OF PHILOSOPHY</v>
          </cell>
          <cell r="Q119" t="str">
            <v>TALCA</v>
          </cell>
          <cell r="R119" t="str">
            <v>INSTITUTO DE CIENCIAS BIOLÓGICAS</v>
          </cell>
          <cell r="S119" t="str">
            <v>INSTITUTO DE CIENCIAS BIOLÓGICAS</v>
          </cell>
        </row>
        <row r="120">
          <cell r="A120">
            <v>9098526</v>
          </cell>
          <cell r="B120" t="str">
            <v>9098526</v>
          </cell>
          <cell r="C120" t="str">
            <v>4</v>
          </cell>
          <cell r="D120" t="str">
            <v>LOLAS CANEO MAURICIO ALBERTO</v>
          </cell>
          <cell r="E120" t="str">
            <v>FCA320003</v>
          </cell>
          <cell r="F120">
            <v>44</v>
          </cell>
          <cell r="G120">
            <v>30</v>
          </cell>
          <cell r="H120" t="str">
            <v>MLOLAS@UTALCA.CL</v>
          </cell>
          <cell r="I120">
            <v>32295</v>
          </cell>
          <cell r="J120">
            <v>2958465</v>
          </cell>
          <cell r="K120" t="str">
            <v>PLANTA</v>
          </cell>
          <cell r="L120" t="str">
            <v>CA ORDINARIA</v>
          </cell>
          <cell r="M120" t="str">
            <v>PROFESOR TITULAR</v>
          </cell>
          <cell r="N120" t="str">
            <v>GRADO A</v>
          </cell>
          <cell r="O120" t="str">
            <v>DOCTORADO</v>
          </cell>
          <cell r="P120" t="str">
            <v>DOCTOR OF PHILOSOPHY</v>
          </cell>
          <cell r="Q120" t="str">
            <v>TALCA</v>
          </cell>
          <cell r="R120" t="str">
            <v>FACULTAD DE CIENCIAS AGRARIAS</v>
          </cell>
          <cell r="S120" t="str">
            <v>DEPARTAMENTO DE PRODUCCIÓN AGRÍCOLA</v>
          </cell>
        </row>
        <row r="121">
          <cell r="A121">
            <v>9105620</v>
          </cell>
          <cell r="B121" t="str">
            <v>9105620</v>
          </cell>
          <cell r="C121" t="str">
            <v>8</v>
          </cell>
          <cell r="D121" t="str">
            <v>FLORES AGUIRRE SUSANA ELIZABET</v>
          </cell>
          <cell r="E121" t="str">
            <v/>
          </cell>
          <cell r="F121">
            <v>44</v>
          </cell>
          <cell r="G121">
            <v>30</v>
          </cell>
          <cell r="H121" t="str">
            <v>SFLORES@UTALCA.CL</v>
          </cell>
          <cell r="I121">
            <v>44927</v>
          </cell>
          <cell r="J121">
            <v>46387</v>
          </cell>
          <cell r="K121" t="str">
            <v>CONTRATA</v>
          </cell>
          <cell r="L121" t="str">
            <v>PROFESIONAL</v>
          </cell>
          <cell r="M121" t="str">
            <v>PROFESIONAL</v>
          </cell>
          <cell r="N121" t="str">
            <v>GRADO I.17</v>
          </cell>
          <cell r="O121" t="str">
            <v>MAGISTER</v>
          </cell>
          <cell r="P121" t="str">
            <v>MAGISTER EN CIENCIAS CON MENCION EN QUIMICA</v>
          </cell>
          <cell r="Q121" t="str">
            <v>TALCA</v>
          </cell>
          <cell r="R121" t="str">
            <v>FACULTAD DE CIENCIAS AGRARÍAS</v>
          </cell>
          <cell r="S121" t="str">
            <v>CENTRO TECNOLÓGICO DE LA VID Y EL VINO</v>
          </cell>
        </row>
        <row r="122">
          <cell r="A122">
            <v>9126553</v>
          </cell>
          <cell r="B122" t="str">
            <v>9126553</v>
          </cell>
          <cell r="C122" t="str">
            <v>2</v>
          </cell>
          <cell r="D122" t="str">
            <v>ORTEGA FARIAS SAMUEL ORLANDO</v>
          </cell>
          <cell r="E122" t="str">
            <v>FCA320003</v>
          </cell>
          <cell r="F122">
            <v>44</v>
          </cell>
          <cell r="G122">
            <v>30</v>
          </cell>
          <cell r="H122" t="str">
            <v>SORTEGA@UTALCA.CL</v>
          </cell>
          <cell r="I122">
            <v>32264</v>
          </cell>
          <cell r="J122">
            <v>2958465</v>
          </cell>
          <cell r="K122" t="str">
            <v>PLANTA</v>
          </cell>
          <cell r="L122" t="str">
            <v>CA ORDINARIA</v>
          </cell>
          <cell r="M122" t="str">
            <v>PROFESOR TITULAR</v>
          </cell>
          <cell r="N122" t="str">
            <v>GRADO A</v>
          </cell>
          <cell r="O122" t="str">
            <v>DOCTORADO</v>
          </cell>
          <cell r="P122" t="str">
            <v>DOCTOR OF PHILOSOPHY</v>
          </cell>
          <cell r="Q122" t="str">
            <v>TALCA</v>
          </cell>
          <cell r="R122" t="str">
            <v>FACULTAD DE CIENCIAS AGRARIAS</v>
          </cell>
          <cell r="S122" t="str">
            <v>DEPARTAMENTO DE PRODUCCIÓN AGRÍCOLA</v>
          </cell>
        </row>
        <row r="123">
          <cell r="A123">
            <v>9138134</v>
          </cell>
          <cell r="B123" t="str">
            <v>9138134</v>
          </cell>
          <cell r="C123" t="str">
            <v>6</v>
          </cell>
          <cell r="D123" t="str">
            <v>MUÑOZ FLORES HECTOR GASTON</v>
          </cell>
          <cell r="E123" t="str">
            <v>VGE100002</v>
          </cell>
          <cell r="F123">
            <v>44</v>
          </cell>
          <cell r="G123">
            <v>30</v>
          </cell>
          <cell r="H123" t="str">
            <v>HECTOR.MUNOZ@UTALCA.CL</v>
          </cell>
          <cell r="I123">
            <v>45292</v>
          </cell>
          <cell r="J123">
            <v>2958465</v>
          </cell>
          <cell r="K123" t="str">
            <v>PLANTA</v>
          </cell>
          <cell r="L123" t="str">
            <v>DIR EXCLU. CONFIANZA</v>
          </cell>
          <cell r="M123" t="str">
            <v>DIR EXCLU. CONFIANZA</v>
          </cell>
          <cell r="N123" t="str">
            <v>GRADO I.5</v>
          </cell>
          <cell r="O123" t="str">
            <v>TÍTULO PROFESIONAL</v>
          </cell>
          <cell r="P123" t="str">
            <v>INGENIERO EN INFORMATICA</v>
          </cell>
          <cell r="Q123" t="str">
            <v>TALCA</v>
          </cell>
          <cell r="R123" t="str">
            <v>VIC. GESTIÓN ECONÓMICA Y ADMINISTRACIÓN</v>
          </cell>
          <cell r="S123" t="str">
            <v>OFICINA DE SEGURIDAD DIGITAL</v>
          </cell>
        </row>
        <row r="124">
          <cell r="A124">
            <v>9160827</v>
          </cell>
          <cell r="B124" t="str">
            <v>9160827</v>
          </cell>
          <cell r="C124" t="str">
            <v>8</v>
          </cell>
          <cell r="D124" t="str">
            <v>CABALLERO MOYANO PAULA MACAREN</v>
          </cell>
          <cell r="E124" t="str">
            <v>FCS320009</v>
          </cell>
          <cell r="F124">
            <v>44</v>
          </cell>
          <cell r="G124">
            <v>30</v>
          </cell>
          <cell r="H124" t="str">
            <v>PCABALLERO@UTALCA.CL</v>
          </cell>
          <cell r="I124">
            <v>38047</v>
          </cell>
          <cell r="J124">
            <v>2958465</v>
          </cell>
          <cell r="K124" t="str">
            <v>PLANTA</v>
          </cell>
          <cell r="L124" t="str">
            <v>CA DOCENTE</v>
          </cell>
          <cell r="M124" t="str">
            <v>PROFESOR ASISTENTE</v>
          </cell>
          <cell r="N124" t="str">
            <v>GRADO C</v>
          </cell>
          <cell r="O124" t="str">
            <v>DOCTORADO</v>
          </cell>
          <cell r="P124" t="str">
            <v>DOUTORA EM CIENC DA REHALITACAO: FUND. DA REH</v>
          </cell>
          <cell r="Q124" t="str">
            <v>TALCA</v>
          </cell>
          <cell r="R124" t="str">
            <v>FACULTAD DE CIENCIAS DE LA SALUD</v>
          </cell>
          <cell r="S124" t="str">
            <v>DPTO. DE CIENCIAS DEL MOVIMIENTO HUMANO</v>
          </cell>
        </row>
        <row r="125">
          <cell r="A125">
            <v>9163143</v>
          </cell>
          <cell r="B125" t="str">
            <v>09163143</v>
          </cell>
          <cell r="C125" t="str">
            <v>1</v>
          </cell>
          <cell r="D125" t="str">
            <v>CASTILLO ROJAS BERNARDITA DEL</v>
          </cell>
          <cell r="E125" t="str">
            <v>FCS310007</v>
          </cell>
          <cell r="F125">
            <v>44</v>
          </cell>
          <cell r="G125">
            <v>30</v>
          </cell>
          <cell r="H125" t="str">
            <v>BCASTILLO@UTALCA.CL</v>
          </cell>
          <cell r="I125">
            <v>43466</v>
          </cell>
          <cell r="J125">
            <v>46387</v>
          </cell>
          <cell r="K125" t="str">
            <v>CONTRATA</v>
          </cell>
          <cell r="L125" t="str">
            <v>ADMINISTRATIVO</v>
          </cell>
          <cell r="M125" t="str">
            <v>ADMINISTRATIVO</v>
          </cell>
          <cell r="N125" t="str">
            <v>GRADO I.21</v>
          </cell>
          <cell r="O125" t="str">
            <v>TÉC. NIVEL SUPERIOR</v>
          </cell>
          <cell r="P125" t="str">
            <v>TÉCNICO EN AUDITORIA CON MENCIÓN EN COMPUTACI</v>
          </cell>
          <cell r="Q125" t="str">
            <v>TALCA</v>
          </cell>
          <cell r="R125" t="str">
            <v>FACULTAD DE CIENCIAS DE LA SALUD</v>
          </cell>
          <cell r="S125" t="str">
            <v>ESCUELA DE OBSTETRICIA Y PUERICULTURA</v>
          </cell>
        </row>
        <row r="126">
          <cell r="A126">
            <v>9169981</v>
          </cell>
          <cell r="B126" t="str">
            <v>9169981</v>
          </cell>
          <cell r="C126" t="str">
            <v>8</v>
          </cell>
          <cell r="D126" t="str">
            <v>ALDERETE TRIVIÑOS JOEL BERNABÉ</v>
          </cell>
          <cell r="E126" t="str">
            <v>IQR300001</v>
          </cell>
          <cell r="F126">
            <v>44</v>
          </cell>
          <cell r="G126">
            <v>30</v>
          </cell>
          <cell r="H126" t="str">
            <v>JOEL.ALDERETE@UTALCA.CL</v>
          </cell>
          <cell r="I126">
            <v>43466</v>
          </cell>
          <cell r="J126">
            <v>2958465</v>
          </cell>
          <cell r="K126" t="str">
            <v>PLANTA</v>
          </cell>
          <cell r="L126" t="str">
            <v>CA ORDINARIA</v>
          </cell>
          <cell r="M126" t="str">
            <v>PROFESOR TITULAR</v>
          </cell>
          <cell r="N126" t="str">
            <v>GRADO A</v>
          </cell>
          <cell r="O126" t="str">
            <v>DOCTORADO</v>
          </cell>
          <cell r="P126" t="str">
            <v>DOCTOR EN CIENCIAS CON MENCIÓN EN QUÍMICA</v>
          </cell>
          <cell r="Q126" t="str">
            <v>TALCA</v>
          </cell>
          <cell r="R126" t="str">
            <v>INSTITUTO QUÍMICA DE RECURSOS NATURALES</v>
          </cell>
          <cell r="S126" t="str">
            <v>INSTITUTO QUÍMICA DE RECURSOS NATURALES</v>
          </cell>
        </row>
        <row r="127">
          <cell r="A127">
            <v>9189921</v>
          </cell>
          <cell r="B127" t="str">
            <v>9189921</v>
          </cell>
          <cell r="C127" t="str">
            <v>3</v>
          </cell>
          <cell r="D127" t="str">
            <v>TAPIA SANHUEZA JAIME DEL CARME</v>
          </cell>
          <cell r="E127" t="str">
            <v>IQR300001</v>
          </cell>
          <cell r="F127">
            <v>44</v>
          </cell>
          <cell r="G127">
            <v>30</v>
          </cell>
          <cell r="H127" t="str">
            <v>JTAPIA@UTALCA.CL</v>
          </cell>
          <cell r="I127">
            <v>30011</v>
          </cell>
          <cell r="J127">
            <v>2958465</v>
          </cell>
          <cell r="K127" t="str">
            <v>PLANTA</v>
          </cell>
          <cell r="L127" t="str">
            <v>CA ORDINARIA</v>
          </cell>
          <cell r="M127" t="str">
            <v>PROFESOR ASOCIADO</v>
          </cell>
          <cell r="N127" t="str">
            <v>GRADO B</v>
          </cell>
          <cell r="O127" t="str">
            <v>DOCTORADO</v>
          </cell>
          <cell r="P127" t="str">
            <v>DOCTOR EN CIENCIAS AMBIENTALES</v>
          </cell>
          <cell r="Q127" t="str">
            <v>TALCA</v>
          </cell>
          <cell r="R127" t="str">
            <v>INSTITUTO QUÍMICA DE RECURSOS NATURALES</v>
          </cell>
          <cell r="S127" t="str">
            <v>INSTITUTO QUÍMICA DE RECURSOS NATURALES</v>
          </cell>
        </row>
        <row r="128">
          <cell r="A128">
            <v>9193027</v>
          </cell>
          <cell r="B128" t="str">
            <v>9193027</v>
          </cell>
          <cell r="C128" t="str">
            <v>7</v>
          </cell>
          <cell r="D128" t="str">
            <v>AZOCAR CABELLO TERESA CECILIA</v>
          </cell>
          <cell r="E128" t="str">
            <v>FOD320001</v>
          </cell>
          <cell r="F128">
            <v>33</v>
          </cell>
          <cell r="G128">
            <v>30</v>
          </cell>
          <cell r="H128" t="str">
            <v>TAZOCAR@UTALCA.CL</v>
          </cell>
          <cell r="I128">
            <v>36586</v>
          </cell>
          <cell r="J128">
            <v>46446</v>
          </cell>
          <cell r="K128" t="str">
            <v>CONTRATA</v>
          </cell>
          <cell r="L128" t="str">
            <v>CA DOCENTE</v>
          </cell>
          <cell r="M128" t="str">
            <v>INSTRUCTOR</v>
          </cell>
          <cell r="N128" t="str">
            <v>GRADO D</v>
          </cell>
          <cell r="O128" t="str">
            <v>DOCTORADO</v>
          </cell>
          <cell r="P128" t="str">
            <v>DOCTORA EN ODONTOLOGIA</v>
          </cell>
          <cell r="Q128" t="str">
            <v>TALCA</v>
          </cell>
          <cell r="R128" t="str">
            <v>FACULTAD DE ODONTOLOGÍA</v>
          </cell>
          <cell r="S128" t="str">
            <v>DPTO. REHABILITACIÓN BUCO-MAXILOFACIAL</v>
          </cell>
        </row>
        <row r="129">
          <cell r="A129">
            <v>9224606</v>
          </cell>
          <cell r="B129" t="str">
            <v>9224606</v>
          </cell>
          <cell r="C129" t="str">
            <v>K</v>
          </cell>
          <cell r="D129" t="str">
            <v>GARRIDO MOLINA JOSE FRANCISCO</v>
          </cell>
          <cell r="E129" t="str">
            <v>ADC021005</v>
          </cell>
          <cell r="F129">
            <v>44</v>
          </cell>
          <cell r="G129">
            <v>30</v>
          </cell>
          <cell r="H129" t="str">
            <v>JGARRIDO@UTALCA.CL</v>
          </cell>
          <cell r="I129">
            <v>43466</v>
          </cell>
          <cell r="J129">
            <v>46387</v>
          </cell>
          <cell r="K129" t="str">
            <v>CONTRATA</v>
          </cell>
          <cell r="L129" t="str">
            <v>ADMINISTRATIVO</v>
          </cell>
          <cell r="M129" t="str">
            <v>ADMINISTRATIVO</v>
          </cell>
          <cell r="N129" t="str">
            <v>GRADO I.21</v>
          </cell>
          <cell r="O129" t="str">
            <v>TÉC. NIVEL MEDIO</v>
          </cell>
          <cell r="P129" t="str">
            <v>ENSEÑANZA MEDIA HUMANÍSTICO-CIENTÍFICA</v>
          </cell>
          <cell r="Q129" t="str">
            <v>TALCA</v>
          </cell>
          <cell r="R129" t="str">
            <v>DIRECCIÓN DE COMUNICACIONES CORPORATIVAS</v>
          </cell>
          <cell r="S129" t="str">
            <v>DPTO. DE COMUNICACIÓN EXTERNA Y MEDIOS</v>
          </cell>
        </row>
        <row r="130">
          <cell r="A130">
            <v>9230031</v>
          </cell>
          <cell r="B130" t="str">
            <v>9230031</v>
          </cell>
          <cell r="C130" t="str">
            <v>5</v>
          </cell>
          <cell r="D130" t="str">
            <v>VARGAS LORA MACARENA PILAR</v>
          </cell>
          <cell r="E130" t="str">
            <v/>
          </cell>
          <cell r="F130">
            <v>44</v>
          </cell>
          <cell r="G130">
            <v>30</v>
          </cell>
          <cell r="H130" t="str">
            <v>MACVARGAS@UTALCA.CL</v>
          </cell>
          <cell r="I130">
            <v>44927</v>
          </cell>
          <cell r="J130">
            <v>46387</v>
          </cell>
          <cell r="K130" t="str">
            <v>CONTRATA</v>
          </cell>
          <cell r="L130" t="str">
            <v>ADMINISTRATIVO</v>
          </cell>
          <cell r="M130" t="str">
            <v>ADMINISTRATIVO</v>
          </cell>
          <cell r="N130" t="str">
            <v>GRADO I.21</v>
          </cell>
          <cell r="O130" t="str">
            <v>TÍTULO PROFESIONAL</v>
          </cell>
          <cell r="P130" t="str">
            <v>SECRETARIA EJECUTIVA EN CASTELLANO</v>
          </cell>
          <cell r="Q130" t="str">
            <v>TALCA</v>
          </cell>
          <cell r="R130" t="str">
            <v>VICERRECTORÍA DE FORMACIÓN</v>
          </cell>
          <cell r="S130" t="str">
            <v>UNIDAD DE ADMISIÓN Y ACCESO</v>
          </cell>
        </row>
        <row r="131">
          <cell r="A131">
            <v>9239143</v>
          </cell>
          <cell r="B131" t="str">
            <v>9239143</v>
          </cell>
          <cell r="C131" t="str">
            <v>4</v>
          </cell>
          <cell r="D131" t="str">
            <v>MORAN ABACA EUGENIO ALEJANDRO</v>
          </cell>
          <cell r="E131" t="str">
            <v>VGE400050</v>
          </cell>
          <cell r="F131">
            <v>44</v>
          </cell>
          <cell r="G131">
            <v>30</v>
          </cell>
          <cell r="H131" t="str">
            <v>EMORAN@UTALCA.CL</v>
          </cell>
          <cell r="I131">
            <v>41640</v>
          </cell>
          <cell r="J131">
            <v>46387</v>
          </cell>
          <cell r="K131" t="str">
            <v>CONTRATA</v>
          </cell>
          <cell r="L131" t="str">
            <v>AUXILIAR</v>
          </cell>
          <cell r="M131" t="str">
            <v>AUXILIAR</v>
          </cell>
          <cell r="N131" t="str">
            <v>GRADO I.24</v>
          </cell>
          <cell r="O131" t="str">
            <v>TÉC. NIVEL MEDIO</v>
          </cell>
          <cell r="P131" t="str">
            <v>TÉCNICO INDUSTRIAL CON MENCIÓN EN LA ESPECIAL</v>
          </cell>
          <cell r="Q131" t="str">
            <v>TALCA</v>
          </cell>
          <cell r="R131" t="str">
            <v>VIC. GESTIÓN ECONÓMICA Y ADMINISTRACIÓN</v>
          </cell>
          <cell r="S131" t="str">
            <v>DEPARTAMENTO DE ADMINISTRACIÓN DE CAMPUS</v>
          </cell>
        </row>
        <row r="132">
          <cell r="A132">
            <v>9247718</v>
          </cell>
          <cell r="B132" t="str">
            <v>09247718</v>
          </cell>
          <cell r="C132" t="str">
            <v>5</v>
          </cell>
          <cell r="D132" t="str">
            <v>OYARZUN CHAVEZ CLAUDIO HUMBERT</v>
          </cell>
          <cell r="E132" t="str">
            <v>VRF400009</v>
          </cell>
          <cell r="F132">
            <v>44</v>
          </cell>
          <cell r="G132">
            <v>30</v>
          </cell>
          <cell r="H132" t="str">
            <v>CLOYARZUN@UTALCA.CL</v>
          </cell>
          <cell r="I132">
            <v>41730</v>
          </cell>
          <cell r="J132">
            <v>46446</v>
          </cell>
          <cell r="K132" t="str">
            <v>CONTRATA</v>
          </cell>
          <cell r="L132" t="str">
            <v>CA DOCENTE</v>
          </cell>
          <cell r="M132" t="str">
            <v>PROFESOR ASOCIADO</v>
          </cell>
          <cell r="N132" t="str">
            <v>GRADO B</v>
          </cell>
          <cell r="O132" t="str">
            <v>DOCTORADO</v>
          </cell>
          <cell r="P132" t="str">
            <v>DOCTORADO EN CONOCIMIENTO PEDAGÓGICO AVANZADO</v>
          </cell>
          <cell r="Q132" t="str">
            <v>TALCA</v>
          </cell>
          <cell r="R132" t="str">
            <v>DIRECCIÓN DE PREGRADO</v>
          </cell>
          <cell r="S132" t="str">
            <v>PROGRAMA DE FORMACIÓN FUNDAMENTAL</v>
          </cell>
        </row>
        <row r="133">
          <cell r="A133">
            <v>9270305</v>
          </cell>
          <cell r="B133" t="str">
            <v>09270305</v>
          </cell>
          <cell r="C133" t="str">
            <v>3</v>
          </cell>
          <cell r="D133" t="str">
            <v>CASTRO PAREDES MOYRA MARCELA</v>
          </cell>
          <cell r="E133" t="str">
            <v>FED320001</v>
          </cell>
          <cell r="F133">
            <v>44</v>
          </cell>
          <cell r="G133">
            <v>30</v>
          </cell>
          <cell r="H133" t="str">
            <v>MOCASTRO@UTALCA.CL</v>
          </cell>
          <cell r="I133">
            <v>39645</v>
          </cell>
          <cell r="J133">
            <v>46446</v>
          </cell>
          <cell r="K133" t="str">
            <v>CONTRATA</v>
          </cell>
          <cell r="L133" t="str">
            <v>CA DOCENTE</v>
          </cell>
          <cell r="M133" t="str">
            <v>PROFESOR ASISTENTE</v>
          </cell>
          <cell r="N133" t="str">
            <v>GRADO C</v>
          </cell>
          <cell r="O133" t="str">
            <v>DOCTORADO</v>
          </cell>
          <cell r="P133" t="str">
            <v>DOCTORA POR LA UNIVERSIDAD DE SALAMANCA</v>
          </cell>
          <cell r="Q133" t="str">
            <v>TALCA</v>
          </cell>
          <cell r="R133" t="str">
            <v>FACULTAD DE CIENCIAS DE LA EDUCACIÓN</v>
          </cell>
          <cell r="S133" t="str">
            <v>CENTRO INVESTIGACION DESAR. EDUCACIONAL</v>
          </cell>
        </row>
        <row r="134">
          <cell r="A134">
            <v>9285530</v>
          </cell>
          <cell r="B134" t="str">
            <v>9285530</v>
          </cell>
          <cell r="C134" t="str">
            <v>9</v>
          </cell>
          <cell r="D134" t="str">
            <v>LOPEZ ARANCIBIA PATRICIO ANDRE</v>
          </cell>
          <cell r="E134" t="str">
            <v>VGE400054</v>
          </cell>
          <cell r="F134">
            <v>44</v>
          </cell>
          <cell r="G134">
            <v>30</v>
          </cell>
          <cell r="H134" t="str">
            <v>PATLOPEZ@UTALCA.CL</v>
          </cell>
          <cell r="I134">
            <v>43101</v>
          </cell>
          <cell r="J134">
            <v>46387</v>
          </cell>
          <cell r="K134" t="str">
            <v>CONTRATA</v>
          </cell>
          <cell r="L134" t="str">
            <v>ADMINISTRATIVO</v>
          </cell>
          <cell r="M134" t="str">
            <v>ADMINISTRATIVO</v>
          </cell>
          <cell r="N134" t="str">
            <v>GRADO I.21</v>
          </cell>
          <cell r="O134" t="str">
            <v>TÍTULO PROFESIONAL</v>
          </cell>
          <cell r="P134" t="str">
            <v>INGENIERO EN INFORMÁTICA</v>
          </cell>
          <cell r="Q134" t="str">
            <v>TALCA</v>
          </cell>
          <cell r="R134" t="str">
            <v>VIC. GESTIÓN ECONÓMICA Y ADMINISTRACIÓN</v>
          </cell>
          <cell r="S134" t="str">
            <v>DEPARTAMENTO DE SERVICIOS  Y PROCESOS TI</v>
          </cell>
        </row>
        <row r="135">
          <cell r="A135">
            <v>9287630</v>
          </cell>
          <cell r="B135" t="str">
            <v>9287630</v>
          </cell>
          <cell r="C135" t="str">
            <v>6</v>
          </cell>
          <cell r="D135" t="str">
            <v>MARTÍNEZ GONZÁLEZ ALDO ENRIQUE</v>
          </cell>
          <cell r="E135" t="str">
            <v>VGE400056</v>
          </cell>
          <cell r="F135">
            <v>44</v>
          </cell>
          <cell r="G135">
            <v>30</v>
          </cell>
          <cell r="H135" t="str">
            <v>ALDO.MARTINEZ@UTALCA.CL</v>
          </cell>
          <cell r="I135">
            <v>46027</v>
          </cell>
          <cell r="J135">
            <v>46387</v>
          </cell>
          <cell r="K135" t="str">
            <v>CONTRATA</v>
          </cell>
          <cell r="L135" t="str">
            <v>PROFESIONAL</v>
          </cell>
          <cell r="M135" t="str">
            <v>PROFESIONAL</v>
          </cell>
          <cell r="N135" t="str">
            <v>GRADO I.17</v>
          </cell>
          <cell r="O135" t="str">
            <v>TÍTULO PROFESIONAL</v>
          </cell>
          <cell r="P135" t="str">
            <v>INGENIERO DE EJECUCIÓN EN INFORMÁTICA</v>
          </cell>
          <cell r="Q135" t="str">
            <v>TALCA</v>
          </cell>
          <cell r="R135" t="str">
            <v>VIC. GESTIÓN ECONÓMICA Y ADMINISTRACIÓN</v>
          </cell>
          <cell r="S135" t="str">
            <v>DEPARTAMENTO DE SISTEMAS</v>
          </cell>
        </row>
        <row r="136">
          <cell r="A136">
            <v>9333003</v>
          </cell>
          <cell r="B136" t="str">
            <v>09333003</v>
          </cell>
          <cell r="C136" t="str">
            <v>K</v>
          </cell>
          <cell r="D136" t="str">
            <v>URRA MONSALVES LUIS ALBERTO</v>
          </cell>
          <cell r="E136" t="str">
            <v>VGE100001</v>
          </cell>
          <cell r="F136">
            <v>44</v>
          </cell>
          <cell r="G136">
            <v>30</v>
          </cell>
          <cell r="H136" t="str">
            <v>LURRA@UTALCA.CL</v>
          </cell>
          <cell r="I136">
            <v>36781</v>
          </cell>
          <cell r="J136">
            <v>2958465</v>
          </cell>
          <cell r="K136" t="str">
            <v>PLANTA</v>
          </cell>
          <cell r="L136" t="str">
            <v>PROFESIONAL</v>
          </cell>
          <cell r="M136" t="str">
            <v>DIR NORMAS PROPIAS</v>
          </cell>
          <cell r="N136" t="str">
            <v>GRADO I.2</v>
          </cell>
          <cell r="O136" t="str">
            <v>MAGISTER</v>
          </cell>
          <cell r="P136" t="str">
            <v>MAGISTER EN ADMINISTRACIÓN DE EMPRESAS</v>
          </cell>
          <cell r="Q136" t="str">
            <v>TALCA</v>
          </cell>
          <cell r="R136" t="str">
            <v>VIC. GESTIÓN ECONÓMICA Y ADMINISTRACIÓN</v>
          </cell>
          <cell r="S136" t="str">
            <v>VIC. GESTIÓN ECONÓMICA Y ADMINISTRACIÓN</v>
          </cell>
        </row>
        <row r="137">
          <cell r="A137">
            <v>9371495</v>
          </cell>
          <cell r="B137" t="str">
            <v>09371495</v>
          </cell>
          <cell r="C137" t="str">
            <v>4</v>
          </cell>
          <cell r="D137" t="str">
            <v>BARRERA ARANGUIZ JUAN FRANCISC</v>
          </cell>
          <cell r="E137" t="str">
            <v>IMF300001</v>
          </cell>
          <cell r="F137">
            <v>44</v>
          </cell>
          <cell r="G137">
            <v>30</v>
          </cell>
          <cell r="H137" t="str">
            <v>JBARRERA@UTALCA.CL</v>
          </cell>
          <cell r="I137">
            <v>39142</v>
          </cell>
          <cell r="J137">
            <v>46446</v>
          </cell>
          <cell r="K137" t="str">
            <v>CONTRATA</v>
          </cell>
          <cell r="L137" t="str">
            <v>CA DOCENTE</v>
          </cell>
          <cell r="M137" t="str">
            <v>INSTRUCTOR</v>
          </cell>
          <cell r="N137" t="str">
            <v>GRADO D</v>
          </cell>
          <cell r="O137" t="str">
            <v>MAGISTER</v>
          </cell>
          <cell r="P137" t="str">
            <v>MAGISTER EN BIOESTADÍSTICA</v>
          </cell>
          <cell r="Q137" t="str">
            <v>TALCA</v>
          </cell>
          <cell r="R137" t="str">
            <v>INSTITUTO DE MATEMÁTICAS</v>
          </cell>
          <cell r="S137" t="str">
            <v>INSTITUTO DE MATEMÁTICAS</v>
          </cell>
        </row>
        <row r="138">
          <cell r="A138">
            <v>9393473</v>
          </cell>
          <cell r="B138" t="str">
            <v>9393473</v>
          </cell>
          <cell r="C138" t="str">
            <v>3</v>
          </cell>
          <cell r="D138" t="str">
            <v>MALDONADO ROJAS MARITZA ISABEL</v>
          </cell>
          <cell r="E138" t="str">
            <v>FOD310001</v>
          </cell>
          <cell r="F138">
            <v>44</v>
          </cell>
          <cell r="G138">
            <v>30</v>
          </cell>
          <cell r="H138" t="str">
            <v>MMALDONA@UTALCA.CL</v>
          </cell>
          <cell r="I138">
            <v>31691</v>
          </cell>
          <cell r="J138">
            <v>2958465</v>
          </cell>
          <cell r="K138" t="str">
            <v>PLANTA</v>
          </cell>
          <cell r="L138" t="str">
            <v>ADMINISTRATIVO</v>
          </cell>
          <cell r="M138" t="str">
            <v>TÉCNICO</v>
          </cell>
          <cell r="N138" t="str">
            <v>GRADO I.15</v>
          </cell>
          <cell r="O138" t="str">
            <v>TÉC. NIVEL SUPERIOR</v>
          </cell>
          <cell r="P138" t="str">
            <v>TECNICO EN ADMINISTRACION</v>
          </cell>
          <cell r="Q138" t="str">
            <v>TALCA</v>
          </cell>
          <cell r="R138" t="str">
            <v>FACULTAD DE ODONTOLOGÍA</v>
          </cell>
          <cell r="S138" t="str">
            <v>ESCUELA DE ODONTOLOGÍA</v>
          </cell>
        </row>
        <row r="139">
          <cell r="A139">
            <v>9393713</v>
          </cell>
          <cell r="B139" t="str">
            <v>9393713</v>
          </cell>
          <cell r="C139" t="str">
            <v>9</v>
          </cell>
          <cell r="D139" t="str">
            <v>VILLAGRA SEPULVEDA MARIA CECIL</v>
          </cell>
          <cell r="E139" t="str">
            <v>ADC030140</v>
          </cell>
          <cell r="F139">
            <v>44</v>
          </cell>
          <cell r="G139">
            <v>30</v>
          </cell>
          <cell r="H139" t="str">
            <v>CVILLAGR@UTALCA.CL</v>
          </cell>
          <cell r="I139">
            <v>30376</v>
          </cell>
          <cell r="J139">
            <v>2958465</v>
          </cell>
          <cell r="K139" t="str">
            <v>PLANTA</v>
          </cell>
          <cell r="L139" t="str">
            <v>ADMINISTRATIVO</v>
          </cell>
          <cell r="M139" t="str">
            <v>ADMINISTRATIVO</v>
          </cell>
          <cell r="N139" t="str">
            <v>GRADO I.13</v>
          </cell>
          <cell r="O139" t="str">
            <v>TÉC. NIVEL MEDIO</v>
          </cell>
          <cell r="P139" t="str">
            <v>SECRETARIADO ADMINISTRATIVO</v>
          </cell>
          <cell r="Q139" t="str">
            <v>SANTIAGO</v>
          </cell>
          <cell r="R139" t="str">
            <v>DIRECCIÓN DE SEDE SANTIAGO</v>
          </cell>
          <cell r="S139" t="str">
            <v>DIRECCIÓN DE SEDE SANTIAGO</v>
          </cell>
        </row>
        <row r="140">
          <cell r="A140">
            <v>9397301</v>
          </cell>
          <cell r="B140" t="str">
            <v>9397301</v>
          </cell>
          <cell r="C140" t="str">
            <v>1</v>
          </cell>
          <cell r="D140" t="str">
            <v>SEPULVEDA SILVA MARISOL DEL CO</v>
          </cell>
          <cell r="E140" t="str">
            <v>FCI320006</v>
          </cell>
          <cell r="F140">
            <v>35</v>
          </cell>
          <cell r="G140">
            <v>30</v>
          </cell>
          <cell r="H140" t="str">
            <v>MARISEPULVEDA@UTALCA.CL</v>
          </cell>
          <cell r="I140">
            <v>44927</v>
          </cell>
          <cell r="J140">
            <v>46387</v>
          </cell>
          <cell r="K140" t="str">
            <v>CONTRATA</v>
          </cell>
          <cell r="L140" t="str">
            <v>TÉCNICO</v>
          </cell>
          <cell r="M140" t="str">
            <v>TÉCNICO</v>
          </cell>
          <cell r="N140" t="str">
            <v>GRADO I.23</v>
          </cell>
          <cell r="O140" t="str">
            <v>TÍTULO PROFESIONAL</v>
          </cell>
          <cell r="P140" t="str">
            <v>COMUNICADOR AUDIOVISUAL</v>
          </cell>
          <cell r="Q140" t="str">
            <v>TALCA</v>
          </cell>
          <cell r="R140" t="str">
            <v>FACULTAD DE INGENIERÍA</v>
          </cell>
          <cell r="S140" t="str">
            <v>CNTR. BIOINFORMÁTICA SIMULA. Y MODELADO</v>
          </cell>
        </row>
        <row r="141">
          <cell r="A141">
            <v>9412835</v>
          </cell>
          <cell r="B141" t="str">
            <v>9412835</v>
          </cell>
          <cell r="C141" t="str">
            <v>8</v>
          </cell>
          <cell r="D141" t="str">
            <v>HERRERA SAZO CARLOS RODOLFO</v>
          </cell>
          <cell r="E141" t="str">
            <v>FCJ200001</v>
          </cell>
          <cell r="F141">
            <v>44</v>
          </cell>
          <cell r="G141">
            <v>30</v>
          </cell>
          <cell r="H141" t="str">
            <v>CHERRERA@UTALCA.CL</v>
          </cell>
          <cell r="I141">
            <v>29738</v>
          </cell>
          <cell r="J141">
            <v>2958465</v>
          </cell>
          <cell r="K141" t="str">
            <v>PLANTA</v>
          </cell>
          <cell r="L141" t="str">
            <v>AUXILIAR</v>
          </cell>
          <cell r="M141" t="str">
            <v>ADMINISTRATIVO</v>
          </cell>
          <cell r="N141" t="str">
            <v>GRADO I.16</v>
          </cell>
          <cell r="O141" t="str">
            <v>ESCOLARIDAD CIENT HU</v>
          </cell>
          <cell r="P141" t="str">
            <v>TECNICO, LICENCIA DE ENSEÑANZA MEDIA</v>
          </cell>
          <cell r="Q141" t="str">
            <v>TALCA</v>
          </cell>
          <cell r="R141" t="str">
            <v>FACULTAD CIENCIAS JURÍDICAS Y SOCIALES</v>
          </cell>
          <cell r="S141" t="str">
            <v>FACULTAD CIENCIAS JURÍDICAS Y SOCIALES</v>
          </cell>
        </row>
        <row r="142">
          <cell r="A142">
            <v>9426015</v>
          </cell>
          <cell r="B142" t="str">
            <v>9426015</v>
          </cell>
          <cell r="C142" t="str">
            <v>9</v>
          </cell>
          <cell r="D142" t="str">
            <v>GONZALEZ LARA MARGARITA DE LAS</v>
          </cell>
          <cell r="E142" t="str">
            <v>FEN200001</v>
          </cell>
          <cell r="F142">
            <v>44</v>
          </cell>
          <cell r="G142">
            <v>30</v>
          </cell>
          <cell r="H142" t="str">
            <v>MGONZALE@UTALCA.CL</v>
          </cell>
          <cell r="I142">
            <v>30697</v>
          </cell>
          <cell r="J142">
            <v>2958465</v>
          </cell>
          <cell r="K142" t="str">
            <v>PLANTA</v>
          </cell>
          <cell r="L142" t="str">
            <v>ADMINISTRATIVO</v>
          </cell>
          <cell r="M142" t="str">
            <v>ADMINISTRATIVO</v>
          </cell>
          <cell r="N142" t="str">
            <v>GRADO I.16</v>
          </cell>
          <cell r="O142" t="str">
            <v>TÉC. NIVEL MEDIO</v>
          </cell>
          <cell r="P142" t="str">
            <v>SECRETARIA EJECUTIVA MENCION INGLES.</v>
          </cell>
          <cell r="Q142" t="str">
            <v>TALCA</v>
          </cell>
          <cell r="R142" t="str">
            <v>FACULTAD DE ECONOMÍA Y NEGOCIOS</v>
          </cell>
          <cell r="S142" t="str">
            <v>CENTRO DE DESARROLLO EMPRESARIAL</v>
          </cell>
        </row>
        <row r="143">
          <cell r="A143">
            <v>9436074</v>
          </cell>
          <cell r="B143" t="str">
            <v>9436074</v>
          </cell>
          <cell r="C143" t="str">
            <v>9</v>
          </cell>
          <cell r="D143" t="str">
            <v>ARREDONDO DURAN SILVIA CATALIN</v>
          </cell>
          <cell r="E143" t="str">
            <v>FAM200001</v>
          </cell>
          <cell r="F143">
            <v>22</v>
          </cell>
          <cell r="G143">
            <v>30</v>
          </cell>
          <cell r="H143" t="str">
            <v>SARREDONDO@UTALCA.CL</v>
          </cell>
          <cell r="I143">
            <v>44927</v>
          </cell>
          <cell r="J143">
            <v>46387</v>
          </cell>
          <cell r="K143" t="str">
            <v>CONTRATA</v>
          </cell>
          <cell r="L143" t="str">
            <v>C ESPECIALES</v>
          </cell>
          <cell r="M143" t="str">
            <v>TUTOR(A) PRÁCTICA</v>
          </cell>
          <cell r="N143" t="str">
            <v>SIN GRADO</v>
          </cell>
          <cell r="O143" t="str">
            <v>ESPECIAL. MÉDICA</v>
          </cell>
          <cell r="P143" t="str">
            <v>ESPECIALIDAD EN INMUNOLOGIA</v>
          </cell>
          <cell r="Q143" t="str">
            <v>TALCA</v>
          </cell>
          <cell r="R143" t="str">
            <v>FACULTAD DE MEDICINA</v>
          </cell>
          <cell r="S143" t="str">
            <v>FACULTAD DE MEDICINA</v>
          </cell>
        </row>
        <row r="144">
          <cell r="A144">
            <v>9452078</v>
          </cell>
          <cell r="B144" t="str">
            <v>9452078</v>
          </cell>
          <cell r="C144" t="str">
            <v>9</v>
          </cell>
          <cell r="D144" t="str">
            <v>TAPIA LLANOS LIA EVA MONSERRAT</v>
          </cell>
          <cell r="E144" t="str">
            <v>IQR300001</v>
          </cell>
          <cell r="F144">
            <v>44</v>
          </cell>
          <cell r="G144">
            <v>30</v>
          </cell>
          <cell r="H144" t="str">
            <v>LITAPIA@UTALCA.CL</v>
          </cell>
          <cell r="I144">
            <v>39569</v>
          </cell>
          <cell r="J144">
            <v>2958465</v>
          </cell>
          <cell r="K144" t="str">
            <v>PLANTA</v>
          </cell>
          <cell r="L144" t="str">
            <v>ADMINISTRATIVO</v>
          </cell>
          <cell r="M144" t="str">
            <v>ADMINISTRATIVO</v>
          </cell>
          <cell r="N144" t="str">
            <v>GRADO I.15</v>
          </cell>
          <cell r="O144" t="str">
            <v>TÉC. NIVEL SUPERIOR</v>
          </cell>
          <cell r="P144" t="str">
            <v>SECRETARIA EJECUTIVA</v>
          </cell>
          <cell r="Q144" t="str">
            <v>TALCA</v>
          </cell>
          <cell r="R144" t="str">
            <v>INSTITUTO QUÍMICA DE RECURSOS NATURALES</v>
          </cell>
          <cell r="S144" t="str">
            <v>INSTITUTO QUÍMICA DE RECURSOS NATURALES</v>
          </cell>
        </row>
        <row r="145">
          <cell r="A145">
            <v>9452855</v>
          </cell>
          <cell r="B145" t="str">
            <v>9452855</v>
          </cell>
          <cell r="C145" t="str">
            <v>0</v>
          </cell>
          <cell r="D145" t="str">
            <v>VOGEL GONZALEZ EDGAR HARRY</v>
          </cell>
          <cell r="E145" t="str">
            <v>FPS200001</v>
          </cell>
          <cell r="F145">
            <v>44</v>
          </cell>
          <cell r="G145">
            <v>30</v>
          </cell>
          <cell r="H145" t="str">
            <v>EVOGEL@UTALCA.CL</v>
          </cell>
          <cell r="I145">
            <v>38412</v>
          </cell>
          <cell r="J145">
            <v>2958465</v>
          </cell>
          <cell r="K145" t="str">
            <v>PLANTA</v>
          </cell>
          <cell r="L145" t="str">
            <v>CA ORDINARIA</v>
          </cell>
          <cell r="M145" t="str">
            <v>PROFESOR TITULAR</v>
          </cell>
          <cell r="N145" t="str">
            <v>GRADO A</v>
          </cell>
          <cell r="O145" t="str">
            <v>DOCTORADO</v>
          </cell>
          <cell r="P145" t="str">
            <v>DOCTOR OF PHILOSOPHY</v>
          </cell>
          <cell r="Q145" t="str">
            <v>TALCA</v>
          </cell>
          <cell r="R145" t="str">
            <v>FACULTAD DE PSICOLOGÍA</v>
          </cell>
          <cell r="S145" t="str">
            <v>FACULTAD DE PSICOLOGÍA</v>
          </cell>
        </row>
        <row r="146">
          <cell r="A146">
            <v>9460978</v>
          </cell>
          <cell r="B146" t="str">
            <v>9460978</v>
          </cell>
          <cell r="C146" t="str">
            <v>K</v>
          </cell>
          <cell r="D146" t="str">
            <v>ARENAS PEÑALOZA JAIME ALEJANDR</v>
          </cell>
          <cell r="E146" t="str">
            <v>FOD350001</v>
          </cell>
          <cell r="F146">
            <v>9</v>
          </cell>
          <cell r="G146">
            <v>30</v>
          </cell>
          <cell r="H146" t="str">
            <v>JARENAS@UTALCA.CL</v>
          </cell>
          <cell r="I146">
            <v>36251</v>
          </cell>
          <cell r="J146">
            <v>46387</v>
          </cell>
          <cell r="K146" t="str">
            <v>CONTRATA</v>
          </cell>
          <cell r="L146" t="str">
            <v>TÉCNICO</v>
          </cell>
          <cell r="M146" t="str">
            <v>TÉCNICO</v>
          </cell>
          <cell r="N146" t="str">
            <v>GRADO I.21</v>
          </cell>
          <cell r="O146" t="str">
            <v>TÉC. NIVEL SUPERIOR</v>
          </cell>
          <cell r="P146" t="str">
            <v>LABORATORISTA DENTAL</v>
          </cell>
          <cell r="Q146" t="str">
            <v>TALCA</v>
          </cell>
          <cell r="R146" t="str">
            <v>FACULTAD DE ODONTOLOGÍA</v>
          </cell>
          <cell r="S146" t="str">
            <v>CLÍNICAS ODONTOLÓGICAS</v>
          </cell>
        </row>
        <row r="147">
          <cell r="A147">
            <v>9467630</v>
          </cell>
          <cell r="B147" t="str">
            <v>9467630</v>
          </cell>
          <cell r="C147" t="str">
            <v>4</v>
          </cell>
          <cell r="D147" t="str">
            <v>GONZALEZ GARRIDO ERIKA CECILIA</v>
          </cell>
          <cell r="E147" t="str">
            <v>FCS310006</v>
          </cell>
          <cell r="F147">
            <v>44</v>
          </cell>
          <cell r="G147">
            <v>30</v>
          </cell>
          <cell r="H147" t="str">
            <v>ERGONZALEZ@UTALCA.CL</v>
          </cell>
          <cell r="I147">
            <v>42522</v>
          </cell>
          <cell r="J147">
            <v>2958465</v>
          </cell>
          <cell r="K147" t="str">
            <v>PLANTA</v>
          </cell>
          <cell r="L147" t="str">
            <v>ADMINISTRATIVO</v>
          </cell>
          <cell r="M147" t="str">
            <v>ADMINISTRATIVO</v>
          </cell>
          <cell r="N147" t="str">
            <v>GRADO I.20</v>
          </cell>
          <cell r="O147" t="str">
            <v>TÉC. NIVEL SUPERIOR</v>
          </cell>
          <cell r="P147" t="str">
            <v>SECRETARIA ADMINISTRATIVA</v>
          </cell>
          <cell r="Q147" t="str">
            <v>TALCA</v>
          </cell>
          <cell r="R147" t="str">
            <v>FACULTAD DE CIENCIAS DE LA SALUD</v>
          </cell>
          <cell r="S147" t="str">
            <v>ESCUELA DE NUTRICIÓN Y DIETÉTICA</v>
          </cell>
        </row>
        <row r="148">
          <cell r="A148">
            <v>9475074</v>
          </cell>
          <cell r="B148" t="str">
            <v>9475074</v>
          </cell>
          <cell r="C148" t="str">
            <v>1</v>
          </cell>
          <cell r="D148" t="str">
            <v>ARAVENA AGUILERA ORLANDO MAURI</v>
          </cell>
          <cell r="E148" t="str">
            <v>ADC017001</v>
          </cell>
          <cell r="F148">
            <v>44</v>
          </cell>
          <cell r="G148">
            <v>30</v>
          </cell>
          <cell r="H148" t="str">
            <v>ORLANDO.ARAVENA@UTALCA.CL</v>
          </cell>
          <cell r="I148">
            <v>43385</v>
          </cell>
          <cell r="J148">
            <v>2958465</v>
          </cell>
          <cell r="K148" t="str">
            <v>PLANTA</v>
          </cell>
          <cell r="L148" t="str">
            <v>DIR EXCLU. CONFIANZA</v>
          </cell>
          <cell r="M148" t="str">
            <v>DIR EXCLU. CONFIANZA</v>
          </cell>
          <cell r="N148" t="str">
            <v>GRADO I.3</v>
          </cell>
          <cell r="O148" t="str">
            <v>TÍTULO PROFESIONAL</v>
          </cell>
          <cell r="P148" t="str">
            <v>ABOGADO</v>
          </cell>
          <cell r="Q148" t="str">
            <v>TALCA</v>
          </cell>
          <cell r="R148" t="str">
            <v>FISCALÍA UNIVERSITARIA</v>
          </cell>
          <cell r="S148" t="str">
            <v>FISCALÍA UNIVERSITARIA</v>
          </cell>
        </row>
        <row r="149">
          <cell r="A149">
            <v>9517837</v>
          </cell>
          <cell r="B149" t="str">
            <v>9517837</v>
          </cell>
          <cell r="C149" t="str">
            <v>5</v>
          </cell>
          <cell r="D149" t="str">
            <v>SANTANDER RAMIREZ VALENTIN ADO</v>
          </cell>
          <cell r="E149" t="str">
            <v>FEN310004</v>
          </cell>
          <cell r="F149">
            <v>44</v>
          </cell>
          <cell r="G149">
            <v>30</v>
          </cell>
          <cell r="H149" t="str">
            <v>VALENTIN.SANTANDER@UTALCA.CL</v>
          </cell>
          <cell r="I149">
            <v>43318</v>
          </cell>
          <cell r="J149">
            <v>46446</v>
          </cell>
          <cell r="K149" t="str">
            <v>CONTRATA</v>
          </cell>
          <cell r="L149" t="str">
            <v>CA DOCENTE</v>
          </cell>
          <cell r="M149" t="str">
            <v>PROFESOR ASISTENTE</v>
          </cell>
          <cell r="N149" t="str">
            <v>GRADO C</v>
          </cell>
          <cell r="O149" t="str">
            <v>DOCTORADO</v>
          </cell>
          <cell r="P149" t="str">
            <v>DOCTOR EN CIENCIAS HUMANAS Y SOCIALES</v>
          </cell>
          <cell r="Q149" t="str">
            <v>TALCA</v>
          </cell>
          <cell r="R149" t="str">
            <v>FACULTAD DE ECONOMÍA Y NEGOCIOS</v>
          </cell>
          <cell r="S149" t="str">
            <v>ESC. AUDITORIA Y CONTROL DE GESTIÓN TLCA</v>
          </cell>
        </row>
        <row r="150">
          <cell r="A150">
            <v>9530232</v>
          </cell>
          <cell r="B150" t="str">
            <v>9530232</v>
          </cell>
          <cell r="C150" t="str">
            <v>7</v>
          </cell>
          <cell r="D150" t="str">
            <v>GALINDO ZAPATA PABLO HERNAN</v>
          </cell>
          <cell r="E150" t="str">
            <v>FOD200001</v>
          </cell>
          <cell r="F150">
            <v>14</v>
          </cell>
          <cell r="G150">
            <v>30</v>
          </cell>
          <cell r="H150" t="str">
            <v>PGALINDO@UTALCA.CL</v>
          </cell>
          <cell r="I150">
            <v>38777</v>
          </cell>
          <cell r="J150">
            <v>46387</v>
          </cell>
          <cell r="K150" t="str">
            <v>CONTRATA</v>
          </cell>
          <cell r="L150" t="str">
            <v>C ESPECIALES</v>
          </cell>
          <cell r="M150" t="str">
            <v>TUTOR(A) PRÁCTICA</v>
          </cell>
          <cell r="N150" t="str">
            <v>SIN GRADO</v>
          </cell>
          <cell r="O150" t="str">
            <v>ESPECIAL. ODONTOLÓG.</v>
          </cell>
          <cell r="P150" t="str">
            <v>ESPECIALIDAD EN REHABILITACION ORAL</v>
          </cell>
          <cell r="Q150" t="str">
            <v>TALCA</v>
          </cell>
          <cell r="R150" t="str">
            <v>FACULTAD DE ODONTOLOGÍA</v>
          </cell>
          <cell r="S150" t="str">
            <v>FACULTAD DE ODONTOLOGÍA</v>
          </cell>
        </row>
        <row r="151">
          <cell r="A151">
            <v>9537477</v>
          </cell>
          <cell r="B151" t="str">
            <v>9537477</v>
          </cell>
          <cell r="C151" t="str">
            <v>8</v>
          </cell>
          <cell r="D151" t="str">
            <v>GLEISER AVENDAÑO KENNETH MIGUE</v>
          </cell>
          <cell r="E151" t="str">
            <v>FAD310001</v>
          </cell>
          <cell r="F151">
            <v>44</v>
          </cell>
          <cell r="G151">
            <v>30</v>
          </cell>
          <cell r="H151" t="str">
            <v>KGLEISER@UTALCA.CL</v>
          </cell>
          <cell r="I151">
            <v>39083</v>
          </cell>
          <cell r="J151">
            <v>46446</v>
          </cell>
          <cell r="K151" t="str">
            <v>CONTRATA</v>
          </cell>
          <cell r="L151" t="str">
            <v>CA DOCENTE</v>
          </cell>
          <cell r="M151" t="str">
            <v>INSTRUCTOR</v>
          </cell>
          <cell r="N151" t="str">
            <v>GRADO D</v>
          </cell>
          <cell r="O151" t="str">
            <v>TÍTULO PROFESIONAL</v>
          </cell>
          <cell r="P151" t="str">
            <v>ARQUITECTO</v>
          </cell>
          <cell r="Q151" t="str">
            <v>TALCA</v>
          </cell>
          <cell r="R151" t="str">
            <v>FACULTAD DE ARQUITECTUR, MÚSICA Y DISEÑO</v>
          </cell>
          <cell r="S151" t="str">
            <v>ESCUELA DE ARQUITECTURA</v>
          </cell>
        </row>
        <row r="152">
          <cell r="A152">
            <v>9545383</v>
          </cell>
          <cell r="B152" t="str">
            <v>9545383</v>
          </cell>
          <cell r="C152" t="str">
            <v>K</v>
          </cell>
          <cell r="D152" t="str">
            <v>CHAVEZ REBOLLEDO CARLOS ALBERT</v>
          </cell>
          <cell r="E152" t="str">
            <v>FEN310001</v>
          </cell>
          <cell r="F152">
            <v>44</v>
          </cell>
          <cell r="G152">
            <v>30</v>
          </cell>
          <cell r="H152" t="str">
            <v>CCHAVEZ@UTALCA.CL</v>
          </cell>
          <cell r="I152">
            <v>42522</v>
          </cell>
          <cell r="J152">
            <v>2958465</v>
          </cell>
          <cell r="K152" t="str">
            <v>PLANTA</v>
          </cell>
          <cell r="L152" t="str">
            <v>CA ORDINARIA</v>
          </cell>
          <cell r="M152" t="str">
            <v>PROFESOR TITULAR</v>
          </cell>
          <cell r="N152" t="str">
            <v>GRADO A</v>
          </cell>
          <cell r="O152" t="str">
            <v>DOCTORADO</v>
          </cell>
          <cell r="P152" t="str">
            <v>DOCTOR OF PHILOSOPHY</v>
          </cell>
          <cell r="Q152" t="str">
            <v>TALCA</v>
          </cell>
          <cell r="R152" t="str">
            <v>FACULTAD DE ECONOMÍA Y NEGOCIOS</v>
          </cell>
          <cell r="S152" t="str">
            <v>ESCUELA DE INGENIERÍA COMERCIAL DE TALCA</v>
          </cell>
        </row>
        <row r="153">
          <cell r="A153">
            <v>9615393</v>
          </cell>
          <cell r="B153" t="str">
            <v>9615393</v>
          </cell>
          <cell r="C153" t="str">
            <v>7</v>
          </cell>
          <cell r="D153" t="str">
            <v>GUTIERREZ CARRASCO JIMENA DEL</v>
          </cell>
          <cell r="E153" t="str">
            <v>FAM320002</v>
          </cell>
          <cell r="F153">
            <v>11</v>
          </cell>
          <cell r="G153">
            <v>30</v>
          </cell>
          <cell r="H153" t="str">
            <v>JIGUTIERREZ@UTALCA.CL</v>
          </cell>
          <cell r="I153">
            <v>41852</v>
          </cell>
          <cell r="J153">
            <v>46446</v>
          </cell>
          <cell r="K153" t="str">
            <v>CONTRATA</v>
          </cell>
          <cell r="L153" t="str">
            <v>CA DE LA PROFESIÓN</v>
          </cell>
          <cell r="M153" t="str">
            <v>INSTRUCTOR</v>
          </cell>
          <cell r="N153" t="str">
            <v>GRADO D</v>
          </cell>
          <cell r="O153" t="str">
            <v>ESPECIAL. MÉDICA</v>
          </cell>
          <cell r="P153" t="str">
            <v>ESPECIALIDAD EN MEDICINA INTERNA</v>
          </cell>
          <cell r="Q153" t="str">
            <v>TALCA</v>
          </cell>
          <cell r="R153" t="str">
            <v>FACULTAD DE MEDICINA</v>
          </cell>
          <cell r="S153" t="str">
            <v>DEPARTAMENTO DE MEDICINA CLÍNICA</v>
          </cell>
        </row>
        <row r="154">
          <cell r="A154">
            <v>9655934</v>
          </cell>
          <cell r="B154" t="str">
            <v>9655934</v>
          </cell>
          <cell r="C154" t="str">
            <v>8</v>
          </cell>
          <cell r="D154" t="str">
            <v>VASQUEZ ROJAS MARCELA PAULINA</v>
          </cell>
          <cell r="E154" t="str">
            <v>FCS320001</v>
          </cell>
          <cell r="F154">
            <v>44</v>
          </cell>
          <cell r="G154">
            <v>30</v>
          </cell>
          <cell r="H154" t="str">
            <v>MVASQURO@UTALCA.CL</v>
          </cell>
          <cell r="I154">
            <v>32143</v>
          </cell>
          <cell r="J154">
            <v>2958465</v>
          </cell>
          <cell r="K154" t="str">
            <v>PLANTA</v>
          </cell>
          <cell r="L154" t="str">
            <v>CA DOCENTE</v>
          </cell>
          <cell r="M154" t="str">
            <v>PROFESOR ASOCIADO</v>
          </cell>
          <cell r="N154" t="str">
            <v>GRADO B</v>
          </cell>
          <cell r="O154" t="str">
            <v>MAGISTER</v>
          </cell>
          <cell r="P154" t="str">
            <v>MAGISTER EN CIENCIAS MENCION PROTECCION VEGET</v>
          </cell>
          <cell r="Q154" t="str">
            <v>TALCA</v>
          </cell>
          <cell r="R154" t="str">
            <v>FACULTAD DE CIENCIAS DE LA SALUD</v>
          </cell>
          <cell r="S154" t="str">
            <v>DPTO. BIOQUÍM. CLÍN. E INMUNOHEMATOLOGÍA</v>
          </cell>
        </row>
        <row r="155">
          <cell r="A155">
            <v>9656268</v>
          </cell>
          <cell r="B155" t="str">
            <v>9656268</v>
          </cell>
          <cell r="C155" t="str">
            <v>3</v>
          </cell>
          <cell r="D155" t="str">
            <v>MUÑOZ GONZALEZ GERMAN ENRIQUE</v>
          </cell>
          <cell r="E155" t="str">
            <v>VRF400023</v>
          </cell>
          <cell r="F155">
            <v>44</v>
          </cell>
          <cell r="G155">
            <v>30</v>
          </cell>
          <cell r="H155" t="str">
            <v>GMUNOZ@UTALCA.CL</v>
          </cell>
          <cell r="I155">
            <v>31898</v>
          </cell>
          <cell r="J155">
            <v>2958465</v>
          </cell>
          <cell r="K155" t="str">
            <v>PLANTA</v>
          </cell>
          <cell r="L155" t="str">
            <v>ADMINISTRATIVO</v>
          </cell>
          <cell r="M155" t="str">
            <v>TÉCNICO</v>
          </cell>
          <cell r="N155" t="str">
            <v>GRADO I.17</v>
          </cell>
          <cell r="O155" t="str">
            <v>TÍTULO PROFESIONAL</v>
          </cell>
          <cell r="P155" t="str">
            <v>ADMINISTRADOR CON MENCIÓN EN GESTIÓN PÚBLICA</v>
          </cell>
          <cell r="Q155" t="str">
            <v>TALCA</v>
          </cell>
          <cell r="R155" t="str">
            <v>VICERRECTORÍA DE FORMACIÓN</v>
          </cell>
          <cell r="S155" t="str">
            <v>ORGANISMO TÉCNICO DE CAPACITACIÓN (OTEC)</v>
          </cell>
        </row>
        <row r="156">
          <cell r="A156">
            <v>9667982</v>
          </cell>
          <cell r="B156" t="str">
            <v>9667982</v>
          </cell>
          <cell r="C156" t="str">
            <v>3</v>
          </cell>
          <cell r="D156" t="str">
            <v>IBARRA MUÑOZ GENOVEVA</v>
          </cell>
          <cell r="E156" t="str">
            <v>FCJ310003</v>
          </cell>
          <cell r="F156">
            <v>44</v>
          </cell>
          <cell r="G156">
            <v>30</v>
          </cell>
          <cell r="H156" t="str">
            <v>GEIBARRA@UTALCA.CL</v>
          </cell>
          <cell r="I156">
            <v>43101</v>
          </cell>
          <cell r="J156">
            <v>46387</v>
          </cell>
          <cell r="K156" t="str">
            <v>CONTRATA</v>
          </cell>
          <cell r="L156" t="str">
            <v>ADMINISTRATIVO</v>
          </cell>
          <cell r="M156" t="str">
            <v>ADMINISTRATIVO</v>
          </cell>
          <cell r="N156" t="str">
            <v>GRADO I.21</v>
          </cell>
          <cell r="O156" t="str">
            <v>TÉC. NIVEL SUPERIOR</v>
          </cell>
          <cell r="P156" t="str">
            <v>TECNICO DE NIVEL SUPERIOR EN ADMINISTRACION D</v>
          </cell>
          <cell r="Q156" t="str">
            <v>SANTIAGO</v>
          </cell>
          <cell r="R156" t="str">
            <v>FACULTAD CIENCIAS JURÍDICAS Y SOCIALES</v>
          </cell>
          <cell r="S156" t="str">
            <v>ESC. CNCIA. POLÍTICA Y ADMÓN. PÚBLICA SA</v>
          </cell>
        </row>
        <row r="157">
          <cell r="A157">
            <v>9674389</v>
          </cell>
          <cell r="B157" t="str">
            <v>9674389</v>
          </cell>
          <cell r="C157" t="str">
            <v>0</v>
          </cell>
          <cell r="D157" t="str">
            <v>PINTO ARAYA MARIA ELENA</v>
          </cell>
          <cell r="E157" t="str">
            <v>IMF300001</v>
          </cell>
          <cell r="F157">
            <v>44</v>
          </cell>
          <cell r="G157">
            <v>30</v>
          </cell>
          <cell r="H157" t="str">
            <v>MEPINTO@UTALCA.CL</v>
          </cell>
          <cell r="I157">
            <v>35490</v>
          </cell>
          <cell r="J157">
            <v>46446</v>
          </cell>
          <cell r="K157" t="str">
            <v>CONTRATA</v>
          </cell>
          <cell r="L157" t="str">
            <v>CA DOCENTE</v>
          </cell>
          <cell r="M157" t="str">
            <v>PROFESOR ASISTENTE</v>
          </cell>
          <cell r="N157" t="str">
            <v>GRADO C</v>
          </cell>
          <cell r="O157" t="str">
            <v>DOCTORADO</v>
          </cell>
          <cell r="P157" t="str">
            <v>DOCTOR EN MATEMATICAS</v>
          </cell>
          <cell r="Q157" t="str">
            <v>TALCA</v>
          </cell>
          <cell r="R157" t="str">
            <v>INSTITUTO DE MATEMÁTICAS</v>
          </cell>
          <cell r="S157" t="str">
            <v>INSTITUTO DE MATEMÁTICAS</v>
          </cell>
        </row>
        <row r="158">
          <cell r="A158">
            <v>9687967</v>
          </cell>
          <cell r="B158" t="str">
            <v>09687967</v>
          </cell>
          <cell r="C158" t="str">
            <v>9</v>
          </cell>
          <cell r="D158" t="str">
            <v>GARRIDO CASANOVA LEANDRO BEDRE</v>
          </cell>
          <cell r="E158" t="str">
            <v>VGE400055</v>
          </cell>
          <cell r="F158">
            <v>44</v>
          </cell>
          <cell r="G158">
            <v>30</v>
          </cell>
          <cell r="H158" t="str">
            <v>LGARRIDO@UTALCA.CL</v>
          </cell>
          <cell r="I158">
            <v>34526</v>
          </cell>
          <cell r="J158">
            <v>2958465</v>
          </cell>
          <cell r="K158" t="str">
            <v>PLANTA</v>
          </cell>
          <cell r="L158" t="str">
            <v>PROFESIONAL</v>
          </cell>
          <cell r="M158" t="str">
            <v>PROFESIONAL</v>
          </cell>
          <cell r="N158" t="str">
            <v>GRADO I.16</v>
          </cell>
          <cell r="O158" t="str">
            <v>TÍTULO PROFESIONAL</v>
          </cell>
          <cell r="P158" t="str">
            <v>INGENIERO EJECUCION EN COMPUTACION E INFORMAT</v>
          </cell>
          <cell r="Q158" t="str">
            <v>TALCA</v>
          </cell>
          <cell r="R158" t="str">
            <v>VIC. GESTIÓN ECONÓMICA Y ADMINISTRACIÓN</v>
          </cell>
          <cell r="S158" t="str">
            <v>DEPARTAMENTO DE PLATAFORMAS TI</v>
          </cell>
        </row>
        <row r="159">
          <cell r="A159">
            <v>9692682</v>
          </cell>
          <cell r="B159" t="str">
            <v>9692682</v>
          </cell>
          <cell r="C159" t="str">
            <v>0</v>
          </cell>
          <cell r="D159" t="str">
            <v>CANCINO SANDOVAL VIVIANA MARLE</v>
          </cell>
          <cell r="E159" t="str">
            <v>FPS200001</v>
          </cell>
          <cell r="F159">
            <v>44</v>
          </cell>
          <cell r="G159">
            <v>30</v>
          </cell>
          <cell r="H159" t="str">
            <v>VICANCINO@UTALCA.CL</v>
          </cell>
          <cell r="I159">
            <v>41275</v>
          </cell>
          <cell r="J159">
            <v>2958465</v>
          </cell>
          <cell r="K159" t="str">
            <v>PLANTA</v>
          </cell>
          <cell r="L159" t="str">
            <v>ADMINISTRATIVO</v>
          </cell>
          <cell r="M159" t="str">
            <v>ADMINISTRATIVO</v>
          </cell>
          <cell r="N159" t="str">
            <v>GRADO I.19</v>
          </cell>
          <cell r="O159" t="str">
            <v>ESCOLARIDAD CIENT HU</v>
          </cell>
          <cell r="P159" t="str">
            <v>SECRETARIA EJECUTIVA BILINGUE</v>
          </cell>
          <cell r="Q159" t="str">
            <v>TALCA</v>
          </cell>
          <cell r="R159" t="str">
            <v>FACULTAD DE PSICOLOGÍA</v>
          </cell>
          <cell r="S159" t="str">
            <v>FACULTAD DE PSICOLOGÍA</v>
          </cell>
        </row>
        <row r="160">
          <cell r="A160">
            <v>9709855</v>
          </cell>
          <cell r="B160" t="str">
            <v>9709855</v>
          </cell>
          <cell r="C160" t="str">
            <v>7</v>
          </cell>
          <cell r="D160" t="str">
            <v>VERGARA JACOME SANDRA ISABEL</v>
          </cell>
          <cell r="E160" t="str">
            <v>FCJ310002</v>
          </cell>
          <cell r="F160">
            <v>44</v>
          </cell>
          <cell r="G160">
            <v>30</v>
          </cell>
          <cell r="H160" t="str">
            <v>SVERGARA@UTALCA.CL</v>
          </cell>
          <cell r="I160">
            <v>43101</v>
          </cell>
          <cell r="J160">
            <v>46387</v>
          </cell>
          <cell r="K160" t="str">
            <v>CONTRATA</v>
          </cell>
          <cell r="L160" t="str">
            <v>ADMINISTRATIVO</v>
          </cell>
          <cell r="M160" t="str">
            <v>ADMINISTRATIVO</v>
          </cell>
          <cell r="N160" t="str">
            <v>GRADO I.21</v>
          </cell>
          <cell r="O160" t="str">
            <v>TÉC. NIVEL SUPERIOR</v>
          </cell>
          <cell r="P160" t="str">
            <v>SECRETARIA ADMINISTRATIVA</v>
          </cell>
          <cell r="Q160" t="str">
            <v>SANTIAGO</v>
          </cell>
          <cell r="R160" t="str">
            <v>FACULTAD CIENCIAS JURÍDICAS Y SOCIALES</v>
          </cell>
          <cell r="S160" t="str">
            <v>ESCUELA DE DERECHO DE SANTIAGO</v>
          </cell>
        </row>
        <row r="161">
          <cell r="A161">
            <v>9717164</v>
          </cell>
          <cell r="B161" t="str">
            <v>9717164</v>
          </cell>
          <cell r="C161" t="str">
            <v>5</v>
          </cell>
          <cell r="D161" t="str">
            <v>POLIDORI GARRIDO VICTOR ADRIAN</v>
          </cell>
          <cell r="E161" t="str">
            <v>FOD350001</v>
          </cell>
          <cell r="F161">
            <v>44</v>
          </cell>
          <cell r="G161">
            <v>30</v>
          </cell>
          <cell r="H161" t="str">
            <v>VPOLIDORI@UTALCA.CL</v>
          </cell>
          <cell r="I161">
            <v>38626</v>
          </cell>
          <cell r="J161">
            <v>46387</v>
          </cell>
          <cell r="K161" t="str">
            <v>CONTRATA</v>
          </cell>
          <cell r="L161" t="str">
            <v>DIR EXCLU. CONFIANZA</v>
          </cell>
          <cell r="M161" t="str">
            <v>PROFESIONAL</v>
          </cell>
          <cell r="N161" t="str">
            <v>GRADO I.17</v>
          </cell>
          <cell r="O161" t="str">
            <v>TÍTULO PROFESIONAL</v>
          </cell>
          <cell r="P161" t="str">
            <v>INGENIERO COMERCIAL MENCIÓN ADMINISTRACIÓN</v>
          </cell>
          <cell r="Q161" t="str">
            <v>TALCA</v>
          </cell>
          <cell r="R161" t="str">
            <v>FACULTAD DE ODONTOLOGÍA</v>
          </cell>
          <cell r="S161" t="str">
            <v>CLÍNICAS ODONTOLÓGICAS</v>
          </cell>
        </row>
        <row r="162">
          <cell r="A162">
            <v>9726631</v>
          </cell>
          <cell r="B162" t="str">
            <v>9726631</v>
          </cell>
          <cell r="C162" t="str">
            <v>K</v>
          </cell>
          <cell r="D162" t="str">
            <v>ROJAS CANALES PATRICIA MARIA F</v>
          </cell>
          <cell r="E162" t="str">
            <v>VAC400061</v>
          </cell>
          <cell r="F162">
            <v>44</v>
          </cell>
          <cell r="G162">
            <v>30</v>
          </cell>
          <cell r="H162" t="str">
            <v>PATROJAS@UTALCA.CL</v>
          </cell>
          <cell r="I162">
            <v>39814</v>
          </cell>
          <cell r="J162">
            <v>46387</v>
          </cell>
          <cell r="K162" t="str">
            <v>CONTRATA</v>
          </cell>
          <cell r="L162" t="str">
            <v>PROFESIONAL</v>
          </cell>
          <cell r="M162" t="str">
            <v>PROFESIONAL</v>
          </cell>
          <cell r="N162" t="str">
            <v>GRADO I.17</v>
          </cell>
          <cell r="O162" t="str">
            <v>TÍTULO PROFESIONAL</v>
          </cell>
          <cell r="P162" t="str">
            <v>PROFESOR DE ESTADO DE INGLES</v>
          </cell>
          <cell r="Q162" t="str">
            <v>TALCA</v>
          </cell>
          <cell r="R162" t="str">
            <v>VICERRECTORÍA ACADÉMICA</v>
          </cell>
          <cell r="S162" t="str">
            <v>UNIDAD DE MOVILIDAD</v>
          </cell>
        </row>
        <row r="163">
          <cell r="A163">
            <v>9757494</v>
          </cell>
          <cell r="B163" t="str">
            <v>9757494</v>
          </cell>
          <cell r="C163" t="str">
            <v>4</v>
          </cell>
          <cell r="D163" t="str">
            <v>CACERES ALVAREZ ROSA ISABEL</v>
          </cell>
          <cell r="E163" t="str">
            <v>VGE400054</v>
          </cell>
          <cell r="F163">
            <v>44</v>
          </cell>
          <cell r="G163">
            <v>30</v>
          </cell>
          <cell r="H163" t="str">
            <v>ROCACERES@UTALCA.CL</v>
          </cell>
          <cell r="I163">
            <v>35490</v>
          </cell>
          <cell r="J163">
            <v>46387</v>
          </cell>
          <cell r="K163" t="str">
            <v>CONTRATA</v>
          </cell>
          <cell r="L163" t="str">
            <v>ADMINISTRATIVO</v>
          </cell>
          <cell r="M163" t="str">
            <v>ADMINISTRATIVO</v>
          </cell>
          <cell r="N163" t="str">
            <v>GRADO I.21</v>
          </cell>
          <cell r="O163" t="str">
            <v>TÉC. NIVEL SUPERIOR</v>
          </cell>
          <cell r="P163" t="str">
            <v>SECRETARIA EJECUTIVA MENCIÓN EQUIPOS COMPUTAC</v>
          </cell>
          <cell r="Q163" t="str">
            <v>TALCA</v>
          </cell>
          <cell r="R163" t="str">
            <v>VIC. GESTIÓN ECONÓMICA Y ADMINISTRACIÓN</v>
          </cell>
          <cell r="S163" t="str">
            <v>DEPARTAMENTO DE SERVICIOS  Y PROCESOS TI</v>
          </cell>
        </row>
        <row r="164">
          <cell r="A164">
            <v>9761714</v>
          </cell>
          <cell r="B164" t="str">
            <v>9761714</v>
          </cell>
          <cell r="C164" t="str">
            <v>7</v>
          </cell>
          <cell r="D164" t="str">
            <v>MADARIAGA MUNOZ ALEJANDRO ENRI</v>
          </cell>
          <cell r="E164" t="str">
            <v>VGE400055</v>
          </cell>
          <cell r="F164">
            <v>44</v>
          </cell>
          <cell r="G164">
            <v>30</v>
          </cell>
          <cell r="H164" t="str">
            <v>AMADARIA@UTALCA.CL</v>
          </cell>
          <cell r="I164">
            <v>32874</v>
          </cell>
          <cell r="J164">
            <v>2958465</v>
          </cell>
          <cell r="K164" t="str">
            <v>PLANTA</v>
          </cell>
          <cell r="L164" t="str">
            <v>TÉCNICO</v>
          </cell>
          <cell r="M164" t="str">
            <v>TÉCNICO</v>
          </cell>
          <cell r="N164" t="str">
            <v>GRADO I.17</v>
          </cell>
          <cell r="O164" t="str">
            <v>TÍTULO PROFESIONAL</v>
          </cell>
          <cell r="P164" t="str">
            <v>INGENIERO EJECUCION EN INFORMATICA</v>
          </cell>
          <cell r="Q164" t="str">
            <v>TALCA</v>
          </cell>
          <cell r="R164" t="str">
            <v>VIC. GESTIÓN ECONÓMICA Y ADMINISTRACIÓN</v>
          </cell>
          <cell r="S164" t="str">
            <v>DEPARTAMENTO DE PLATAFORMAS TI</v>
          </cell>
        </row>
        <row r="165">
          <cell r="A165">
            <v>9803981</v>
          </cell>
          <cell r="B165" t="str">
            <v>9803981</v>
          </cell>
          <cell r="C165" t="str">
            <v>3</v>
          </cell>
          <cell r="D165" t="str">
            <v>ASTUDILLO OLIVARES MINERVA DEL</v>
          </cell>
          <cell r="E165" t="str">
            <v>FCS320012</v>
          </cell>
          <cell r="F165">
            <v>44</v>
          </cell>
          <cell r="G165">
            <v>30</v>
          </cell>
          <cell r="H165" t="str">
            <v>MASTUDILLO@UTALCA.CL</v>
          </cell>
          <cell r="I165">
            <v>41234</v>
          </cell>
          <cell r="J165">
            <v>46446</v>
          </cell>
          <cell r="K165" t="str">
            <v>CONTRATA</v>
          </cell>
          <cell r="L165" t="str">
            <v>CA DOCENTE</v>
          </cell>
          <cell r="M165" t="str">
            <v>PROFESOR ASISTENTE</v>
          </cell>
          <cell r="N165" t="str">
            <v>GRADO C</v>
          </cell>
          <cell r="O165" t="str">
            <v>MAGISTER</v>
          </cell>
          <cell r="P165" t="str">
            <v>MAGISTER EN SALUD PUBLICA</v>
          </cell>
          <cell r="Q165" t="str">
            <v>TALCA</v>
          </cell>
          <cell r="R165" t="str">
            <v>FACULTAD DE CIENCIAS DE LA SALUD</v>
          </cell>
          <cell r="S165" t="str">
            <v>DEPTO. CIENCIAS DEL CUIDADO EN ENFERM.</v>
          </cell>
        </row>
        <row r="166">
          <cell r="A166">
            <v>9832432</v>
          </cell>
          <cell r="B166" t="str">
            <v>9832432</v>
          </cell>
          <cell r="C166" t="str">
            <v>1</v>
          </cell>
          <cell r="D166" t="str">
            <v>PEREZ VALDES VIDAL ANTONIO</v>
          </cell>
          <cell r="E166" t="str">
            <v>FOD320003</v>
          </cell>
          <cell r="F166">
            <v>44</v>
          </cell>
          <cell r="G166">
            <v>30</v>
          </cell>
          <cell r="H166" t="str">
            <v>VPEREZ@UTALCA.CL</v>
          </cell>
          <cell r="I166">
            <v>38565</v>
          </cell>
          <cell r="J166">
            <v>2958465</v>
          </cell>
          <cell r="K166" t="str">
            <v>PLANTA</v>
          </cell>
          <cell r="L166" t="str">
            <v>CA ORDINARIA</v>
          </cell>
          <cell r="M166" t="str">
            <v>PROFESOR ASOCIADO</v>
          </cell>
          <cell r="N166" t="str">
            <v>GRADO B</v>
          </cell>
          <cell r="O166" t="str">
            <v>DOCTORADO</v>
          </cell>
          <cell r="P166" t="str">
            <v>DOCTOR OF PHILOSOPHY</v>
          </cell>
          <cell r="Q166" t="str">
            <v>TALCA</v>
          </cell>
          <cell r="R166" t="str">
            <v>FACULTAD DE ODONTOLOGÍA</v>
          </cell>
          <cell r="S166" t="str">
            <v>DEPARTAMENTO DE PEDIATRÍA ESTOMATOLÓGICA</v>
          </cell>
        </row>
        <row r="167">
          <cell r="A167">
            <v>9854838</v>
          </cell>
          <cell r="B167" t="str">
            <v>09854838</v>
          </cell>
          <cell r="C167" t="str">
            <v>6</v>
          </cell>
          <cell r="D167" t="str">
            <v>PRATER HOLGER CAROLINE SUE</v>
          </cell>
          <cell r="E167" t="str">
            <v>FCI200001</v>
          </cell>
          <cell r="F167">
            <v>44</v>
          </cell>
          <cell r="G167">
            <v>30</v>
          </cell>
          <cell r="H167" t="str">
            <v>CPRATER@UTALCA.CL</v>
          </cell>
          <cell r="I167">
            <v>43466</v>
          </cell>
          <cell r="J167">
            <v>46387</v>
          </cell>
          <cell r="K167" t="str">
            <v>CONTRATA</v>
          </cell>
          <cell r="L167" t="str">
            <v>ADMINISTRATIVO</v>
          </cell>
          <cell r="M167" t="str">
            <v>ADMINISTRATIVO</v>
          </cell>
          <cell r="N167" t="str">
            <v>GRADO I.21</v>
          </cell>
          <cell r="O167" t="str">
            <v>TÉC. NIVEL SUPERIOR</v>
          </cell>
          <cell r="P167" t="str">
            <v>DISEÑADOR Y MODELISTA DE VESTUARIO</v>
          </cell>
          <cell r="Q167" t="str">
            <v>CURICO</v>
          </cell>
          <cell r="R167" t="str">
            <v>FACULTAD DE INGENIERÍA</v>
          </cell>
          <cell r="S167" t="str">
            <v>FACULTAD DE INGENIERÍA</v>
          </cell>
        </row>
        <row r="168">
          <cell r="A168">
            <v>9883274</v>
          </cell>
          <cell r="B168" t="str">
            <v>9883274</v>
          </cell>
          <cell r="C168" t="str">
            <v>2</v>
          </cell>
          <cell r="D168" t="str">
            <v>MUÑOZ CORTES RODRIGO MAURICIO</v>
          </cell>
          <cell r="E168" t="str">
            <v>FOD200001</v>
          </cell>
          <cell r="F168">
            <v>11</v>
          </cell>
          <cell r="G168">
            <v>30</v>
          </cell>
          <cell r="H168" t="str">
            <v>RMUNOZC@UTALCA.CL</v>
          </cell>
          <cell r="I168">
            <v>39539</v>
          </cell>
          <cell r="J168">
            <v>46387</v>
          </cell>
          <cell r="K168" t="str">
            <v>CONTRATA</v>
          </cell>
          <cell r="L168" t="str">
            <v>C ESPECIALES</v>
          </cell>
          <cell r="M168" t="str">
            <v>TUTOR(A) PRÁCTICA</v>
          </cell>
          <cell r="N168" t="str">
            <v>SIN GRADO</v>
          </cell>
          <cell r="O168" t="str">
            <v>MAGISTER</v>
          </cell>
          <cell r="P168" t="str">
            <v>MAGISTER EN CIENCIAS MEDICAS MENCION CIRUGIA</v>
          </cell>
          <cell r="Q168" t="str">
            <v>TALCA</v>
          </cell>
          <cell r="R168" t="str">
            <v>FACULTAD DE ODONTOLOGÍA</v>
          </cell>
          <cell r="S168" t="str">
            <v>FACULTAD DE ODONTOLOGÍA</v>
          </cell>
        </row>
        <row r="169">
          <cell r="A169">
            <v>9894120</v>
          </cell>
          <cell r="B169" t="str">
            <v>9894120</v>
          </cell>
          <cell r="C169" t="str">
            <v>7</v>
          </cell>
          <cell r="D169" t="str">
            <v>PEREZ PARRA ROXANA PILAR</v>
          </cell>
          <cell r="E169" t="str">
            <v>FAD200001</v>
          </cell>
          <cell r="F169">
            <v>44</v>
          </cell>
          <cell r="G169">
            <v>30</v>
          </cell>
          <cell r="H169" t="str">
            <v>ROXANA@UTALCA.CL</v>
          </cell>
          <cell r="I169">
            <v>32874</v>
          </cell>
          <cell r="J169">
            <v>2958465</v>
          </cell>
          <cell r="K169" t="str">
            <v>PLANTA</v>
          </cell>
          <cell r="L169" t="str">
            <v>ADMINISTRATIVO</v>
          </cell>
          <cell r="M169" t="str">
            <v>ADMINISTRATIVO</v>
          </cell>
          <cell r="N169" t="str">
            <v>GRADO I.14</v>
          </cell>
          <cell r="O169" t="str">
            <v>TÉC. NIVEL SUPERIOR</v>
          </cell>
          <cell r="P169" t="str">
            <v>SECRET.EJEC. M/COMPUTACION</v>
          </cell>
          <cell r="Q169" t="str">
            <v>TALCA</v>
          </cell>
          <cell r="R169" t="str">
            <v>FACULTAD DE ARQUITECTUR, MÚSICA Y DISEÑO</v>
          </cell>
          <cell r="S169" t="str">
            <v>FACULTAD DE ARQUITECTUR, MÚSICA Y DISEÑO</v>
          </cell>
        </row>
        <row r="170">
          <cell r="A170">
            <v>9903445</v>
          </cell>
          <cell r="B170" t="str">
            <v>9903445</v>
          </cell>
          <cell r="C170" t="str">
            <v>9</v>
          </cell>
          <cell r="D170" t="str">
            <v>DESCOUVIERES CALLEJAS CLAUDIA</v>
          </cell>
          <cell r="E170" t="str">
            <v>FOD200001</v>
          </cell>
          <cell r="F170">
            <v>10</v>
          </cell>
          <cell r="G170">
            <v>30</v>
          </cell>
          <cell r="H170" t="str">
            <v>CDESCOUVIERES@UTALCA.CL</v>
          </cell>
          <cell r="I170">
            <v>39692</v>
          </cell>
          <cell r="J170">
            <v>46387</v>
          </cell>
          <cell r="K170" t="str">
            <v>CONTRATA</v>
          </cell>
          <cell r="L170" t="str">
            <v>C ESPECIALES</v>
          </cell>
          <cell r="M170" t="str">
            <v>TUTOR(A) PRÁCTICA</v>
          </cell>
          <cell r="N170" t="str">
            <v>SIN GRADO</v>
          </cell>
          <cell r="O170" t="str">
            <v>ESPECIAL. ODONTOLÓG.</v>
          </cell>
          <cell r="P170" t="str">
            <v>ESPECIALISTA EN PERIODONCIA</v>
          </cell>
          <cell r="Q170" t="str">
            <v>TALCA</v>
          </cell>
          <cell r="R170" t="str">
            <v>FACULTAD DE ODONTOLOGÍA</v>
          </cell>
          <cell r="S170" t="str">
            <v>FACULTAD DE ODONTOLOGÍA</v>
          </cell>
        </row>
        <row r="171">
          <cell r="A171">
            <v>9933101</v>
          </cell>
          <cell r="B171" t="str">
            <v>09933101</v>
          </cell>
          <cell r="C171" t="str">
            <v>1</v>
          </cell>
          <cell r="D171" t="str">
            <v>ROJAS CASANOVA VICTOR HUGO</v>
          </cell>
          <cell r="E171" t="str">
            <v>FCS320001</v>
          </cell>
          <cell r="F171">
            <v>44</v>
          </cell>
          <cell r="G171">
            <v>30</v>
          </cell>
          <cell r="H171" t="str">
            <v>VROJASC@UTALCA.CL</v>
          </cell>
          <cell r="I171">
            <v>32471</v>
          </cell>
          <cell r="J171">
            <v>46387</v>
          </cell>
          <cell r="K171" t="str">
            <v>CONTRATA</v>
          </cell>
          <cell r="L171" t="str">
            <v>AUXILIAR</v>
          </cell>
          <cell r="M171" t="str">
            <v>AUXILIAR</v>
          </cell>
          <cell r="N171" t="str">
            <v>GRADO I.24</v>
          </cell>
          <cell r="O171" t="str">
            <v>ESCOLARIDAD CIENT HU</v>
          </cell>
          <cell r="P171" t="str">
            <v>LICENCIA ENSEÑANZA MEDIA</v>
          </cell>
          <cell r="Q171" t="str">
            <v>TALCA</v>
          </cell>
          <cell r="R171" t="str">
            <v>FACULTAD DE CIENCIAS DE LA SALUD</v>
          </cell>
          <cell r="S171" t="str">
            <v>DPTO. BIOQUÍM. CLÍN. E INMUNOHEMATOLOGÍA</v>
          </cell>
        </row>
        <row r="172">
          <cell r="A172">
            <v>9934465</v>
          </cell>
          <cell r="B172" t="str">
            <v>9934465</v>
          </cell>
          <cell r="C172" t="str">
            <v>2</v>
          </cell>
          <cell r="D172" t="str">
            <v>HERRERA SOTO JORGE EDUARDO</v>
          </cell>
          <cell r="E172" t="str">
            <v>VGE400031</v>
          </cell>
          <cell r="F172">
            <v>44</v>
          </cell>
          <cell r="G172">
            <v>30</v>
          </cell>
          <cell r="H172" t="str">
            <v>JHERRERA@UTALCA.CL</v>
          </cell>
          <cell r="I172">
            <v>35891</v>
          </cell>
          <cell r="J172">
            <v>2958465</v>
          </cell>
          <cell r="K172" t="str">
            <v>PLANTA</v>
          </cell>
          <cell r="L172" t="str">
            <v>PROFESIONAL</v>
          </cell>
          <cell r="M172" t="str">
            <v>PROFESIONAL</v>
          </cell>
          <cell r="N172" t="str">
            <v>GRADO I.16</v>
          </cell>
          <cell r="O172" t="str">
            <v>TÍTULO PROFESIONAL</v>
          </cell>
          <cell r="P172" t="str">
            <v>INGENIERO EJECUCION EN COMPUTACION E INFORMAT</v>
          </cell>
          <cell r="Q172" t="str">
            <v>TALCA</v>
          </cell>
          <cell r="R172" t="str">
            <v>VIC. GESTIÓN ECONÓMICA Y ADMINISTRACIÓN</v>
          </cell>
          <cell r="S172" t="str">
            <v>DPTO. DE APOYO FINANCIERO AL ESTUDIANTE</v>
          </cell>
        </row>
        <row r="173">
          <cell r="A173">
            <v>9946475</v>
          </cell>
          <cell r="B173" t="str">
            <v>9946475</v>
          </cell>
          <cell r="C173" t="str">
            <v>5</v>
          </cell>
          <cell r="D173" t="str">
            <v>PEREZ ROJAS VERONICA ELIZABETH</v>
          </cell>
          <cell r="E173" t="str">
            <v>FCI310010</v>
          </cell>
          <cell r="F173">
            <v>44</v>
          </cell>
          <cell r="G173">
            <v>30</v>
          </cell>
          <cell r="H173" t="str">
            <v>VEPEREZ@UTALCA.CL</v>
          </cell>
          <cell r="I173">
            <v>39371</v>
          </cell>
          <cell r="J173">
            <v>2958465</v>
          </cell>
          <cell r="K173" t="str">
            <v>PLANTA</v>
          </cell>
          <cell r="L173" t="str">
            <v>ADMINISTRATIVO</v>
          </cell>
          <cell r="M173" t="str">
            <v>ADMINISTRATIVO</v>
          </cell>
          <cell r="N173" t="str">
            <v>GRADO I.19</v>
          </cell>
          <cell r="O173" t="str">
            <v>TÍTULO PROFESIONAL</v>
          </cell>
          <cell r="P173" t="str">
            <v>INGENIERO EN ADMINISTRACIÓN DE EMPRESAS</v>
          </cell>
          <cell r="Q173" t="str">
            <v>TALCA</v>
          </cell>
          <cell r="R173" t="str">
            <v>FACULTAD DE INGENIERÍA</v>
          </cell>
          <cell r="S173" t="str">
            <v>PROGRAMA DE INGENIERÍA CIVIL PLAN COMÚN.</v>
          </cell>
        </row>
        <row r="174">
          <cell r="A174">
            <v>9972078</v>
          </cell>
          <cell r="B174" t="str">
            <v>9972078</v>
          </cell>
          <cell r="C174" t="str">
            <v>6</v>
          </cell>
          <cell r="D174" t="str">
            <v>REYES LE ROY VERONICA ALICIA</v>
          </cell>
          <cell r="E174" t="str">
            <v>FED200001</v>
          </cell>
          <cell r="F174">
            <v>44</v>
          </cell>
          <cell r="G174">
            <v>3</v>
          </cell>
          <cell r="H174" t="str">
            <v>VREYES@UTALCA.CL</v>
          </cell>
          <cell r="I174">
            <v>41395</v>
          </cell>
          <cell r="J174">
            <v>46084</v>
          </cell>
          <cell r="K174" t="str">
            <v>CONTRATA</v>
          </cell>
          <cell r="L174" t="str">
            <v>CA DOCENTE</v>
          </cell>
          <cell r="M174" t="str">
            <v>PROFESOR ASISTENTE</v>
          </cell>
          <cell r="N174" t="str">
            <v>GRADO C</v>
          </cell>
          <cell r="O174" t="str">
            <v>MAGISTER</v>
          </cell>
          <cell r="P174" t="str">
            <v>MAGÍSTER EN EDUCACIÓN CON MENCIÓN EN CURRICUL</v>
          </cell>
          <cell r="Q174" t="str">
            <v>LINARES</v>
          </cell>
          <cell r="R174" t="str">
            <v>FACULTAD DE CIENCIAS DE LA EDUCACIÓN</v>
          </cell>
          <cell r="S174" t="str">
            <v>FACULTAD DE CIENCIAS DE LA EDUCACIÓN</v>
          </cell>
        </row>
        <row r="175">
          <cell r="A175">
            <v>9997167</v>
          </cell>
          <cell r="B175" t="str">
            <v>09997167</v>
          </cell>
          <cell r="C175" t="str">
            <v>3</v>
          </cell>
          <cell r="D175" t="str">
            <v>REYES BRAVO CRISTINA MAGDALENA</v>
          </cell>
          <cell r="E175" t="str">
            <v>VDE400001</v>
          </cell>
          <cell r="F175">
            <v>44</v>
          </cell>
          <cell r="G175">
            <v>30</v>
          </cell>
          <cell r="H175" t="str">
            <v>CRIREYES@UTALCA.CL</v>
          </cell>
          <cell r="I175">
            <v>43101</v>
          </cell>
          <cell r="J175">
            <v>46387</v>
          </cell>
          <cell r="K175" t="str">
            <v>CONTRATA</v>
          </cell>
          <cell r="L175" t="str">
            <v>ADMINISTRATIVO</v>
          </cell>
          <cell r="M175" t="str">
            <v>ADMINISTRATIVO</v>
          </cell>
          <cell r="N175" t="str">
            <v>GRADO I.21</v>
          </cell>
          <cell r="O175" t="str">
            <v>TÉC. NIVEL MEDIO</v>
          </cell>
          <cell r="P175" t="str">
            <v>SECRETARIADO MENCIÓN COMPUTACIÓN</v>
          </cell>
          <cell r="Q175" t="str">
            <v>CURICO</v>
          </cell>
          <cell r="R175" t="str">
            <v>VICERRECTORÍA DE DESARROLLO ESTUDIANTIL</v>
          </cell>
          <cell r="S175" t="str">
            <v>DIRECCIÓN DE BIENESTAR ESTUDIANTIL</v>
          </cell>
        </row>
        <row r="176">
          <cell r="A176">
            <v>10008746</v>
          </cell>
          <cell r="B176" t="str">
            <v>10008746</v>
          </cell>
          <cell r="C176" t="str">
            <v>4</v>
          </cell>
          <cell r="D176" t="str">
            <v>ALEGRIA PARADA SANDRA BALBINA</v>
          </cell>
          <cell r="E176" t="str">
            <v>VDE100001</v>
          </cell>
          <cell r="F176">
            <v>44</v>
          </cell>
          <cell r="G176">
            <v>30</v>
          </cell>
          <cell r="H176" t="str">
            <v>SALEGRIA@UTALCA.CL</v>
          </cell>
          <cell r="I176">
            <v>33700</v>
          </cell>
          <cell r="J176">
            <v>2958465</v>
          </cell>
          <cell r="K176" t="str">
            <v>PLANTA</v>
          </cell>
          <cell r="L176" t="str">
            <v>ADMINISTRATIVO</v>
          </cell>
          <cell r="M176" t="str">
            <v>ADMINISTRATIVO</v>
          </cell>
          <cell r="N176" t="str">
            <v>GRADO I.17</v>
          </cell>
          <cell r="O176" t="str">
            <v>TÉC. NIVEL SUPERIOR</v>
          </cell>
          <cell r="P176" t="str">
            <v>SECRETARIA EJECUTIVA BILINGÛE</v>
          </cell>
          <cell r="Q176" t="str">
            <v>TALCA</v>
          </cell>
          <cell r="R176" t="str">
            <v>VICERRECTORÍA DE DESARROLLO ESTUDIANTIL</v>
          </cell>
          <cell r="S176" t="str">
            <v>VICERRECTORÍA DE DESARROLLO ESTUDIANTIL</v>
          </cell>
        </row>
        <row r="177">
          <cell r="A177">
            <v>10026345</v>
          </cell>
          <cell r="B177" t="str">
            <v>10026345</v>
          </cell>
          <cell r="C177" t="str">
            <v>9</v>
          </cell>
          <cell r="D177" t="str">
            <v>BARRA HUENUL JORGE ALBERTO</v>
          </cell>
          <cell r="E177" t="str">
            <v>FAD200001</v>
          </cell>
          <cell r="F177">
            <v>44</v>
          </cell>
          <cell r="G177">
            <v>30</v>
          </cell>
          <cell r="H177" t="str">
            <v>JOBARRA@UTALCA.CL</v>
          </cell>
          <cell r="I177">
            <v>42205</v>
          </cell>
          <cell r="J177">
            <v>46387</v>
          </cell>
          <cell r="K177" t="str">
            <v>CONTRATA</v>
          </cell>
          <cell r="L177" t="str">
            <v>DIR EXCLU. CONFIANZA</v>
          </cell>
          <cell r="M177" t="str">
            <v>PROFESIONAL</v>
          </cell>
          <cell r="N177" t="str">
            <v>GRADO I.17</v>
          </cell>
          <cell r="O177" t="str">
            <v>TÍTULO PROFESIONAL</v>
          </cell>
          <cell r="P177" t="str">
            <v>INGENIERO COMERCIAL CON MENCIÓN EN ADMINISTRA</v>
          </cell>
          <cell r="Q177" t="str">
            <v>TALCA</v>
          </cell>
          <cell r="R177" t="str">
            <v>FACULTAD DE ARQUITECTUR, MÚSICA Y DISEÑO</v>
          </cell>
          <cell r="S177" t="str">
            <v>FACULTAD DE ARQUITECTUR, MÚSICA Y DISEÑO</v>
          </cell>
        </row>
        <row r="178">
          <cell r="A178">
            <v>10030300</v>
          </cell>
          <cell r="B178" t="str">
            <v>10030300</v>
          </cell>
          <cell r="C178" t="str">
            <v>0</v>
          </cell>
          <cell r="D178" t="str">
            <v>REYES SUAREZ JOSE ANTONIO</v>
          </cell>
          <cell r="E178" t="str">
            <v>FCI320009</v>
          </cell>
          <cell r="F178">
            <v>44</v>
          </cell>
          <cell r="G178">
            <v>30</v>
          </cell>
          <cell r="H178" t="str">
            <v>JAREYES@UTALCA.CL</v>
          </cell>
          <cell r="I178">
            <v>37712</v>
          </cell>
          <cell r="J178">
            <v>46446</v>
          </cell>
          <cell r="K178" t="str">
            <v>CONTRATA</v>
          </cell>
          <cell r="L178" t="str">
            <v>CA DOCENTE</v>
          </cell>
          <cell r="M178" t="str">
            <v>PROFESOR ASISTENTE</v>
          </cell>
          <cell r="N178" t="str">
            <v>GRADO C</v>
          </cell>
          <cell r="O178" t="str">
            <v>DOCTORADO</v>
          </cell>
          <cell r="P178" t="str">
            <v>DOCTOR EN COMPUTING SCIENCES</v>
          </cell>
          <cell r="Q178" t="str">
            <v>TALCA</v>
          </cell>
          <cell r="R178" t="str">
            <v>FACULTAD DE INGENIERÍA</v>
          </cell>
          <cell r="S178" t="str">
            <v>DPTO. VISUALI. INTERACTIVA Y REA.VIRTUAL</v>
          </cell>
        </row>
        <row r="179">
          <cell r="A179">
            <v>10035853</v>
          </cell>
          <cell r="B179" t="str">
            <v>10035853</v>
          </cell>
          <cell r="C179" t="str">
            <v>0</v>
          </cell>
          <cell r="D179" t="str">
            <v>VILLARROEL DONOSO CARLOS MANUE</v>
          </cell>
          <cell r="E179" t="str">
            <v>VRF400008</v>
          </cell>
          <cell r="F179">
            <v>44</v>
          </cell>
          <cell r="G179">
            <v>30</v>
          </cell>
          <cell r="H179" t="str">
            <v>CVILLARROEL@UTALCA.CL</v>
          </cell>
          <cell r="I179">
            <v>41456</v>
          </cell>
          <cell r="J179">
            <v>46446</v>
          </cell>
          <cell r="K179" t="str">
            <v>CONTRATA</v>
          </cell>
          <cell r="L179" t="str">
            <v>CA DOCENTE</v>
          </cell>
          <cell r="M179" t="str">
            <v>INSTRUCTOR</v>
          </cell>
          <cell r="N179" t="str">
            <v>GRADO D</v>
          </cell>
          <cell r="O179" t="str">
            <v>MAGISTER</v>
          </cell>
          <cell r="P179" t="str">
            <v>MÁSTER EN FORMACIÓN DE PROFESORES DE INGLÉS C</v>
          </cell>
          <cell r="Q179" t="str">
            <v>TALCA</v>
          </cell>
          <cell r="R179" t="str">
            <v>VICERRECTORÍA DE FORMACIÓN</v>
          </cell>
          <cell r="S179" t="str">
            <v>PROGRAMA DE IDIOMAS</v>
          </cell>
        </row>
        <row r="180">
          <cell r="A180">
            <v>10061018</v>
          </cell>
          <cell r="B180" t="str">
            <v>10061018</v>
          </cell>
          <cell r="C180" t="str">
            <v>3</v>
          </cell>
          <cell r="D180" t="str">
            <v>ADRIAZOLA ROJAS FRANCISCO LEAN</v>
          </cell>
          <cell r="E180" t="str">
            <v>FAD310002</v>
          </cell>
          <cell r="F180">
            <v>44</v>
          </cell>
          <cell r="G180">
            <v>30</v>
          </cell>
          <cell r="H180" t="str">
            <v>FRADRIAZOLA@UTALCA.CL</v>
          </cell>
          <cell r="I180">
            <v>43466</v>
          </cell>
          <cell r="J180">
            <v>46387</v>
          </cell>
          <cell r="K180" t="str">
            <v>CONTRATA</v>
          </cell>
          <cell r="L180" t="str">
            <v>ADMINISTRATIVO</v>
          </cell>
          <cell r="M180" t="str">
            <v>ADMINISTRATIVO</v>
          </cell>
          <cell r="N180" t="str">
            <v>GRADO I.21</v>
          </cell>
          <cell r="O180" t="str">
            <v>TÉC. NIVEL MEDIO</v>
          </cell>
          <cell r="P180" t="str">
            <v>TÉCNICO NIVEL MEDIO INDUSTRIAL MENCIÓN ESPECI</v>
          </cell>
          <cell r="Q180" t="str">
            <v>TALCA</v>
          </cell>
          <cell r="R180" t="str">
            <v>FACULTAD DE ARQUITECTUR, MÚSICA Y DISEÑO</v>
          </cell>
          <cell r="S180" t="str">
            <v>ESCUELA DE DISEÑO</v>
          </cell>
        </row>
        <row r="181">
          <cell r="A181">
            <v>10085426</v>
          </cell>
          <cell r="B181" t="str">
            <v>10085426</v>
          </cell>
          <cell r="C181" t="str">
            <v>0</v>
          </cell>
          <cell r="D181" t="str">
            <v>MUÑOZ OYARCE PATRICIA VICTORIA</v>
          </cell>
          <cell r="E181" t="str">
            <v>FAD310002</v>
          </cell>
          <cell r="F181">
            <v>44</v>
          </cell>
          <cell r="G181">
            <v>30</v>
          </cell>
          <cell r="H181" t="str">
            <v>PMUNOZ@UTALCA.CL</v>
          </cell>
          <cell r="I181">
            <v>33693</v>
          </cell>
          <cell r="J181">
            <v>2958465</v>
          </cell>
          <cell r="K181" t="str">
            <v>PLANTA</v>
          </cell>
          <cell r="L181" t="str">
            <v>ADMINISTRATIVO</v>
          </cell>
          <cell r="M181" t="str">
            <v>TÉCNICO</v>
          </cell>
          <cell r="N181" t="str">
            <v>GRADO I.23</v>
          </cell>
          <cell r="O181" t="str">
            <v>TÍTULO PROFESIONAL</v>
          </cell>
          <cell r="P181" t="str">
            <v>ADMINISTRADOR CON MENCIÓN EN GESTIÓN PÚBLICA</v>
          </cell>
          <cell r="Q181" t="str">
            <v>TALCA</v>
          </cell>
          <cell r="R181" t="str">
            <v>FACULTAD DE ARQUITECTUR, MÚSICA Y DISEÑO</v>
          </cell>
          <cell r="S181" t="str">
            <v>ESCUELA DE DISEÑO</v>
          </cell>
        </row>
        <row r="182">
          <cell r="A182">
            <v>10087812</v>
          </cell>
          <cell r="B182" t="str">
            <v>10087812</v>
          </cell>
          <cell r="C182" t="str">
            <v>7</v>
          </cell>
          <cell r="D182" t="str">
            <v>MORALES HERRERA EDITH ROXANA</v>
          </cell>
          <cell r="E182" t="str">
            <v>FCS320012</v>
          </cell>
          <cell r="F182">
            <v>44</v>
          </cell>
          <cell r="G182">
            <v>30</v>
          </cell>
          <cell r="H182" t="str">
            <v>EMORALESH@UTALCA.CL</v>
          </cell>
          <cell r="I182">
            <v>42064</v>
          </cell>
          <cell r="J182">
            <v>46387</v>
          </cell>
          <cell r="K182" t="str">
            <v>CONTRATA</v>
          </cell>
          <cell r="L182" t="str">
            <v>CA DOCENTE</v>
          </cell>
          <cell r="M182" t="str">
            <v>INSTRUCTOR</v>
          </cell>
          <cell r="N182" t="str">
            <v>GRADO D</v>
          </cell>
          <cell r="O182" t="str">
            <v>MAGISTER</v>
          </cell>
          <cell r="P182" t="str">
            <v>MAGISTER EN GESTIÓN DE INSTITUCIONES DE SALUD</v>
          </cell>
          <cell r="Q182" t="str">
            <v>TALCA</v>
          </cell>
          <cell r="R182" t="str">
            <v>FACULTAD DE CIENCIAS DE LA SALUD</v>
          </cell>
          <cell r="S182" t="str">
            <v>DEPTO. CIENCIAS DEL CUIDADO EN ENFERM.</v>
          </cell>
        </row>
        <row r="183">
          <cell r="A183">
            <v>10110737</v>
          </cell>
          <cell r="B183" t="str">
            <v>10110737</v>
          </cell>
          <cell r="C183" t="str">
            <v>K</v>
          </cell>
          <cell r="D183" t="str">
            <v>RETAMAL CONTRERAS ERIKA ROXANA</v>
          </cell>
          <cell r="E183" t="str">
            <v>FCS320003</v>
          </cell>
          <cell r="F183">
            <v>44</v>
          </cell>
          <cell r="G183">
            <v>30</v>
          </cell>
          <cell r="H183" t="str">
            <v>ERETAMAL@UTALCA.CL</v>
          </cell>
          <cell r="I183">
            <v>43556</v>
          </cell>
          <cell r="J183">
            <v>46812</v>
          </cell>
          <cell r="K183" t="str">
            <v>CONTRATA</v>
          </cell>
          <cell r="L183" t="str">
            <v>CA DOCENTE</v>
          </cell>
          <cell r="M183" t="str">
            <v>PROFESOR ASISTENTE</v>
          </cell>
          <cell r="N183" t="str">
            <v>GRADO C</v>
          </cell>
          <cell r="O183" t="str">
            <v>MAGISTER</v>
          </cell>
          <cell r="P183" t="str">
            <v>MAGISTER EN SALUD PUBLICA Y PLANIFICACION SAN</v>
          </cell>
          <cell r="Q183" t="str">
            <v>TALCA</v>
          </cell>
          <cell r="R183" t="str">
            <v>FACULTAD DE CIENCIAS DE LA SALUD</v>
          </cell>
          <cell r="S183" t="str">
            <v>DEPARTAMENTO DE SALUD PÚBLICA</v>
          </cell>
        </row>
        <row r="184">
          <cell r="A184">
            <v>10112688</v>
          </cell>
          <cell r="B184" t="str">
            <v>10112688</v>
          </cell>
          <cell r="C184" t="str">
            <v>9</v>
          </cell>
          <cell r="D184" t="str">
            <v>POBLETE AVENDAÑO LAURA ROSA</v>
          </cell>
          <cell r="E184" t="str">
            <v>FPS310002</v>
          </cell>
          <cell r="F184">
            <v>44</v>
          </cell>
          <cell r="G184">
            <v>30</v>
          </cell>
          <cell r="H184" t="str">
            <v>LAPOBLETE@UTALCA.CL</v>
          </cell>
          <cell r="I184">
            <v>42095</v>
          </cell>
          <cell r="J184">
            <v>2958465</v>
          </cell>
          <cell r="K184" t="str">
            <v>PLANTA</v>
          </cell>
          <cell r="L184" t="str">
            <v>ADMINISTRATIVO</v>
          </cell>
          <cell r="M184" t="str">
            <v>ADMINISTRATIVO</v>
          </cell>
          <cell r="N184" t="str">
            <v>GRADO I.18</v>
          </cell>
          <cell r="O184" t="str">
            <v>TÉC. NIVEL SUPERIOR</v>
          </cell>
          <cell r="P184" t="str">
            <v>SECRETARIA DE GERENCIA M/INGLÉS Y COMP</v>
          </cell>
          <cell r="Q184" t="str">
            <v>TALCA</v>
          </cell>
          <cell r="R184" t="str">
            <v>FACULTAD DE PSICOLOGÍA</v>
          </cell>
          <cell r="S184" t="str">
            <v>ESCUELA DE TERAPIA OCUPACIONAL</v>
          </cell>
        </row>
        <row r="185">
          <cell r="A185">
            <v>10121878</v>
          </cell>
          <cell r="B185" t="str">
            <v>10121878</v>
          </cell>
          <cell r="C185" t="str">
            <v>3</v>
          </cell>
          <cell r="D185" t="str">
            <v>DEL PINO ORMEÑO MAURICIO JAVIE</v>
          </cell>
          <cell r="E185" t="str">
            <v>VGE400055</v>
          </cell>
          <cell r="F185">
            <v>44</v>
          </cell>
          <cell r="G185">
            <v>30</v>
          </cell>
          <cell r="H185" t="str">
            <v>MDELPINO@UTALCA.CL</v>
          </cell>
          <cell r="I185">
            <v>33604</v>
          </cell>
          <cell r="J185">
            <v>2958465</v>
          </cell>
          <cell r="K185" t="str">
            <v>PLANTA</v>
          </cell>
          <cell r="L185" t="str">
            <v>TÉCNICO</v>
          </cell>
          <cell r="M185" t="str">
            <v>TÉCNICO</v>
          </cell>
          <cell r="N185" t="str">
            <v>GRADO I.17</v>
          </cell>
          <cell r="O185" t="str">
            <v>TÉC. NIVEL SUPERIOR</v>
          </cell>
          <cell r="P185" t="str">
            <v>PROGRAMADOR COMPUTACIONAL</v>
          </cell>
          <cell r="Q185" t="str">
            <v>TALCA</v>
          </cell>
          <cell r="R185" t="str">
            <v>VIC. GESTIÓN ECONÓMICA Y ADMINISTRACIÓN</v>
          </cell>
          <cell r="S185" t="str">
            <v>DEPARTAMENTO DE PLATAFORMAS TI</v>
          </cell>
        </row>
        <row r="186">
          <cell r="A186">
            <v>10140056</v>
          </cell>
          <cell r="B186" t="str">
            <v>10140056</v>
          </cell>
          <cell r="C186" t="str">
            <v>5</v>
          </cell>
          <cell r="D186" t="str">
            <v>LILLO TASTETS MARCELA VERONICA</v>
          </cell>
          <cell r="E186" t="str">
            <v>FAD320005</v>
          </cell>
          <cell r="F186">
            <v>44</v>
          </cell>
          <cell r="G186">
            <v>30</v>
          </cell>
          <cell r="H186" t="str">
            <v>MALILLO@UTALCA.CL</v>
          </cell>
          <cell r="I186">
            <v>42430</v>
          </cell>
          <cell r="J186">
            <v>2958465</v>
          </cell>
          <cell r="K186" t="str">
            <v>PLANTA</v>
          </cell>
          <cell r="L186" t="str">
            <v>CA ORDINARIA</v>
          </cell>
          <cell r="M186" t="str">
            <v>PROFESOR ASOCIADO</v>
          </cell>
          <cell r="N186" t="str">
            <v>GRADO B</v>
          </cell>
          <cell r="O186" t="str">
            <v>MAGISTER</v>
          </cell>
          <cell r="P186" t="str">
            <v>MÁSTER ARTS, LETTRES, LANGUES, MENTION MUSIQU</v>
          </cell>
          <cell r="Q186" t="str">
            <v>TALCA</v>
          </cell>
          <cell r="R186" t="str">
            <v>FACULTAD DE ARQUITECTUR, MÚSICA Y DISEÑO</v>
          </cell>
          <cell r="S186" t="str">
            <v>DEPTO. DE INTERP. Y FORM. MUSICAL ESPEC.</v>
          </cell>
        </row>
        <row r="187">
          <cell r="A187">
            <v>10148120</v>
          </cell>
          <cell r="B187" t="str">
            <v>10148120</v>
          </cell>
          <cell r="C187" t="str">
            <v>4</v>
          </cell>
          <cell r="D187" t="str">
            <v>PADILLA CHAMORRO JUAN CARLOS</v>
          </cell>
          <cell r="E187" t="str">
            <v>ADC022001</v>
          </cell>
          <cell r="F187">
            <v>44</v>
          </cell>
          <cell r="G187">
            <v>30</v>
          </cell>
          <cell r="H187" t="str">
            <v>JPADILLA@UTALCA.CL</v>
          </cell>
          <cell r="I187">
            <v>36971</v>
          </cell>
          <cell r="J187">
            <v>46387</v>
          </cell>
          <cell r="K187" t="str">
            <v>CONTRATA</v>
          </cell>
          <cell r="L187" t="str">
            <v>AUXILIAR</v>
          </cell>
          <cell r="M187" t="str">
            <v>AUXILIAR</v>
          </cell>
          <cell r="N187" t="str">
            <v>GRADO I.24</v>
          </cell>
          <cell r="O187" t="str">
            <v>ESCOLARIDAD CIENT HU</v>
          </cell>
          <cell r="P187" t="str">
            <v>OCTAVO AÑO BÁSICO</v>
          </cell>
          <cell r="Q187" t="str">
            <v>TALCA</v>
          </cell>
          <cell r="R187" t="str">
            <v>DIRECCIÓN DE EXTENSIÓN</v>
          </cell>
          <cell r="S187" t="str">
            <v>DIRECCIÓN DE EXTENSIÓN</v>
          </cell>
        </row>
        <row r="188">
          <cell r="A188">
            <v>10180931</v>
          </cell>
          <cell r="B188" t="str">
            <v>10180931</v>
          </cell>
          <cell r="C188" t="str">
            <v>5</v>
          </cell>
          <cell r="D188" t="str">
            <v>SCHULZ LIZANA KARIN HELENE</v>
          </cell>
          <cell r="E188" t="str">
            <v>FCJ310001</v>
          </cell>
          <cell r="F188">
            <v>22</v>
          </cell>
          <cell r="G188">
            <v>30</v>
          </cell>
          <cell r="H188" t="str">
            <v>KSCHULZ@UTALCA.CL</v>
          </cell>
          <cell r="I188">
            <v>43466</v>
          </cell>
          <cell r="J188">
            <v>46387</v>
          </cell>
          <cell r="K188" t="str">
            <v>CONTRATA</v>
          </cell>
          <cell r="L188" t="str">
            <v>PROFESIONAL</v>
          </cell>
          <cell r="M188" t="str">
            <v>PROFESIONAL</v>
          </cell>
          <cell r="N188" t="str">
            <v>GRADO I.17</v>
          </cell>
          <cell r="O188" t="str">
            <v>TÍTULO PROFESIONAL</v>
          </cell>
          <cell r="P188" t="str">
            <v>ABOGADA</v>
          </cell>
          <cell r="Q188" t="str">
            <v>TALCA</v>
          </cell>
          <cell r="R188" t="str">
            <v>FACULTAD CIENCIAS JURÍDICAS Y SOCIALES</v>
          </cell>
          <cell r="S188" t="str">
            <v>ESCUELA DE DERECHO DE TALCA</v>
          </cell>
        </row>
        <row r="189">
          <cell r="A189">
            <v>10193178</v>
          </cell>
          <cell r="B189" t="str">
            <v>10193178</v>
          </cell>
          <cell r="C189" t="str">
            <v>1</v>
          </cell>
          <cell r="D189" t="str">
            <v>ATAL BARRIOS PABLO ANDRES</v>
          </cell>
          <cell r="E189" t="str">
            <v>FCA200001</v>
          </cell>
          <cell r="F189">
            <v>44</v>
          </cell>
          <cell r="G189">
            <v>30</v>
          </cell>
          <cell r="H189" t="str">
            <v>PATAL@UTALCA.CL</v>
          </cell>
          <cell r="I189">
            <v>40101</v>
          </cell>
          <cell r="J189">
            <v>46387</v>
          </cell>
          <cell r="K189" t="str">
            <v>CONTRATA</v>
          </cell>
          <cell r="L189" t="str">
            <v>DIR EXCLU. CONFIANZA</v>
          </cell>
          <cell r="M189" t="str">
            <v>PROFESIONAL</v>
          </cell>
          <cell r="N189" t="str">
            <v>GRADO I.17</v>
          </cell>
          <cell r="O189" t="str">
            <v>TÍTULO PROFESIONAL</v>
          </cell>
          <cell r="P189" t="str">
            <v>INGENIERO COMERCIAL, MENCION ADMINISTRACION</v>
          </cell>
          <cell r="Q189" t="str">
            <v>TALCA</v>
          </cell>
          <cell r="R189" t="str">
            <v>FACULTAD DE CIENCIAS AGRARIAS</v>
          </cell>
          <cell r="S189" t="str">
            <v>FACULTAD DE CIENCIAS AGRARIAS</v>
          </cell>
        </row>
        <row r="190">
          <cell r="A190">
            <v>10200375</v>
          </cell>
          <cell r="B190" t="str">
            <v>10200375</v>
          </cell>
          <cell r="C190" t="str">
            <v>6</v>
          </cell>
          <cell r="D190" t="str">
            <v>CONTARDO CONTARDO ALVARO JAVIE</v>
          </cell>
          <cell r="E190" t="str">
            <v>VRF400043</v>
          </cell>
          <cell r="F190">
            <v>44</v>
          </cell>
          <cell r="G190">
            <v>30</v>
          </cell>
          <cell r="H190" t="str">
            <v>ACONTARD@UTALCA.CL</v>
          </cell>
          <cell r="I190">
            <v>32143</v>
          </cell>
          <cell r="J190">
            <v>2958465</v>
          </cell>
          <cell r="K190" t="str">
            <v>PLANTA</v>
          </cell>
          <cell r="L190" t="str">
            <v>ADMINISTRATIVO</v>
          </cell>
          <cell r="M190" t="str">
            <v>ADMINISTRATIVO</v>
          </cell>
          <cell r="N190" t="str">
            <v>GRADO I.14</v>
          </cell>
          <cell r="O190" t="str">
            <v>TÍTULO PROFESIONAL</v>
          </cell>
          <cell r="P190" t="str">
            <v>INGENIERO DE EJECUCION EN INFORMATICA</v>
          </cell>
          <cell r="Q190" t="str">
            <v>TALCA</v>
          </cell>
          <cell r="R190" t="str">
            <v>VICERRECTORÍA DE FORMACIÓN</v>
          </cell>
          <cell r="S190" t="str">
            <v>DPTO. DE GESTIÓN DE INFORM. ESTUDIANTIL</v>
          </cell>
        </row>
        <row r="191">
          <cell r="A191">
            <v>10210231</v>
          </cell>
          <cell r="B191" t="str">
            <v>10210231</v>
          </cell>
          <cell r="C191" t="str">
            <v>2</v>
          </cell>
          <cell r="D191" t="str">
            <v>VERDUGO BASTIAS ISABEL ALEJAND</v>
          </cell>
          <cell r="E191" t="str">
            <v>ICB300001</v>
          </cell>
          <cell r="F191">
            <v>44</v>
          </cell>
          <cell r="G191">
            <v>30</v>
          </cell>
          <cell r="H191" t="str">
            <v>IVERDUGO@UTALCA.CL</v>
          </cell>
          <cell r="I191">
            <v>35490</v>
          </cell>
          <cell r="J191">
            <v>2958465</v>
          </cell>
          <cell r="K191" t="str">
            <v>PLANTA</v>
          </cell>
          <cell r="L191" t="str">
            <v>PROFESIONAL</v>
          </cell>
          <cell r="M191" t="str">
            <v>PROFESIONAL</v>
          </cell>
          <cell r="N191" t="str">
            <v>GRADO I.17</v>
          </cell>
          <cell r="O191" t="str">
            <v>MAGISTER</v>
          </cell>
          <cell r="P191" t="str">
            <v>MAGISTER EN CIENCIAS BIOMÉDICAS</v>
          </cell>
          <cell r="Q191" t="str">
            <v>TALCA</v>
          </cell>
          <cell r="R191" t="str">
            <v>INSTITUTO DE CIENCIAS BIOLÓGICAS</v>
          </cell>
          <cell r="S191" t="str">
            <v>INSTITUTO DE CIENCIAS BIOLÓGICAS</v>
          </cell>
        </row>
        <row r="192">
          <cell r="A192">
            <v>10212771</v>
          </cell>
          <cell r="B192" t="str">
            <v>10212771</v>
          </cell>
          <cell r="C192" t="str">
            <v>4</v>
          </cell>
          <cell r="D192" t="str">
            <v>MENDEZ CAMPOS MARIA DORIS</v>
          </cell>
          <cell r="E192" t="str">
            <v>FPS200001</v>
          </cell>
          <cell r="F192">
            <v>22</v>
          </cell>
          <cell r="G192">
            <v>30</v>
          </cell>
          <cell r="H192" t="str">
            <v>DMENDEZ@UTALCA.CL</v>
          </cell>
          <cell r="I192">
            <v>39461</v>
          </cell>
          <cell r="J192">
            <v>46446</v>
          </cell>
          <cell r="K192" t="str">
            <v>CONTRATA</v>
          </cell>
          <cell r="L192" t="str">
            <v>CA DOCENTE</v>
          </cell>
          <cell r="M192" t="str">
            <v>PROFESOR ASISTENTE</v>
          </cell>
          <cell r="N192" t="str">
            <v>GRADO C</v>
          </cell>
          <cell r="O192" t="str">
            <v>MAGISTER</v>
          </cell>
          <cell r="P192" t="str">
            <v>MAGISTER UNIVERSITARIO PROGRAMAS PARA LA MEJO</v>
          </cell>
          <cell r="Q192" t="str">
            <v>TALCA</v>
          </cell>
          <cell r="R192" t="str">
            <v>FACULTAD DE PSICOLOGÍA</v>
          </cell>
          <cell r="S192" t="str">
            <v>FACULTAD DE PSICOLOGÍA</v>
          </cell>
        </row>
        <row r="193">
          <cell r="A193">
            <v>10223124</v>
          </cell>
          <cell r="B193" t="str">
            <v>10223124</v>
          </cell>
          <cell r="C193" t="str">
            <v>4</v>
          </cell>
          <cell r="D193" t="str">
            <v>GONZALEZ ARAYA MARCELA CECILIA</v>
          </cell>
          <cell r="E193" t="str">
            <v>FCI320002</v>
          </cell>
          <cell r="F193">
            <v>44</v>
          </cell>
          <cell r="G193">
            <v>30</v>
          </cell>
          <cell r="H193" t="str">
            <v>MGONZALEZ@UTALCA.CL</v>
          </cell>
          <cell r="I193">
            <v>38443</v>
          </cell>
          <cell r="J193">
            <v>2958465</v>
          </cell>
          <cell r="K193" t="str">
            <v>PLANTA</v>
          </cell>
          <cell r="L193" t="str">
            <v>CA ORDINARIA</v>
          </cell>
          <cell r="M193" t="str">
            <v>PROFESOR ASOCIADO</v>
          </cell>
          <cell r="N193" t="str">
            <v>GRADO B</v>
          </cell>
          <cell r="O193" t="str">
            <v>DOCTORADO</v>
          </cell>
          <cell r="P193" t="str">
            <v>COPPE EM ENGERHARIA DE PRODUCAO</v>
          </cell>
          <cell r="Q193" t="str">
            <v>CURICO</v>
          </cell>
          <cell r="R193" t="str">
            <v>FACULTAD DE INGENIERÍA</v>
          </cell>
          <cell r="S193" t="str">
            <v>DEPARTAMENTO DE INGENIERÍA INDUSTRIAL</v>
          </cell>
        </row>
        <row r="194">
          <cell r="A194">
            <v>10229283</v>
          </cell>
          <cell r="B194" t="str">
            <v>10229283</v>
          </cell>
          <cell r="C194" t="str">
            <v>9</v>
          </cell>
          <cell r="D194" t="str">
            <v>SEPULVEDA AGUILAR ROBINSON HER</v>
          </cell>
          <cell r="E194" t="str">
            <v>FED200001</v>
          </cell>
          <cell r="F194">
            <v>44</v>
          </cell>
          <cell r="G194">
            <v>30</v>
          </cell>
          <cell r="H194" t="str">
            <v>ROSEPULVEDA@UTALCA.CL</v>
          </cell>
          <cell r="I194">
            <v>43101</v>
          </cell>
          <cell r="J194">
            <v>46387</v>
          </cell>
          <cell r="K194" t="str">
            <v>CONTRATA</v>
          </cell>
          <cell r="L194" t="str">
            <v>PROFESIONAL</v>
          </cell>
          <cell r="M194" t="str">
            <v>PROFESIONAL</v>
          </cell>
          <cell r="N194" t="str">
            <v>GRADO I.17</v>
          </cell>
          <cell r="O194" t="str">
            <v>MAGISTER</v>
          </cell>
          <cell r="P194" t="str">
            <v>MAGISTER EN LINGÜISTICA INGLESA</v>
          </cell>
          <cell r="Q194" t="str">
            <v>LINARES</v>
          </cell>
          <cell r="R194" t="str">
            <v>FACULTAD DE CIENCIAS DE LA EDUCACIÓN</v>
          </cell>
          <cell r="S194" t="str">
            <v>FACULTAD DE CIENCIAS DE LA EDUCACIÓN</v>
          </cell>
        </row>
        <row r="195">
          <cell r="A195">
            <v>10234445</v>
          </cell>
          <cell r="B195" t="str">
            <v>10234445</v>
          </cell>
          <cell r="C195" t="str">
            <v>6</v>
          </cell>
          <cell r="D195" t="str">
            <v>CRUZ CACERES FERNANDO JAVIER</v>
          </cell>
          <cell r="E195" t="str">
            <v>VGE400009</v>
          </cell>
          <cell r="F195">
            <v>44</v>
          </cell>
          <cell r="G195">
            <v>30</v>
          </cell>
          <cell r="H195" t="str">
            <v>FCRUZ@UTALCA.CL</v>
          </cell>
          <cell r="I195">
            <v>43101</v>
          </cell>
          <cell r="J195">
            <v>2958465</v>
          </cell>
          <cell r="K195" t="str">
            <v>PLANTA</v>
          </cell>
          <cell r="L195" t="str">
            <v>ADMINISTRATIVO</v>
          </cell>
          <cell r="M195" t="str">
            <v>ADMINISTRATIVO</v>
          </cell>
          <cell r="N195" t="str">
            <v>GRADO I.20</v>
          </cell>
          <cell r="O195" t="str">
            <v>TÉC. NIVEL SUPERIOR</v>
          </cell>
          <cell r="P195" t="str">
            <v>TECNICO EN CONECTIVIDAD Y REDES</v>
          </cell>
          <cell r="Q195" t="str">
            <v>TALCA</v>
          </cell>
          <cell r="R195" t="str">
            <v>VIC. GESTIÓN ECONÓMICA Y ADMINISTRACIÓN</v>
          </cell>
          <cell r="S195" t="str">
            <v>DEPARTAMENTO DE SERVICIOS  Y PROCESOS TI</v>
          </cell>
        </row>
        <row r="196">
          <cell r="A196">
            <v>10283925</v>
          </cell>
          <cell r="B196" t="str">
            <v>10283925</v>
          </cell>
          <cell r="C196" t="str">
            <v>0</v>
          </cell>
          <cell r="D196" t="str">
            <v>CALVO CONSIGLIERI JORGE ANTONI</v>
          </cell>
          <cell r="E196" t="str">
            <v>FAM200001</v>
          </cell>
          <cell r="F196">
            <v>22</v>
          </cell>
          <cell r="G196">
            <v>30</v>
          </cell>
          <cell r="H196" t="str">
            <v>JCALVO@UTALCA.CL</v>
          </cell>
          <cell r="I196">
            <v>41852</v>
          </cell>
          <cell r="J196">
            <v>46387</v>
          </cell>
          <cell r="K196" t="str">
            <v>CONTRATA</v>
          </cell>
          <cell r="L196" t="str">
            <v>C ESPECIALES</v>
          </cell>
          <cell r="M196" t="str">
            <v>TUTOR(A) PRÁCTICA</v>
          </cell>
          <cell r="N196" t="str">
            <v>SIN GRADO</v>
          </cell>
          <cell r="O196" t="str">
            <v>ESPECIAL. MÉDICA</v>
          </cell>
          <cell r="P196" t="str">
            <v>ESPECIALISTA EN PSIQUIATRÍA ADULTO</v>
          </cell>
          <cell r="Q196" t="str">
            <v>TALCA</v>
          </cell>
          <cell r="R196" t="str">
            <v>FACULTAD DE MEDICINA</v>
          </cell>
          <cell r="S196" t="str">
            <v>FACULTAD DE MEDICINA</v>
          </cell>
        </row>
        <row r="197">
          <cell r="A197">
            <v>10285672</v>
          </cell>
          <cell r="B197" t="str">
            <v>10285672</v>
          </cell>
          <cell r="C197" t="str">
            <v>4</v>
          </cell>
          <cell r="D197" t="str">
            <v>CALAF MAUAD JOAN LEILA</v>
          </cell>
          <cell r="E197" t="str">
            <v>FOD200001</v>
          </cell>
          <cell r="F197">
            <v>44</v>
          </cell>
          <cell r="G197">
            <v>30</v>
          </cell>
          <cell r="H197" t="str">
            <v>JOCALAF@UTALCA.CL</v>
          </cell>
          <cell r="I197">
            <v>43466</v>
          </cell>
          <cell r="J197">
            <v>46387</v>
          </cell>
          <cell r="K197" t="str">
            <v>CONTRATA</v>
          </cell>
          <cell r="L197" t="str">
            <v>ADMINISTRATIVO</v>
          </cell>
          <cell r="M197" t="str">
            <v>ADMINISTRATIVO</v>
          </cell>
          <cell r="N197" t="str">
            <v>GRADO I.21</v>
          </cell>
          <cell r="O197" t="str">
            <v>TÉC. NIVEL SUPERIOR</v>
          </cell>
          <cell r="P197" t="str">
            <v>SECRETARIA EJECUTIVA</v>
          </cell>
          <cell r="Q197" t="str">
            <v>TALCA</v>
          </cell>
          <cell r="R197" t="str">
            <v>FACULTAD DE ODONTOLOGÍA</v>
          </cell>
          <cell r="S197" t="str">
            <v>FACULTAD DE ODONTOLOGÍA</v>
          </cell>
        </row>
        <row r="198">
          <cell r="A198">
            <v>10286289</v>
          </cell>
          <cell r="B198" t="str">
            <v>10286289</v>
          </cell>
          <cell r="C198" t="str">
            <v>9</v>
          </cell>
          <cell r="D198" t="str">
            <v>LAURIE GLEISNER VICTOR FELIPE</v>
          </cell>
          <cell r="E198" t="str">
            <v>FCA320002</v>
          </cell>
          <cell r="F198">
            <v>44</v>
          </cell>
          <cell r="G198">
            <v>30</v>
          </cell>
          <cell r="H198" t="str">
            <v>FLAURIE@UTALCA.CL</v>
          </cell>
          <cell r="I198">
            <v>36100</v>
          </cell>
          <cell r="J198">
            <v>2958465</v>
          </cell>
          <cell r="K198" t="str">
            <v>PLANTA</v>
          </cell>
          <cell r="L198" t="str">
            <v>CA ORDINARIA</v>
          </cell>
          <cell r="M198" t="str">
            <v>PROFESOR TITULAR</v>
          </cell>
          <cell r="N198" t="str">
            <v>GRADO A</v>
          </cell>
          <cell r="O198" t="str">
            <v>DOCTORADO</v>
          </cell>
          <cell r="P198" t="str">
            <v>DOCTOR OF PHILOSOPHY</v>
          </cell>
          <cell r="Q198" t="str">
            <v>TALCA</v>
          </cell>
          <cell r="R198" t="str">
            <v>FACULTAD DE CIENCIAS AGRARIAS</v>
          </cell>
          <cell r="S198" t="str">
            <v>DEPARTAMENTO DE HORTICULTURA</v>
          </cell>
        </row>
        <row r="199">
          <cell r="A199">
            <v>10294411</v>
          </cell>
          <cell r="B199" t="str">
            <v>10294411</v>
          </cell>
          <cell r="C199" t="str">
            <v>9</v>
          </cell>
          <cell r="D199" t="str">
            <v>GOMEZ MUÑOZ JUAN BENITO</v>
          </cell>
          <cell r="E199" t="str">
            <v>FCS340007</v>
          </cell>
          <cell r="F199">
            <v>44</v>
          </cell>
          <cell r="G199">
            <v>30</v>
          </cell>
          <cell r="H199" t="str">
            <v>JUGOMEZ@UTALCA.CL</v>
          </cell>
          <cell r="I199">
            <v>43101</v>
          </cell>
          <cell r="J199">
            <v>46387</v>
          </cell>
          <cell r="K199" t="str">
            <v>CONTRATA</v>
          </cell>
          <cell r="L199" t="str">
            <v>AUXILIAR</v>
          </cell>
          <cell r="M199" t="str">
            <v>AUXILIAR</v>
          </cell>
          <cell r="N199" t="str">
            <v>GRADO I.24</v>
          </cell>
          <cell r="O199" t="str">
            <v>ESCOLARIDAD CIENT HU</v>
          </cell>
          <cell r="P199" t="str">
            <v>LICENCIA ENSEÑANZA MEDIA</v>
          </cell>
          <cell r="Q199" t="str">
            <v>TALCA</v>
          </cell>
          <cell r="R199" t="str">
            <v>FACULTAD DE CIENCIAS DE LA SALUD</v>
          </cell>
          <cell r="S199" t="str">
            <v>CLÍNICAS DE KINESIOLOGÍA</v>
          </cell>
        </row>
        <row r="200">
          <cell r="A200">
            <v>10310634</v>
          </cell>
          <cell r="B200" t="str">
            <v>10310634</v>
          </cell>
          <cell r="C200" t="str">
            <v>6</v>
          </cell>
          <cell r="D200" t="str">
            <v>SEPULVEDA LUARTE MARIA PAZ</v>
          </cell>
          <cell r="E200" t="str">
            <v>ADC014003</v>
          </cell>
          <cell r="F200">
            <v>44</v>
          </cell>
          <cell r="G200">
            <v>30</v>
          </cell>
          <cell r="H200" t="str">
            <v>MARSEPULVEDA@UTALCA.CL</v>
          </cell>
          <cell r="I200">
            <v>40664</v>
          </cell>
          <cell r="J200">
            <v>2958465</v>
          </cell>
          <cell r="K200" t="str">
            <v>PLANTA</v>
          </cell>
          <cell r="L200" t="str">
            <v>ADMINISTRATIVO</v>
          </cell>
          <cell r="M200" t="str">
            <v>ADMINISTRATIVO</v>
          </cell>
          <cell r="N200" t="str">
            <v>GRADO I.21</v>
          </cell>
          <cell r="O200" t="str">
            <v>TÉC. NIVEL SUPERIOR</v>
          </cell>
          <cell r="P200" t="str">
            <v>SECRETARIA EJECUTIVA EN CASTELLANO</v>
          </cell>
          <cell r="Q200" t="str">
            <v>TALCA</v>
          </cell>
          <cell r="R200" t="str">
            <v>SECRETARÍA GENERAL</v>
          </cell>
          <cell r="S200" t="str">
            <v>OFICINA DE PARTES</v>
          </cell>
        </row>
        <row r="201">
          <cell r="A201">
            <v>10314388</v>
          </cell>
          <cell r="B201" t="str">
            <v>10314388</v>
          </cell>
          <cell r="C201" t="str">
            <v>8</v>
          </cell>
          <cell r="D201" t="str">
            <v>NIEDMANN LOLAS MARIA LORENA</v>
          </cell>
          <cell r="E201" t="str">
            <v>ICB300001</v>
          </cell>
          <cell r="F201">
            <v>44</v>
          </cell>
          <cell r="G201">
            <v>30</v>
          </cell>
          <cell r="H201" t="str">
            <v>LNIEDMAN@UTALCA.CL</v>
          </cell>
          <cell r="I201">
            <v>42552</v>
          </cell>
          <cell r="J201">
            <v>46752</v>
          </cell>
          <cell r="K201" t="str">
            <v>CONTRATA</v>
          </cell>
          <cell r="L201" t="str">
            <v>CA DOCENTE</v>
          </cell>
          <cell r="M201" t="str">
            <v>INSTRUCTOR</v>
          </cell>
          <cell r="N201" t="str">
            <v>GRADO D</v>
          </cell>
          <cell r="O201" t="str">
            <v>DOCTORADO</v>
          </cell>
          <cell r="P201" t="str">
            <v>DOCTORA EN CIENCIAS, MENCIÓN INGENIERÍA GENÉT</v>
          </cell>
          <cell r="Q201" t="str">
            <v>TALCA</v>
          </cell>
          <cell r="R201" t="str">
            <v>INSTITUTO DE CIENCIAS BIOLÓGICAS</v>
          </cell>
          <cell r="S201" t="str">
            <v>INSTITUTO DE CIENCIAS BIOLÓGICAS</v>
          </cell>
        </row>
        <row r="202">
          <cell r="A202">
            <v>10350524</v>
          </cell>
          <cell r="B202" t="str">
            <v>10350524</v>
          </cell>
          <cell r="C202" t="str">
            <v>0</v>
          </cell>
          <cell r="D202" t="str">
            <v>CANALES ESPINOZA JORGE ANDRES</v>
          </cell>
          <cell r="E202" t="str">
            <v>FOD200001</v>
          </cell>
          <cell r="F202">
            <v>22</v>
          </cell>
          <cell r="G202">
            <v>30</v>
          </cell>
          <cell r="H202" t="str">
            <v>JOCANALES@UTALCA.CL</v>
          </cell>
          <cell r="I202">
            <v>45292</v>
          </cell>
          <cell r="J202">
            <v>46387</v>
          </cell>
          <cell r="K202" t="str">
            <v>CONTRATA</v>
          </cell>
          <cell r="L202" t="str">
            <v>C ESPECIALES</v>
          </cell>
          <cell r="M202" t="str">
            <v>TUTOR(A) PRÁCTICA</v>
          </cell>
          <cell r="N202" t="str">
            <v>SIN GRADO</v>
          </cell>
          <cell r="O202" t="str">
            <v>ESPECIAL. ODONTOLÓG.</v>
          </cell>
          <cell r="P202" t="str">
            <v>ESPECIALISTA EN ORTODONCIA Y ORTOPEDIA DENTOF</v>
          </cell>
          <cell r="Q202" t="str">
            <v>TALCA</v>
          </cell>
          <cell r="R202" t="str">
            <v>FACULTAD DE ODONTOLOGÍA</v>
          </cell>
          <cell r="S202" t="str">
            <v>FACULTAD DE ODONTOLOGÍA</v>
          </cell>
        </row>
        <row r="203">
          <cell r="A203">
            <v>10355752</v>
          </cell>
          <cell r="B203" t="str">
            <v>10355752</v>
          </cell>
          <cell r="C203" t="str">
            <v>6</v>
          </cell>
          <cell r="D203" t="str">
            <v>MUÑOZ INOSTROZA GONZALO ELISEO</v>
          </cell>
          <cell r="E203" t="str">
            <v>FAD320003</v>
          </cell>
          <cell r="F203">
            <v>44</v>
          </cell>
          <cell r="G203">
            <v>30</v>
          </cell>
          <cell r="H203" t="str">
            <v>GOMUNOZ@UTALCA.CL</v>
          </cell>
          <cell r="I203">
            <v>41334</v>
          </cell>
          <cell r="J203">
            <v>46446</v>
          </cell>
          <cell r="K203" t="str">
            <v>CONTRATA</v>
          </cell>
          <cell r="L203" t="str">
            <v>CA DOCENTE</v>
          </cell>
          <cell r="M203" t="str">
            <v>INSTRUCTOR</v>
          </cell>
          <cell r="N203" t="str">
            <v>GRADO D</v>
          </cell>
          <cell r="O203" t="str">
            <v>MAGISTER</v>
          </cell>
          <cell r="P203" t="str">
            <v>MAGISTER EN EDUCACION BASADA EN COMPETENCIAS</v>
          </cell>
          <cell r="Q203" t="str">
            <v>TALCA</v>
          </cell>
          <cell r="R203" t="str">
            <v>FACULTAD DE ARQUITECTUR, MÚSICA Y DISEÑO</v>
          </cell>
          <cell r="S203" t="str">
            <v>DEPARTAMENTO DE DISEÑO</v>
          </cell>
        </row>
        <row r="204">
          <cell r="A204">
            <v>10363714</v>
          </cell>
          <cell r="B204" t="str">
            <v>10363714</v>
          </cell>
          <cell r="C204" t="str">
            <v>7</v>
          </cell>
          <cell r="D204" t="str">
            <v>PACHECO VALDERRAMA MARCELA DEL</v>
          </cell>
          <cell r="E204" t="str">
            <v>FCI310002</v>
          </cell>
          <cell r="F204">
            <v>44</v>
          </cell>
          <cell r="G204">
            <v>30</v>
          </cell>
          <cell r="H204" t="str">
            <v>MPACHECO@UTALCA.CL</v>
          </cell>
          <cell r="I204">
            <v>37681</v>
          </cell>
          <cell r="J204">
            <v>2958465</v>
          </cell>
          <cell r="K204" t="str">
            <v>PLANTA</v>
          </cell>
          <cell r="L204" t="str">
            <v>ADMINISTRATIVO</v>
          </cell>
          <cell r="M204" t="str">
            <v>ADMINISTRATIVO</v>
          </cell>
          <cell r="N204" t="str">
            <v>GRADO I.15</v>
          </cell>
          <cell r="O204" t="str">
            <v>TÍTULO PROFESIONAL</v>
          </cell>
          <cell r="P204" t="str">
            <v>PROFESOR DE EDUCACIÓN GENERAL BÁSICA</v>
          </cell>
          <cell r="Q204" t="str">
            <v>CURICO</v>
          </cell>
          <cell r="R204" t="str">
            <v>FACULTAD DE INGENIERÍA</v>
          </cell>
          <cell r="S204" t="str">
            <v>ESC. DE INGENIERÍA CIVIL EN COMPUTACIÓN</v>
          </cell>
        </row>
        <row r="205">
          <cell r="A205">
            <v>10378233</v>
          </cell>
          <cell r="B205" t="str">
            <v>10378233</v>
          </cell>
          <cell r="C205" t="str">
            <v>3</v>
          </cell>
          <cell r="D205" t="str">
            <v>ESPINOZA CARRASCO PAULINA ELEN</v>
          </cell>
          <cell r="E205" t="str">
            <v>FAM320001</v>
          </cell>
          <cell r="F205">
            <v>44</v>
          </cell>
          <cell r="G205">
            <v>30</v>
          </cell>
          <cell r="H205" t="str">
            <v>PESPINOZA@UTALCA.CL</v>
          </cell>
          <cell r="I205">
            <v>41334</v>
          </cell>
          <cell r="J205">
            <v>46446</v>
          </cell>
          <cell r="K205" t="str">
            <v>CONTRATA</v>
          </cell>
          <cell r="L205" t="str">
            <v>CA DOCENTE</v>
          </cell>
          <cell r="M205" t="str">
            <v>INSTRUCTOR</v>
          </cell>
          <cell r="N205" t="str">
            <v>GRADO D</v>
          </cell>
          <cell r="O205" t="str">
            <v>MAGISTER</v>
          </cell>
          <cell r="P205" t="str">
            <v>MAGISTER EN ENFERMERIA CON MENCION EN GESTION</v>
          </cell>
          <cell r="Q205" t="str">
            <v>TALCA</v>
          </cell>
          <cell r="R205" t="str">
            <v>FACULTAD DE MEDICINA</v>
          </cell>
          <cell r="S205" t="str">
            <v>DEPARTAMENTO DE CIENCIAS PRECLÍNICAS</v>
          </cell>
        </row>
        <row r="206">
          <cell r="A206">
            <v>10402984</v>
          </cell>
          <cell r="B206" t="str">
            <v>10402984</v>
          </cell>
          <cell r="C206" t="str">
            <v>1</v>
          </cell>
          <cell r="D206" t="str">
            <v>POBLETE NORAMBUENA LUIS ALEJAN</v>
          </cell>
          <cell r="E206" t="str">
            <v>FCS320003</v>
          </cell>
          <cell r="F206">
            <v>22</v>
          </cell>
          <cell r="G206">
            <v>30</v>
          </cell>
          <cell r="H206" t="str">
            <v>APOBLETE@UTALCA.CL</v>
          </cell>
          <cell r="I206">
            <v>38808</v>
          </cell>
          <cell r="J206">
            <v>46446</v>
          </cell>
          <cell r="K206" t="str">
            <v>CONTRATA</v>
          </cell>
          <cell r="L206" t="str">
            <v>CA DE LA PROFESIÓN</v>
          </cell>
          <cell r="M206" t="str">
            <v>PROFESOR ASISTENTE</v>
          </cell>
          <cell r="N206" t="str">
            <v>GRADO C</v>
          </cell>
          <cell r="O206" t="str">
            <v>ESPECIAL. ODONTOLÓG.</v>
          </cell>
          <cell r="P206" t="str">
            <v>ESPECIALIDAD EN SALUD PUBLICA M/ EPIDEMIOLOGI</v>
          </cell>
          <cell r="Q206" t="str">
            <v>TALCA</v>
          </cell>
          <cell r="R206" t="str">
            <v>FACULTAD DE CIENCIAS DE LA SALUD</v>
          </cell>
          <cell r="S206" t="str">
            <v>DEPARTAMENTO DE SALUD PÚBLICA</v>
          </cell>
        </row>
        <row r="207">
          <cell r="A207">
            <v>10428732</v>
          </cell>
          <cell r="B207" t="str">
            <v>10428732</v>
          </cell>
          <cell r="C207" t="str">
            <v>8</v>
          </cell>
          <cell r="D207" t="str">
            <v>ZAPATA ARELLANO CLEMENTINA</v>
          </cell>
          <cell r="E207" t="str">
            <v>VRF400043</v>
          </cell>
          <cell r="F207">
            <v>44</v>
          </cell>
          <cell r="G207">
            <v>30</v>
          </cell>
          <cell r="H207" t="str">
            <v>CZAPATA@UTALCA.CL</v>
          </cell>
          <cell r="I207">
            <v>37257</v>
          </cell>
          <cell r="J207">
            <v>2958465</v>
          </cell>
          <cell r="K207" t="str">
            <v>PLANTA</v>
          </cell>
          <cell r="L207" t="str">
            <v>ADMINISTRATIVO</v>
          </cell>
          <cell r="M207" t="str">
            <v>ADMINISTRATIVO</v>
          </cell>
          <cell r="N207" t="str">
            <v>GRADO I.14</v>
          </cell>
          <cell r="O207" t="str">
            <v>TÍTULO PROFESIONAL</v>
          </cell>
          <cell r="P207" t="str">
            <v>CONTADOR AUDITOR</v>
          </cell>
          <cell r="Q207" t="str">
            <v>TALCA</v>
          </cell>
          <cell r="R207" t="str">
            <v>VICERRECTORÍA DE FORMACIÓN</v>
          </cell>
          <cell r="S207" t="str">
            <v>DPTO. DE GESTIÓN DE INFORM. ESTUDIANTIL</v>
          </cell>
        </row>
        <row r="208">
          <cell r="A208">
            <v>10433679</v>
          </cell>
          <cell r="B208" t="str">
            <v>10433679</v>
          </cell>
          <cell r="C208" t="str">
            <v>5</v>
          </cell>
          <cell r="D208" t="str">
            <v>OLGUIN ROJAS JACQUELINE</v>
          </cell>
          <cell r="E208" t="str">
            <v>ADC030141</v>
          </cell>
          <cell r="F208">
            <v>44</v>
          </cell>
          <cell r="G208">
            <v>30</v>
          </cell>
          <cell r="H208" t="str">
            <v>JOLGUIN@UTALCA.CL</v>
          </cell>
          <cell r="I208">
            <v>43101</v>
          </cell>
          <cell r="J208">
            <v>2958465</v>
          </cell>
          <cell r="K208" t="str">
            <v>PLANTA</v>
          </cell>
          <cell r="L208" t="str">
            <v>ADMINISTRATIVO</v>
          </cell>
          <cell r="M208" t="str">
            <v>ADMINISTRATIVO</v>
          </cell>
          <cell r="N208" t="str">
            <v>GRADO I.20</v>
          </cell>
          <cell r="O208" t="str">
            <v>TÉC. NIVEL SUPERIOR</v>
          </cell>
          <cell r="P208" t="str">
            <v>TÉCNICO DE NIVEL SUPERIOR EN COMUNICACIÓN Y R</v>
          </cell>
          <cell r="Q208" t="str">
            <v>SANTIAGO</v>
          </cell>
          <cell r="R208" t="str">
            <v>DIRECCIÓN DE SEDE SANTIAGO</v>
          </cell>
          <cell r="S208" t="str">
            <v>DIRECCIÓN DE SEDE SANTIAGO</v>
          </cell>
        </row>
        <row r="209">
          <cell r="A209">
            <v>10437327</v>
          </cell>
          <cell r="B209" t="str">
            <v>10437327</v>
          </cell>
          <cell r="C209" t="str">
            <v>5</v>
          </cell>
          <cell r="D209" t="str">
            <v>ALBORNOZ ALBORNOZ IVONNE MARCE</v>
          </cell>
          <cell r="E209" t="str">
            <v>VGE100001</v>
          </cell>
          <cell r="F209">
            <v>44</v>
          </cell>
          <cell r="G209">
            <v>30</v>
          </cell>
          <cell r="H209" t="str">
            <v>IMALBORN@UTALCA.CL</v>
          </cell>
          <cell r="I209">
            <v>37004</v>
          </cell>
          <cell r="J209">
            <v>2958465</v>
          </cell>
          <cell r="K209" t="str">
            <v>PLANTA</v>
          </cell>
          <cell r="L209" t="str">
            <v>ADMINISTRATIVO</v>
          </cell>
          <cell r="M209" t="str">
            <v>ADMINISTRATIVO</v>
          </cell>
          <cell r="N209" t="str">
            <v>GRADO I.20</v>
          </cell>
          <cell r="O209" t="str">
            <v>TÉC. NIVEL SUPERIOR</v>
          </cell>
          <cell r="P209" t="str">
            <v>SECRETARIA EJECUTIVA</v>
          </cell>
          <cell r="Q209" t="str">
            <v>TALCA</v>
          </cell>
          <cell r="R209" t="str">
            <v>VIC. GESTIÓN ECONÓMICA Y ADMINISTRACIÓN</v>
          </cell>
          <cell r="S209" t="str">
            <v>VIC. GESTIÓN ECONÓMICA Y ADMINISTRACIÓN</v>
          </cell>
        </row>
        <row r="210">
          <cell r="A210">
            <v>10442291</v>
          </cell>
          <cell r="B210" t="str">
            <v>10442291</v>
          </cell>
          <cell r="C210" t="str">
            <v>8</v>
          </cell>
          <cell r="D210" t="str">
            <v>SAENS NAVARRETE RODRIGO PABLO</v>
          </cell>
          <cell r="E210" t="str">
            <v>FEN310001</v>
          </cell>
          <cell r="F210">
            <v>44</v>
          </cell>
          <cell r="G210">
            <v>30</v>
          </cell>
          <cell r="H210" t="str">
            <v>RSAENS@UTALCA.CL</v>
          </cell>
          <cell r="I210">
            <v>33664</v>
          </cell>
          <cell r="J210">
            <v>2958465</v>
          </cell>
          <cell r="K210" t="str">
            <v>PLANTA</v>
          </cell>
          <cell r="L210" t="str">
            <v>CA ORDINARIA</v>
          </cell>
          <cell r="M210" t="str">
            <v>PROFESOR ASISTENTE</v>
          </cell>
          <cell r="N210" t="str">
            <v>GRADO C</v>
          </cell>
          <cell r="O210" t="str">
            <v>DOCTORADO</v>
          </cell>
          <cell r="P210" t="str">
            <v>PH.D. IN ECONOMICS</v>
          </cell>
          <cell r="Q210" t="str">
            <v>TALCA</v>
          </cell>
          <cell r="R210" t="str">
            <v>FACULTAD DE ECONOMÍA Y NEGOCIOS</v>
          </cell>
          <cell r="S210" t="str">
            <v>ESCUELA DE INGENIERÍA COMERCIAL DE TALCA</v>
          </cell>
        </row>
        <row r="211">
          <cell r="A211">
            <v>10442622</v>
          </cell>
          <cell r="B211" t="str">
            <v>10442622</v>
          </cell>
          <cell r="C211" t="str">
            <v>0</v>
          </cell>
          <cell r="D211" t="str">
            <v>LOPEZ MARCHANT ANA MARIA</v>
          </cell>
          <cell r="E211" t="str">
            <v/>
          </cell>
          <cell r="F211">
            <v>44</v>
          </cell>
          <cell r="G211">
            <v>30</v>
          </cell>
          <cell r="H211" t="str">
            <v>ALOPEZ@UTALCA.CL</v>
          </cell>
          <cell r="I211">
            <v>44927</v>
          </cell>
          <cell r="J211">
            <v>46387</v>
          </cell>
          <cell r="K211" t="str">
            <v>CONTRATA</v>
          </cell>
          <cell r="L211" t="str">
            <v>ADMINISTRATIVO</v>
          </cell>
          <cell r="M211" t="str">
            <v>ADMINISTRATIVO</v>
          </cell>
          <cell r="N211" t="str">
            <v>GRADO I.21</v>
          </cell>
          <cell r="O211" t="str">
            <v>ESCOLARIDAD CIENT HU</v>
          </cell>
          <cell r="P211" t="str">
            <v>LICENCIA ENSEÑANZA MEDIA</v>
          </cell>
          <cell r="Q211" t="str">
            <v>TALCA</v>
          </cell>
          <cell r="R211" t="str">
            <v>FACULTAD DE CIENCIAS AGRARIAS</v>
          </cell>
          <cell r="S211" t="str">
            <v>CENTRO TECNOLÓGICO DE SUELOS Y CULTIVOS</v>
          </cell>
        </row>
        <row r="212">
          <cell r="A212">
            <v>10448692</v>
          </cell>
          <cell r="B212" t="str">
            <v>10448692</v>
          </cell>
          <cell r="C212" t="str">
            <v>4</v>
          </cell>
          <cell r="D212" t="str">
            <v>ROJAS QUINTANA PAOLA ANDREA</v>
          </cell>
          <cell r="E212" t="str">
            <v>VDE400001</v>
          </cell>
          <cell r="F212">
            <v>44</v>
          </cell>
          <cell r="G212">
            <v>30</v>
          </cell>
          <cell r="H212" t="str">
            <v>PAOLA.ROJAS@UTALCA.CL</v>
          </cell>
          <cell r="I212">
            <v>44197</v>
          </cell>
          <cell r="J212">
            <v>46387</v>
          </cell>
          <cell r="K212" t="str">
            <v>CONTRATA</v>
          </cell>
          <cell r="L212" t="str">
            <v>ADMINISTRATIVO</v>
          </cell>
          <cell r="M212" t="str">
            <v>ADMINISTRATIVO</v>
          </cell>
          <cell r="N212" t="str">
            <v>GRADO I.21</v>
          </cell>
          <cell r="O212" t="str">
            <v>TÍTULO PROFESIONAL</v>
          </cell>
          <cell r="P212" t="str">
            <v>SECRETARIA EJECUTIVA EN CASTELLANO</v>
          </cell>
          <cell r="Q212" t="str">
            <v>TALCA</v>
          </cell>
          <cell r="R212" t="str">
            <v>VICERRECTORÍA DE DESARROLLO ESTUDIANTIL</v>
          </cell>
          <cell r="S212" t="str">
            <v>DIRECCIÓN DE BIENESTAR ESTUDIANTIL</v>
          </cell>
        </row>
        <row r="213">
          <cell r="A213">
            <v>10449947</v>
          </cell>
          <cell r="B213" t="str">
            <v>10449947</v>
          </cell>
          <cell r="C213" t="str">
            <v>3</v>
          </cell>
          <cell r="D213" t="str">
            <v>ILLANES AREVALO MARIA ISABEL</v>
          </cell>
          <cell r="E213" t="str">
            <v>FCA200001</v>
          </cell>
          <cell r="F213">
            <v>44</v>
          </cell>
          <cell r="G213">
            <v>30</v>
          </cell>
          <cell r="H213" t="str">
            <v>ILLANES@UTALCA.CL</v>
          </cell>
          <cell r="I213">
            <v>33681</v>
          </cell>
          <cell r="J213">
            <v>2958465</v>
          </cell>
          <cell r="K213" t="str">
            <v>PLANTA</v>
          </cell>
          <cell r="L213" t="str">
            <v>ADMINISTRATIVO</v>
          </cell>
          <cell r="M213" t="str">
            <v>ADMINISTRATIVO</v>
          </cell>
          <cell r="N213" t="str">
            <v>GRADO I.14</v>
          </cell>
          <cell r="O213" t="str">
            <v>TÉC. NIVEL SUPERIOR</v>
          </cell>
          <cell r="P213" t="str">
            <v>SECRETARIA EJECUTIVA</v>
          </cell>
          <cell r="Q213" t="str">
            <v>TALCA</v>
          </cell>
          <cell r="R213" t="str">
            <v>FACULTAD DE CIENCIAS AGRARIAS</v>
          </cell>
          <cell r="S213" t="str">
            <v>FACULTAD DE CIENCIAS AGRARIAS</v>
          </cell>
        </row>
        <row r="214">
          <cell r="A214">
            <v>10460242</v>
          </cell>
          <cell r="B214" t="str">
            <v>10460242</v>
          </cell>
          <cell r="C214" t="str">
            <v>8</v>
          </cell>
          <cell r="D214" t="str">
            <v>HENRIQUEZ OPAZO OSVALDO ENRIQU</v>
          </cell>
          <cell r="E214" t="str">
            <v>FCJ320004</v>
          </cell>
          <cell r="F214">
            <v>44</v>
          </cell>
          <cell r="G214">
            <v>30</v>
          </cell>
          <cell r="H214" t="str">
            <v>OSVALDO.HENRIQUEZ@UTALCA.CL</v>
          </cell>
          <cell r="I214">
            <v>44621</v>
          </cell>
          <cell r="J214">
            <v>46446</v>
          </cell>
          <cell r="K214" t="str">
            <v>CONTRATA</v>
          </cell>
          <cell r="L214" t="str">
            <v>CA DOCENTE</v>
          </cell>
          <cell r="M214" t="str">
            <v>PROFESOR ASISTENTE</v>
          </cell>
          <cell r="N214" t="str">
            <v>GRADO C</v>
          </cell>
          <cell r="O214" t="str">
            <v>DOCTORADO</v>
          </cell>
          <cell r="P214" t="str">
            <v>DOCTORADO EN PROBLEMAS CONTEMPORANEOS EN LA S</v>
          </cell>
          <cell r="Q214" t="str">
            <v>TALCA</v>
          </cell>
          <cell r="R214" t="str">
            <v>FACULTAD CIENCIAS JURÍDICAS Y SOCIALES</v>
          </cell>
          <cell r="S214" t="str">
            <v>DPTO. CNCIA. POLÍTICA Y ADMÓN. PÚBLICA</v>
          </cell>
        </row>
        <row r="215">
          <cell r="A215">
            <v>10460707</v>
          </cell>
          <cell r="B215" t="str">
            <v>10460707</v>
          </cell>
          <cell r="C215" t="str">
            <v>1</v>
          </cell>
          <cell r="D215" t="str">
            <v>BENAVIDES MORENO NIBALDO ENRIQ</v>
          </cell>
          <cell r="E215" t="str">
            <v>FED320001</v>
          </cell>
          <cell r="F215">
            <v>44</v>
          </cell>
          <cell r="G215">
            <v>30</v>
          </cell>
          <cell r="H215" t="str">
            <v>NBENAVIDES@UTALCA.CL</v>
          </cell>
          <cell r="I215">
            <v>43024</v>
          </cell>
          <cell r="J215">
            <v>46446</v>
          </cell>
          <cell r="K215" t="str">
            <v>CONTRATA</v>
          </cell>
          <cell r="L215" t="str">
            <v>CA DOCENTE</v>
          </cell>
          <cell r="M215" t="str">
            <v>PROFESOR ASISTENTE</v>
          </cell>
          <cell r="N215" t="str">
            <v>GRADO C</v>
          </cell>
          <cell r="O215" t="str">
            <v>DOCTORADO</v>
          </cell>
          <cell r="P215" t="str">
            <v>DOCTOR DEL PROG. DE DIDÁCTICA Y ORG. DE INSTI</v>
          </cell>
          <cell r="Q215" t="str">
            <v>TALCA</v>
          </cell>
          <cell r="R215" t="str">
            <v>FACULTAD DE CIENCIAS DE LA EDUCACIÓN</v>
          </cell>
          <cell r="S215" t="str">
            <v>CENTRO INVESTIGACION DESAR. EDUCACIONAL</v>
          </cell>
        </row>
        <row r="216">
          <cell r="A216">
            <v>10483657</v>
          </cell>
          <cell r="B216" t="str">
            <v>10483657</v>
          </cell>
          <cell r="C216" t="str">
            <v>7</v>
          </cell>
          <cell r="D216" t="str">
            <v>RAMIREZ RIVERA CLAUDIO CARLOS</v>
          </cell>
          <cell r="E216" t="str">
            <v>ICB300001</v>
          </cell>
          <cell r="F216">
            <v>44</v>
          </cell>
          <cell r="G216">
            <v>30</v>
          </cell>
          <cell r="H216" t="str">
            <v>CLRAMIREZ@UTALCA.CL</v>
          </cell>
          <cell r="I216">
            <v>38353</v>
          </cell>
          <cell r="J216">
            <v>2958465</v>
          </cell>
          <cell r="K216" t="str">
            <v>PLANTA</v>
          </cell>
          <cell r="L216" t="str">
            <v>CA ORDINARIA</v>
          </cell>
          <cell r="M216" t="str">
            <v>PROFESOR TITULAR</v>
          </cell>
          <cell r="N216" t="str">
            <v>GRADO A</v>
          </cell>
          <cell r="O216" t="str">
            <v>DOCTORADO</v>
          </cell>
          <cell r="P216" t="str">
            <v>DOCTOR EN CIENCIAS, MENCIÓN BIOLOGÍA</v>
          </cell>
          <cell r="Q216" t="str">
            <v>TALCA</v>
          </cell>
          <cell r="R216" t="str">
            <v>INSTITUTO DE CIENCIAS BIOLÓGICAS</v>
          </cell>
          <cell r="S216" t="str">
            <v>INSTITUTO DE CIENCIAS BIOLÓGICAS</v>
          </cell>
        </row>
        <row r="217">
          <cell r="A217">
            <v>10487986</v>
          </cell>
          <cell r="B217" t="str">
            <v>10487986</v>
          </cell>
          <cell r="C217" t="str">
            <v>1</v>
          </cell>
          <cell r="D217" t="str">
            <v>MORALES GARRIDO DARINKA INDIRA</v>
          </cell>
          <cell r="E217" t="str">
            <v>FOD200001</v>
          </cell>
          <cell r="F217">
            <v>22</v>
          </cell>
          <cell r="G217">
            <v>30</v>
          </cell>
          <cell r="H217" t="str">
            <v>DMORALES@UTALCA.CL</v>
          </cell>
          <cell r="I217">
            <v>39508</v>
          </cell>
          <cell r="J217">
            <v>46387</v>
          </cell>
          <cell r="K217" t="str">
            <v>CONTRATA</v>
          </cell>
          <cell r="L217" t="str">
            <v>C ESPECIALES</v>
          </cell>
          <cell r="M217" t="str">
            <v>TUTOR(A) PRÁCTICA</v>
          </cell>
          <cell r="N217" t="str">
            <v>SIN GRADO</v>
          </cell>
          <cell r="O217" t="str">
            <v>ESPECIAL. ODONTOLÓG.</v>
          </cell>
          <cell r="P217" t="str">
            <v>ESPECIALISTA EN ENDODONCIA</v>
          </cell>
          <cell r="Q217" t="str">
            <v>TALCA</v>
          </cell>
          <cell r="R217" t="str">
            <v>FACULTAD DE ODONTOLOGÍA</v>
          </cell>
          <cell r="S217" t="str">
            <v>FACULTAD DE ODONTOLOGÍA</v>
          </cell>
        </row>
        <row r="218">
          <cell r="A218">
            <v>10496500</v>
          </cell>
          <cell r="B218" t="str">
            <v>10496500</v>
          </cell>
          <cell r="C218" t="str">
            <v>8</v>
          </cell>
          <cell r="D218" t="str">
            <v>PADILLA VILLOUTA GERMAN ALBERT</v>
          </cell>
          <cell r="E218" t="str">
            <v>VRF400005</v>
          </cell>
          <cell r="F218">
            <v>44</v>
          </cell>
          <cell r="G218">
            <v>30</v>
          </cell>
          <cell r="H218" t="str">
            <v>GPADILLA@UTALCA.CL</v>
          </cell>
          <cell r="I218">
            <v>44986</v>
          </cell>
          <cell r="J218">
            <v>46387</v>
          </cell>
          <cell r="K218" t="str">
            <v>CONTRATA</v>
          </cell>
          <cell r="L218" t="str">
            <v>AUXILIAR</v>
          </cell>
          <cell r="M218" t="str">
            <v>AUXILIAR</v>
          </cell>
          <cell r="N218" t="str">
            <v>GRADO I.24</v>
          </cell>
          <cell r="O218" t="str">
            <v>ESPECIAL. ODONTOLÓG.</v>
          </cell>
          <cell r="P218" t="str">
            <v>ESCUELA F225, CHILÁN</v>
          </cell>
          <cell r="Q218" t="str">
            <v>TALCA</v>
          </cell>
          <cell r="R218" t="str">
            <v>VICERRECTORÍA DE FORMACIÓN</v>
          </cell>
          <cell r="S218" t="str">
            <v>PROGRAMA DE DEPORTES</v>
          </cell>
        </row>
        <row r="219">
          <cell r="A219">
            <v>10517857</v>
          </cell>
          <cell r="B219" t="str">
            <v>10517857</v>
          </cell>
          <cell r="C219" t="str">
            <v>3</v>
          </cell>
          <cell r="D219" t="str">
            <v>BERNALES ROJAS GERARDO FAVIO</v>
          </cell>
          <cell r="E219" t="str">
            <v>FCJ320003</v>
          </cell>
          <cell r="F219">
            <v>12</v>
          </cell>
          <cell r="G219">
            <v>30</v>
          </cell>
          <cell r="H219" t="str">
            <v>GBERNALES@UTALCA.CL</v>
          </cell>
          <cell r="I219">
            <v>39142</v>
          </cell>
          <cell r="J219">
            <v>46446</v>
          </cell>
          <cell r="K219" t="str">
            <v>CONTRATA</v>
          </cell>
          <cell r="L219" t="str">
            <v>CA DOCENTE</v>
          </cell>
          <cell r="M219" t="str">
            <v>PROFESOR ASISTENTE</v>
          </cell>
          <cell r="N219" t="str">
            <v>GRADO C</v>
          </cell>
          <cell r="O219" t="str">
            <v>DOCTORADO</v>
          </cell>
          <cell r="P219" t="str">
            <v>DOCTOR EN DERECHO</v>
          </cell>
          <cell r="Q219" t="str">
            <v>TALCA</v>
          </cell>
          <cell r="R219" t="str">
            <v>FACULTAD CIENCIAS JURÍDICAS Y SOCIALES</v>
          </cell>
          <cell r="S219" t="str">
            <v>DEPARTAMENTO DE DERECHO PÚBLICO</v>
          </cell>
        </row>
        <row r="220">
          <cell r="A220">
            <v>10518268</v>
          </cell>
          <cell r="B220" t="str">
            <v>10518268</v>
          </cell>
          <cell r="C220" t="str">
            <v>6</v>
          </cell>
          <cell r="D220" t="str">
            <v>ARAYA RODRIGUEZ LUIS ALEJANDRO</v>
          </cell>
          <cell r="E220" t="str">
            <v>ICB300001</v>
          </cell>
          <cell r="F220">
            <v>44</v>
          </cell>
          <cell r="G220">
            <v>30</v>
          </cell>
          <cell r="H220" t="str">
            <v>LARAYAR@UTALCA.CL</v>
          </cell>
          <cell r="I220">
            <v>33329</v>
          </cell>
          <cell r="J220">
            <v>2958465</v>
          </cell>
          <cell r="K220" t="str">
            <v>PLANTA</v>
          </cell>
          <cell r="L220" t="str">
            <v>AUXILIAR</v>
          </cell>
          <cell r="M220" t="str">
            <v>AUXILIAR</v>
          </cell>
          <cell r="N220" t="str">
            <v>GRADO I.21</v>
          </cell>
          <cell r="O220" t="str">
            <v>ESCOLARIDAD CIENT HU</v>
          </cell>
          <cell r="P220" t="str">
            <v>LICENCIA ENSEÑANZA MEDIA</v>
          </cell>
          <cell r="Q220" t="str">
            <v>TALCA</v>
          </cell>
          <cell r="R220" t="str">
            <v>INSTITUTO DE CIENCIAS BIOLÓGICAS</v>
          </cell>
          <cell r="S220" t="str">
            <v>INSTITUTO DE CIENCIAS BIOLÓGICAS</v>
          </cell>
        </row>
        <row r="221">
          <cell r="A221">
            <v>10532803</v>
          </cell>
          <cell r="B221" t="str">
            <v>10532803</v>
          </cell>
          <cell r="C221" t="str">
            <v>6</v>
          </cell>
          <cell r="D221" t="str">
            <v>COFRE BRAVO GABRIELA DEL CARME</v>
          </cell>
          <cell r="E221" t="str">
            <v>FCA310001</v>
          </cell>
          <cell r="F221">
            <v>44</v>
          </cell>
          <cell r="G221">
            <v>30</v>
          </cell>
          <cell r="H221" t="str">
            <v>GCOFRE@UTALCA.CL</v>
          </cell>
          <cell r="I221">
            <v>43101</v>
          </cell>
          <cell r="J221">
            <v>46446</v>
          </cell>
          <cell r="K221" t="str">
            <v>CONTRATA</v>
          </cell>
          <cell r="L221" t="str">
            <v>CA DOCENTE</v>
          </cell>
          <cell r="M221" t="str">
            <v>INSTRUCTOR</v>
          </cell>
          <cell r="N221" t="str">
            <v>GRADO D</v>
          </cell>
          <cell r="O221" t="str">
            <v>DOCTORADO</v>
          </cell>
          <cell r="P221" t="str">
            <v>DOCTOR EN CIENCIAS AGRARIAS</v>
          </cell>
          <cell r="Q221" t="str">
            <v>TALCA</v>
          </cell>
          <cell r="R221" t="str">
            <v>FACULTAD DE CIENCIAS AGRARIAS</v>
          </cell>
          <cell r="S221" t="str">
            <v>ESCUELA DE AGRONOMÍA</v>
          </cell>
        </row>
        <row r="222">
          <cell r="A222">
            <v>10542304</v>
          </cell>
          <cell r="B222" t="str">
            <v>10542304</v>
          </cell>
          <cell r="C222" t="str">
            <v>7</v>
          </cell>
          <cell r="D222" t="str">
            <v>NUÑEZ GUTIERREZ DANIEL EDMUNDO</v>
          </cell>
          <cell r="E222" t="str">
            <v>FPS200001</v>
          </cell>
          <cell r="F222">
            <v>44</v>
          </cell>
          <cell r="G222">
            <v>30</v>
          </cell>
          <cell r="H222" t="str">
            <v>DNUNEZ@UTALCA.CL</v>
          </cell>
          <cell r="I222">
            <v>38808</v>
          </cell>
          <cell r="J222">
            <v>2958465</v>
          </cell>
          <cell r="K222" t="str">
            <v>PLANTA</v>
          </cell>
          <cell r="L222" t="str">
            <v>CA ORDINARIA</v>
          </cell>
          <cell r="M222" t="str">
            <v>PROFESOR ASOCIADO</v>
          </cell>
          <cell r="N222" t="str">
            <v>GRADO B</v>
          </cell>
          <cell r="O222" t="str">
            <v>DOCTORADO</v>
          </cell>
          <cell r="P222" t="str">
            <v>DOCTOR EN CIENCIAS HUMANAS</v>
          </cell>
          <cell r="Q222" t="str">
            <v>TALCA</v>
          </cell>
          <cell r="R222" t="str">
            <v>FACULTAD DE PSICOLOGÍA</v>
          </cell>
          <cell r="S222" t="str">
            <v>FACULTAD DE PSICOLOGÍA</v>
          </cell>
        </row>
        <row r="223">
          <cell r="A223">
            <v>10544161</v>
          </cell>
          <cell r="B223" t="str">
            <v>10544161</v>
          </cell>
          <cell r="C223" t="str">
            <v>4</v>
          </cell>
          <cell r="D223" t="str">
            <v>TAPIA NAVARRETE NANCY DEL PILA</v>
          </cell>
          <cell r="E223" t="str">
            <v>VRF400009</v>
          </cell>
          <cell r="F223">
            <v>22</v>
          </cell>
          <cell r="G223">
            <v>30</v>
          </cell>
          <cell r="H223" t="str">
            <v>NTAPIA@UTALCA.CL</v>
          </cell>
          <cell r="I223">
            <v>43466</v>
          </cell>
          <cell r="J223">
            <v>46446</v>
          </cell>
          <cell r="K223" t="str">
            <v>CONTRATA</v>
          </cell>
          <cell r="L223" t="str">
            <v>CA DOCENTE</v>
          </cell>
          <cell r="M223" t="str">
            <v>INSTRUCTOR</v>
          </cell>
          <cell r="N223" t="str">
            <v>GRADO D</v>
          </cell>
          <cell r="O223" t="str">
            <v>MAGISTER</v>
          </cell>
          <cell r="P223" t="str">
            <v>MAGISTER EN EDUCACION DE LAS HUMANIDADES, LIT</v>
          </cell>
          <cell r="Q223" t="str">
            <v>TALCA</v>
          </cell>
          <cell r="R223" t="str">
            <v>DIRECCIÓN DE PREGRADO</v>
          </cell>
          <cell r="S223" t="str">
            <v>PROGRAMA DE FORMACIÓN FUNDAMENTAL</v>
          </cell>
        </row>
        <row r="224">
          <cell r="A224">
            <v>10551733</v>
          </cell>
          <cell r="B224" t="str">
            <v>10551733</v>
          </cell>
          <cell r="C224" t="str">
            <v>5</v>
          </cell>
          <cell r="D224" t="str">
            <v>ROJAS BARAHONA CRISTIAN ANDRES</v>
          </cell>
          <cell r="E224" t="str">
            <v>FPS200001</v>
          </cell>
          <cell r="F224">
            <v>44</v>
          </cell>
          <cell r="G224">
            <v>30</v>
          </cell>
          <cell r="H224" t="str">
            <v>C.ROJAS@UTALCA.CL</v>
          </cell>
          <cell r="I224">
            <v>43313</v>
          </cell>
          <cell r="J224">
            <v>2958465</v>
          </cell>
          <cell r="K224" t="str">
            <v>PLANTA</v>
          </cell>
          <cell r="L224" t="str">
            <v>CA ORDINARIA</v>
          </cell>
          <cell r="M224" t="str">
            <v>PROFESOR TITULAR</v>
          </cell>
          <cell r="N224" t="str">
            <v>GRADO A</v>
          </cell>
          <cell r="O224" t="str">
            <v>DOCTORADO</v>
          </cell>
          <cell r="P224" t="str">
            <v>DOCTORADO EN EL DEPARTAMENTO DE PSICOLOGÍA EV</v>
          </cell>
          <cell r="Q224" t="str">
            <v>TALCA</v>
          </cell>
          <cell r="R224" t="str">
            <v>FACULTAD DE PSICOLOGÍA</v>
          </cell>
          <cell r="S224" t="str">
            <v>FACULTAD DE PSICOLOGÍA</v>
          </cell>
        </row>
        <row r="225">
          <cell r="A225">
            <v>10572047</v>
          </cell>
          <cell r="B225" t="str">
            <v>10572047</v>
          </cell>
          <cell r="C225" t="str">
            <v>5</v>
          </cell>
          <cell r="D225" t="str">
            <v>OLIVOS MONTOYA ELIZABETH</v>
          </cell>
          <cell r="E225" t="str">
            <v>FCI310004</v>
          </cell>
          <cell r="F225">
            <v>44</v>
          </cell>
          <cell r="G225">
            <v>30</v>
          </cell>
          <cell r="H225" t="str">
            <v>EOLIVOS@UTALCA.CL</v>
          </cell>
          <cell r="I225">
            <v>43466</v>
          </cell>
          <cell r="J225">
            <v>46387</v>
          </cell>
          <cell r="K225" t="str">
            <v>CONTRATA</v>
          </cell>
          <cell r="L225" t="str">
            <v>ADMINISTRATIVO</v>
          </cell>
          <cell r="M225" t="str">
            <v>ADMINISTRATIVO</v>
          </cell>
          <cell r="N225" t="str">
            <v>GRADO I.21</v>
          </cell>
          <cell r="O225" t="str">
            <v>TÉC. NIVEL MEDIO</v>
          </cell>
          <cell r="P225" t="str">
            <v>TÉC  CON MENCIÓN EN BIENESTAR SOCIAL</v>
          </cell>
          <cell r="Q225" t="str">
            <v>CURICO</v>
          </cell>
          <cell r="R225" t="str">
            <v>FACULTAD DE INGENIERÍA</v>
          </cell>
          <cell r="S225" t="str">
            <v>ESC.ING. CIVIL EN SIST. INTELGTES Y VIDJ</v>
          </cell>
        </row>
        <row r="226">
          <cell r="A226">
            <v>10585058</v>
          </cell>
          <cell r="B226" t="str">
            <v>10585058</v>
          </cell>
          <cell r="C226" t="str">
            <v>1</v>
          </cell>
          <cell r="D226" t="str">
            <v>JARPA MARTINEZ CARMEN FABIOLA</v>
          </cell>
          <cell r="E226" t="str">
            <v>IAM300001</v>
          </cell>
          <cell r="F226">
            <v>44</v>
          </cell>
          <cell r="G226">
            <v>30</v>
          </cell>
          <cell r="H226" t="str">
            <v>CARMEN.JARPA@UTALCA.CL</v>
          </cell>
          <cell r="I226">
            <v>45597</v>
          </cell>
          <cell r="J226">
            <v>46387</v>
          </cell>
          <cell r="K226" t="str">
            <v>CONTRATA</v>
          </cell>
          <cell r="L226" t="str">
            <v>ADMINISTRATIVO</v>
          </cell>
          <cell r="M226" t="str">
            <v>ADMINISTRATIVO</v>
          </cell>
          <cell r="N226" t="str">
            <v>GRADO I.21</v>
          </cell>
          <cell r="O226" t="str">
            <v>TÍTULO PROFESIONAL</v>
          </cell>
          <cell r="P226" t="str">
            <v>SECRETARIA EJECUTIVA</v>
          </cell>
          <cell r="Q226" t="str">
            <v>TALCA</v>
          </cell>
          <cell r="R226" t="str">
            <v>INST. ESTUDIOS HUMANÍSTICOS ABATE J.I.M.</v>
          </cell>
          <cell r="S226" t="str">
            <v>INST. ESTUDIOS HUMANÍSTICOS ABATE J.I.M.</v>
          </cell>
        </row>
        <row r="227">
          <cell r="A227">
            <v>10649954</v>
          </cell>
          <cell r="B227" t="str">
            <v>10649954</v>
          </cell>
          <cell r="C227" t="str">
            <v>3</v>
          </cell>
          <cell r="D227" t="str">
            <v>FUENTES CONTRERAS JOSE EDUARDO</v>
          </cell>
          <cell r="E227" t="str">
            <v>FCA320003</v>
          </cell>
          <cell r="F227">
            <v>44</v>
          </cell>
          <cell r="G227">
            <v>30</v>
          </cell>
          <cell r="H227" t="str">
            <v>EFUENTES@UTALCA.CL</v>
          </cell>
          <cell r="I227">
            <v>36192</v>
          </cell>
          <cell r="J227">
            <v>2958465</v>
          </cell>
          <cell r="K227" t="str">
            <v>PLANTA</v>
          </cell>
          <cell r="L227" t="str">
            <v>CA ORDINARIA</v>
          </cell>
          <cell r="M227" t="str">
            <v>PROFESOR TITULAR</v>
          </cell>
          <cell r="N227" t="str">
            <v>GRADO A</v>
          </cell>
          <cell r="O227" t="str">
            <v>DOCTORADO</v>
          </cell>
          <cell r="P227" t="str">
            <v>DOCTOR EN CIENCIAS CON MENCIÓN EN BIOLOGÍA</v>
          </cell>
          <cell r="Q227" t="str">
            <v>TALCA</v>
          </cell>
          <cell r="R227" t="str">
            <v>FACULTAD DE CIENCIAS AGRARIAS</v>
          </cell>
          <cell r="S227" t="str">
            <v>DEPARTAMENTO DE PRODUCCIÓN AGRÍCOLA</v>
          </cell>
        </row>
        <row r="228">
          <cell r="A228">
            <v>10652875</v>
          </cell>
          <cell r="B228" t="str">
            <v>10652875</v>
          </cell>
          <cell r="C228" t="str">
            <v>6</v>
          </cell>
          <cell r="D228" t="str">
            <v>ZAMBRA SAZO CARLOS ENRIQUE</v>
          </cell>
          <cell r="E228" t="str">
            <v>FCI320004</v>
          </cell>
          <cell r="F228">
            <v>44</v>
          </cell>
          <cell r="G228">
            <v>30</v>
          </cell>
          <cell r="H228" t="str">
            <v>CZAMBRA@UTALCA.CL</v>
          </cell>
          <cell r="I228">
            <v>42795</v>
          </cell>
          <cell r="J228">
            <v>2958465</v>
          </cell>
          <cell r="K228" t="str">
            <v>PLANTA</v>
          </cell>
          <cell r="L228" t="str">
            <v>CA ORDINARIA</v>
          </cell>
          <cell r="M228" t="str">
            <v>PROFESOR ASOCIADO</v>
          </cell>
          <cell r="N228" t="str">
            <v>GRADO B</v>
          </cell>
          <cell r="O228" t="str">
            <v>DOCTORADO</v>
          </cell>
          <cell r="P228" t="str">
            <v>DOCTOR EN CIENCIAS DE LA INGENIERIA CON MENCI</v>
          </cell>
          <cell r="Q228" t="str">
            <v>CURICO</v>
          </cell>
          <cell r="R228" t="str">
            <v>FACULTAD DE INGENIERÍA</v>
          </cell>
          <cell r="S228" t="str">
            <v>DEPARTAMENTO DE TECNOLOGÍA INDUSTRIALES</v>
          </cell>
        </row>
        <row r="229">
          <cell r="A229">
            <v>10669838</v>
          </cell>
          <cell r="B229" t="str">
            <v>10669838</v>
          </cell>
          <cell r="C229" t="str">
            <v>4</v>
          </cell>
          <cell r="D229" t="str">
            <v>ABARCA SILVA PABLO LEONARDO</v>
          </cell>
          <cell r="E229" t="str">
            <v>VRF400008</v>
          </cell>
          <cell r="F229">
            <v>44</v>
          </cell>
          <cell r="G229">
            <v>30</v>
          </cell>
          <cell r="H229" t="str">
            <v>PABARCA@UTALCA.CL</v>
          </cell>
          <cell r="I229">
            <v>41275</v>
          </cell>
          <cell r="J229">
            <v>46446</v>
          </cell>
          <cell r="K229" t="str">
            <v>CONTRATA</v>
          </cell>
          <cell r="L229" t="str">
            <v>CA DOCENTE</v>
          </cell>
          <cell r="M229" t="str">
            <v>INSTRUCTOR</v>
          </cell>
          <cell r="N229" t="str">
            <v>GRADO D</v>
          </cell>
          <cell r="O229" t="str">
            <v>TÍTULO PROFESIONAL</v>
          </cell>
          <cell r="P229" t="str">
            <v>PROFESOR DE ESTADO EN INGLES</v>
          </cell>
          <cell r="Q229" t="str">
            <v>TALCA</v>
          </cell>
          <cell r="R229" t="str">
            <v>VICERRECTORÍA DE FORMACIÓN</v>
          </cell>
          <cell r="S229" t="str">
            <v>PROGRAMA DE IDIOMAS</v>
          </cell>
        </row>
        <row r="230">
          <cell r="A230">
            <v>10704624</v>
          </cell>
          <cell r="B230" t="str">
            <v>10704624</v>
          </cell>
          <cell r="C230" t="str">
            <v>0</v>
          </cell>
          <cell r="D230" t="str">
            <v>SANCHEZ ASTORGA MARCELO RICHAR</v>
          </cell>
          <cell r="E230" t="str">
            <v>FOD320002</v>
          </cell>
          <cell r="F230">
            <v>44</v>
          </cell>
          <cell r="G230">
            <v>30</v>
          </cell>
          <cell r="H230" t="str">
            <v>MARSANCHEZ@UTALCA.CL</v>
          </cell>
          <cell r="I230">
            <v>38899</v>
          </cell>
          <cell r="J230">
            <v>46446</v>
          </cell>
          <cell r="K230" t="str">
            <v>CONTRATA</v>
          </cell>
          <cell r="L230" t="str">
            <v>CA DOCENTE</v>
          </cell>
          <cell r="M230" t="str">
            <v>PROFESOR ASISTENTE</v>
          </cell>
          <cell r="N230" t="str">
            <v>GRADO C</v>
          </cell>
          <cell r="O230" t="str">
            <v>MAGISTER</v>
          </cell>
          <cell r="P230" t="str">
            <v>MAFGISTER EN CIENCIAS BIOMEDICAS</v>
          </cell>
          <cell r="Q230" t="str">
            <v>TALCA</v>
          </cell>
          <cell r="R230" t="str">
            <v>FACULTAD DE ODONTOLOGÍA</v>
          </cell>
          <cell r="S230" t="str">
            <v>DEPARTAMENTO DE ESTOMATOLOGÍA</v>
          </cell>
        </row>
        <row r="231">
          <cell r="A231">
            <v>10711017</v>
          </cell>
          <cell r="B231" t="str">
            <v>10711017</v>
          </cell>
          <cell r="C231" t="str">
            <v>8</v>
          </cell>
          <cell r="D231" t="str">
            <v>SUAZO DIAZ NANCY LORETO</v>
          </cell>
          <cell r="E231" t="str">
            <v>FCS320012</v>
          </cell>
          <cell r="F231">
            <v>44</v>
          </cell>
          <cell r="G231">
            <v>30</v>
          </cell>
          <cell r="H231" t="str">
            <v>NSUAZO@UTALCA.CL</v>
          </cell>
          <cell r="I231">
            <v>41708</v>
          </cell>
          <cell r="J231">
            <v>46446</v>
          </cell>
          <cell r="K231" t="str">
            <v>CONTRATA</v>
          </cell>
          <cell r="L231" t="str">
            <v>CA DOCENTE</v>
          </cell>
          <cell r="M231" t="str">
            <v>INSTRUCTOR</v>
          </cell>
          <cell r="N231" t="str">
            <v>GRADO D</v>
          </cell>
          <cell r="O231" t="str">
            <v>MAGISTER</v>
          </cell>
          <cell r="P231" t="str">
            <v>MAGÍSTER EN ENFERMERÍA</v>
          </cell>
          <cell r="Q231" t="str">
            <v>TALCA</v>
          </cell>
          <cell r="R231" t="str">
            <v>FACULTAD DE CIENCIAS DE LA SALUD</v>
          </cell>
          <cell r="S231" t="str">
            <v>DEPTO. CIENCIAS DEL CUIDADO EN ENFERM.</v>
          </cell>
        </row>
        <row r="232">
          <cell r="A232">
            <v>10711018</v>
          </cell>
          <cell r="B232" t="str">
            <v>10711018</v>
          </cell>
          <cell r="C232" t="str">
            <v>6</v>
          </cell>
          <cell r="D232" t="str">
            <v>MIRANDA RETAMAL ERIKA MARICEL</v>
          </cell>
          <cell r="E232" t="str">
            <v>VGE400054</v>
          </cell>
          <cell r="F232">
            <v>44</v>
          </cell>
          <cell r="G232">
            <v>30</v>
          </cell>
          <cell r="H232" t="str">
            <v>EMIRANDA@UTALCA.CL</v>
          </cell>
          <cell r="I232">
            <v>37987</v>
          </cell>
          <cell r="J232">
            <v>46387</v>
          </cell>
          <cell r="K232" t="str">
            <v>CONTRATA</v>
          </cell>
          <cell r="L232" t="str">
            <v>TÉCNICO</v>
          </cell>
          <cell r="M232" t="str">
            <v>TÉCNICO</v>
          </cell>
          <cell r="N232" t="str">
            <v>GRADO I.21</v>
          </cell>
          <cell r="O232" t="str">
            <v>TÉC. NIVEL SUPERIOR</v>
          </cell>
          <cell r="P232" t="str">
            <v>TÉCNICO UNIVERSITARIO EN PROGRAMACIÓN COMPUTA</v>
          </cell>
          <cell r="Q232" t="str">
            <v>TALCA</v>
          </cell>
          <cell r="R232" t="str">
            <v>VIC. GESTIÓN ECONÓMICA Y ADMINISTRACIÓN</v>
          </cell>
          <cell r="S232" t="str">
            <v>DEPARTAMENTO DE SERVICIOS  Y PROCESOS TI</v>
          </cell>
        </row>
        <row r="233">
          <cell r="A233">
            <v>10751848</v>
          </cell>
          <cell r="B233" t="str">
            <v>10751848</v>
          </cell>
          <cell r="C233" t="str">
            <v>7</v>
          </cell>
          <cell r="D233" t="str">
            <v>REYES FLORES CARMEN SOFIA</v>
          </cell>
          <cell r="E233" t="str">
            <v>VRF400009</v>
          </cell>
          <cell r="F233">
            <v>44</v>
          </cell>
          <cell r="G233">
            <v>30</v>
          </cell>
          <cell r="H233" t="str">
            <v>CARREYES@UTALCA.CL</v>
          </cell>
          <cell r="I233">
            <v>44197</v>
          </cell>
          <cell r="J233">
            <v>46446</v>
          </cell>
          <cell r="K233" t="str">
            <v>CONTRATA</v>
          </cell>
          <cell r="L233" t="str">
            <v>CA DOCENTE</v>
          </cell>
          <cell r="M233" t="str">
            <v>PROFESOR ASISTENTE</v>
          </cell>
          <cell r="N233" t="str">
            <v>GRADO C</v>
          </cell>
          <cell r="O233" t="str">
            <v>MAGISTER</v>
          </cell>
          <cell r="P233" t="str">
            <v>MAGISTER EN EDUCACION DE LAS CIENCIAS CON MEN</v>
          </cell>
          <cell r="Q233" t="str">
            <v>TALCA</v>
          </cell>
          <cell r="R233" t="str">
            <v>DIRECCIÓN DE PREGRADO</v>
          </cell>
          <cell r="S233" t="str">
            <v>PROGRAMA DE FORMACIÓN FUNDAMENTAL</v>
          </cell>
        </row>
        <row r="234">
          <cell r="A234">
            <v>10764734</v>
          </cell>
          <cell r="B234" t="str">
            <v>10764734</v>
          </cell>
          <cell r="C234" t="str">
            <v>1</v>
          </cell>
          <cell r="D234" t="str">
            <v>ALARCON LEIVA JORGE ALBERTO</v>
          </cell>
          <cell r="E234" t="str">
            <v>FED320001</v>
          </cell>
          <cell r="F234">
            <v>44</v>
          </cell>
          <cell r="G234">
            <v>30</v>
          </cell>
          <cell r="H234" t="str">
            <v>JOALARCON@UTALCA.CL</v>
          </cell>
          <cell r="I234">
            <v>41000</v>
          </cell>
          <cell r="J234">
            <v>46446</v>
          </cell>
          <cell r="K234" t="str">
            <v>CONTRATA</v>
          </cell>
          <cell r="L234" t="str">
            <v>CA DOCENTE</v>
          </cell>
          <cell r="M234" t="str">
            <v>PROFESOR ASOCIADO</v>
          </cell>
          <cell r="N234" t="str">
            <v>GRADO B</v>
          </cell>
          <cell r="O234" t="str">
            <v>DOCTORADO</v>
          </cell>
          <cell r="P234" t="str">
            <v>DOCTOR EN EDUCACION</v>
          </cell>
          <cell r="Q234" t="str">
            <v>TALCA</v>
          </cell>
          <cell r="R234" t="str">
            <v>FACULTAD DE CIENCIAS DE LA EDUCACIÓN</v>
          </cell>
          <cell r="S234" t="str">
            <v>CENTRO INVESTIGACION DESAR. EDUCACIONAL</v>
          </cell>
        </row>
        <row r="235">
          <cell r="A235">
            <v>10765277</v>
          </cell>
          <cell r="B235" t="str">
            <v>10765277</v>
          </cell>
          <cell r="C235" t="str">
            <v>9</v>
          </cell>
          <cell r="D235" t="str">
            <v>SANCHEZ RETAMAL GABRIEL ANTONI</v>
          </cell>
          <cell r="E235" t="str">
            <v>FPS200001</v>
          </cell>
          <cell r="F235">
            <v>44</v>
          </cell>
          <cell r="G235">
            <v>30</v>
          </cell>
          <cell r="H235" t="str">
            <v>GASANCHEZ@UTALCA.CL</v>
          </cell>
          <cell r="I235">
            <v>44927</v>
          </cell>
          <cell r="J235">
            <v>46387</v>
          </cell>
          <cell r="K235" t="str">
            <v>CONTRATA</v>
          </cell>
          <cell r="L235" t="str">
            <v>PROFESIONAL</v>
          </cell>
          <cell r="M235" t="str">
            <v>PROFESIONAL</v>
          </cell>
          <cell r="N235" t="str">
            <v>GRADO I.17</v>
          </cell>
          <cell r="O235" t="str">
            <v>TÍTULO PROFESIONAL</v>
          </cell>
          <cell r="P235" t="str">
            <v>COMUNICADOR AUDIOVISUAL</v>
          </cell>
          <cell r="Q235" t="str">
            <v>TALCA</v>
          </cell>
          <cell r="R235" t="str">
            <v>FACULTAD DE PSICOLOGÍA</v>
          </cell>
          <cell r="S235" t="str">
            <v>CENTRO DE PSICOLOGÍA APLICADA</v>
          </cell>
        </row>
        <row r="236">
          <cell r="A236">
            <v>10772838</v>
          </cell>
          <cell r="B236" t="str">
            <v>10772838</v>
          </cell>
          <cell r="C236" t="str">
            <v>4</v>
          </cell>
          <cell r="D236" t="str">
            <v>BARRAGAN MARTINEZ XIMENA ANDRE</v>
          </cell>
          <cell r="E236" t="str">
            <v>FCS310005</v>
          </cell>
          <cell r="F236">
            <v>44</v>
          </cell>
          <cell r="G236">
            <v>30</v>
          </cell>
          <cell r="H236" t="str">
            <v>XBARRAGAN@UTALCA.CL</v>
          </cell>
          <cell r="I236">
            <v>41275</v>
          </cell>
          <cell r="J236">
            <v>2958465</v>
          </cell>
          <cell r="K236" t="str">
            <v>PLANTA</v>
          </cell>
          <cell r="L236" t="str">
            <v>ADMINISTRATIVO</v>
          </cell>
          <cell r="M236" t="str">
            <v>ADMINISTRATIVO</v>
          </cell>
          <cell r="N236" t="str">
            <v>GRADO I.19</v>
          </cell>
          <cell r="O236" t="str">
            <v>ESCOLARIDAD CIENT HU</v>
          </cell>
          <cell r="P236" t="str">
            <v>LICENCIA ENSEÑANZA MEDIA</v>
          </cell>
          <cell r="Q236" t="str">
            <v>TALCA</v>
          </cell>
          <cell r="R236" t="str">
            <v>FACULTAD DE CIENCIAS DE LA SALUD</v>
          </cell>
          <cell r="S236" t="str">
            <v>ESCUELA DE ENFERMERÍA</v>
          </cell>
        </row>
        <row r="237">
          <cell r="A237">
            <v>10797475</v>
          </cell>
          <cell r="B237" t="str">
            <v>10797475</v>
          </cell>
          <cell r="C237" t="str">
            <v>K</v>
          </cell>
          <cell r="D237" t="str">
            <v>FORSTER MARIN CARLA ELVIRA</v>
          </cell>
          <cell r="E237" t="str">
            <v>VRF100002</v>
          </cell>
          <cell r="F237">
            <v>44</v>
          </cell>
          <cell r="G237">
            <v>30</v>
          </cell>
          <cell r="H237" t="str">
            <v>CARLA.FORSTER@UTALCA.CL</v>
          </cell>
          <cell r="I237">
            <v>43313</v>
          </cell>
          <cell r="J237">
            <v>46446</v>
          </cell>
          <cell r="K237" t="str">
            <v>CONTRATA</v>
          </cell>
          <cell r="L237" t="str">
            <v>CA DOCENTE</v>
          </cell>
          <cell r="M237" t="str">
            <v>PROFESOR ASOCIADO</v>
          </cell>
          <cell r="N237" t="str">
            <v>GRADO B</v>
          </cell>
          <cell r="O237" t="str">
            <v>DOCTORADO</v>
          </cell>
          <cell r="P237" t="str">
            <v>DOCTOR EN CIENCIAS DE LA EDUCACIÓN</v>
          </cell>
          <cell r="Q237" t="str">
            <v>TALCA</v>
          </cell>
          <cell r="R237" t="str">
            <v>VICERRECTORÍA DE FORMACIÓN</v>
          </cell>
          <cell r="S237" t="str">
            <v>DEPARTAMENTO DE CALIDAD DE LA FORMACIÓN</v>
          </cell>
        </row>
        <row r="238">
          <cell r="A238">
            <v>10801551</v>
          </cell>
          <cell r="B238" t="str">
            <v>10801551</v>
          </cell>
          <cell r="C238" t="str">
            <v>9</v>
          </cell>
          <cell r="D238" t="str">
            <v>TELLO AVILA JOSE ANTONIO</v>
          </cell>
          <cell r="E238" t="str">
            <v>FEN310004</v>
          </cell>
          <cell r="F238">
            <v>44</v>
          </cell>
          <cell r="G238">
            <v>30</v>
          </cell>
          <cell r="H238" t="str">
            <v>JTELLO@UTALCA.CL</v>
          </cell>
          <cell r="I238">
            <v>34232</v>
          </cell>
          <cell r="J238">
            <v>2958465</v>
          </cell>
          <cell r="K238" t="str">
            <v>PLANTA</v>
          </cell>
          <cell r="L238" t="str">
            <v>CA ORDINARIA</v>
          </cell>
          <cell r="M238" t="str">
            <v>PROFESOR ASISTENTE</v>
          </cell>
          <cell r="N238" t="str">
            <v>GRADO C</v>
          </cell>
          <cell r="O238" t="str">
            <v>DOCTORADO</v>
          </cell>
          <cell r="P238" t="str">
            <v>DOCTOR EN CIENCIAS DE LA ADMINISTRACION</v>
          </cell>
          <cell r="Q238" t="str">
            <v>TALCA</v>
          </cell>
          <cell r="R238" t="str">
            <v>FACULTAD DE ECONOMÍA Y NEGOCIOS</v>
          </cell>
          <cell r="S238" t="str">
            <v>ESC. AUDITORIA Y CONTROL DE GESTIÓN TLCA</v>
          </cell>
        </row>
        <row r="239">
          <cell r="A239">
            <v>10816749</v>
          </cell>
          <cell r="B239" t="str">
            <v>10816749</v>
          </cell>
          <cell r="C239" t="str">
            <v>1</v>
          </cell>
          <cell r="D239" t="str">
            <v>GUERRERO HERNANDEZ FERNANDO PA</v>
          </cell>
          <cell r="E239" t="str">
            <v>FAM310001</v>
          </cell>
          <cell r="F239">
            <v>22</v>
          </cell>
          <cell r="G239">
            <v>30</v>
          </cell>
          <cell r="H239" t="str">
            <v>FGUERRERO@UTALCA.CL</v>
          </cell>
          <cell r="I239">
            <v>43466</v>
          </cell>
          <cell r="J239">
            <v>46387</v>
          </cell>
          <cell r="K239" t="str">
            <v>CONTRATA</v>
          </cell>
          <cell r="L239" t="str">
            <v>ADMINISTRATIVO</v>
          </cell>
          <cell r="M239" t="str">
            <v>ADMINISTRATIVO</v>
          </cell>
          <cell r="N239" t="str">
            <v>GRADO I.21</v>
          </cell>
          <cell r="O239" t="str">
            <v>TÉC. NIVEL SUPERIOR</v>
          </cell>
          <cell r="P239" t="str">
            <v>AUXILIAR PARAMÉDICO DE ENFERMERÍA</v>
          </cell>
          <cell r="Q239" t="str">
            <v>TALCA</v>
          </cell>
          <cell r="R239" t="str">
            <v>FACULTAD DE MEDICINA</v>
          </cell>
          <cell r="S239" t="str">
            <v>ESCUELA DE MEDICINA</v>
          </cell>
        </row>
        <row r="240">
          <cell r="A240">
            <v>10824933</v>
          </cell>
          <cell r="B240" t="str">
            <v>10824933</v>
          </cell>
          <cell r="C240" t="str">
            <v>1</v>
          </cell>
          <cell r="D240" t="str">
            <v>SOTO POBLETE ALEX EDUARDO</v>
          </cell>
          <cell r="E240" t="str">
            <v>IMF300001</v>
          </cell>
          <cell r="F240">
            <v>44</v>
          </cell>
          <cell r="G240">
            <v>30</v>
          </cell>
          <cell r="H240" t="str">
            <v>ALSOTO@UTALCA.CL</v>
          </cell>
          <cell r="I240">
            <v>45809</v>
          </cell>
          <cell r="J240">
            <v>46446</v>
          </cell>
          <cell r="K240" t="str">
            <v>CONTRATA</v>
          </cell>
          <cell r="L240" t="str">
            <v>CA DOCENTE</v>
          </cell>
          <cell r="M240" t="str">
            <v>INSTRUCTOR</v>
          </cell>
          <cell r="N240" t="str">
            <v>GRADO D</v>
          </cell>
          <cell r="O240" t="str">
            <v>DOCTORADO</v>
          </cell>
          <cell r="P240" t="str">
            <v>DOCTOR EN DEMOGRAFIA</v>
          </cell>
          <cell r="Q240" t="str">
            <v>TALCA</v>
          </cell>
          <cell r="R240" t="str">
            <v>INSTITUTO DE MATEMÁTICAS</v>
          </cell>
          <cell r="S240" t="str">
            <v>INSTITUTO DE MATEMÁTICAS</v>
          </cell>
        </row>
        <row r="241">
          <cell r="A241">
            <v>10832330</v>
          </cell>
          <cell r="B241" t="str">
            <v>10832330</v>
          </cell>
          <cell r="C241" t="str">
            <v>2</v>
          </cell>
          <cell r="D241" t="str">
            <v>SAAVEDRA ROJAS JUAN GABRIEL</v>
          </cell>
          <cell r="E241" t="str">
            <v>ADC024006</v>
          </cell>
          <cell r="F241">
            <v>44</v>
          </cell>
          <cell r="G241">
            <v>30</v>
          </cell>
          <cell r="H241" t="str">
            <v>JUSAAVEDRA@UTALCA.CL</v>
          </cell>
          <cell r="I241">
            <v>43466</v>
          </cell>
          <cell r="J241">
            <v>46387</v>
          </cell>
          <cell r="K241" t="str">
            <v>CONTRATA</v>
          </cell>
          <cell r="L241" t="str">
            <v>ADMINISTRATIVO</v>
          </cell>
          <cell r="M241" t="str">
            <v>ADMINISTRATIVO</v>
          </cell>
          <cell r="N241" t="str">
            <v>GRADO I.21</v>
          </cell>
          <cell r="O241" t="str">
            <v>ESCOLARIDAD CIENT HU</v>
          </cell>
          <cell r="P241" t="str">
            <v>LICENCIA ENSEÑANZA MEDIA</v>
          </cell>
          <cell r="Q241" t="str">
            <v>TALCA</v>
          </cell>
          <cell r="R241" t="str">
            <v>DRCCIÓN. GNAL. VINCULACIÓN CON EL MEDIO</v>
          </cell>
          <cell r="S241" t="str">
            <v>UND. JARDÍN BOTÁNICO Y ARBORETUM</v>
          </cell>
        </row>
        <row r="242">
          <cell r="A242">
            <v>10858524</v>
          </cell>
          <cell r="B242" t="str">
            <v>10858524</v>
          </cell>
          <cell r="C242" t="str">
            <v>2</v>
          </cell>
          <cell r="D242" t="str">
            <v>ACEVEDO OPAZO CESAR ANTONIO</v>
          </cell>
          <cell r="E242" t="str">
            <v>FCA320003</v>
          </cell>
          <cell r="F242">
            <v>44</v>
          </cell>
          <cell r="G242">
            <v>30</v>
          </cell>
          <cell r="H242" t="str">
            <v>CACEVEDO@UTALCA.CL</v>
          </cell>
          <cell r="I242">
            <v>36161</v>
          </cell>
          <cell r="J242">
            <v>2958465</v>
          </cell>
          <cell r="K242" t="str">
            <v>PLANTA</v>
          </cell>
          <cell r="L242" t="str">
            <v>CA ORDINARIA</v>
          </cell>
          <cell r="M242" t="str">
            <v>PROFESOR ASOCIADO</v>
          </cell>
          <cell r="N242" t="str">
            <v>GRADO B</v>
          </cell>
          <cell r="O242" t="str">
            <v>DOCTORADO</v>
          </cell>
          <cell r="P242" t="str">
            <v>DOCTOR EN CIENCIAS AGRARIAS</v>
          </cell>
          <cell r="Q242" t="str">
            <v>TALCA</v>
          </cell>
          <cell r="R242" t="str">
            <v>FACULTAD DE CIENCIAS AGRARIAS</v>
          </cell>
          <cell r="S242" t="str">
            <v>DEPARTAMENTO DE PRODUCCIÓN AGRÍCOLA</v>
          </cell>
        </row>
        <row r="243">
          <cell r="A243">
            <v>10858537</v>
          </cell>
          <cell r="B243" t="str">
            <v>10858537</v>
          </cell>
          <cell r="C243" t="str">
            <v>4</v>
          </cell>
          <cell r="D243" t="str">
            <v>ACEVEDO VASQUEZ PAOLA ERMELIND</v>
          </cell>
          <cell r="E243" t="str">
            <v>VRF400004</v>
          </cell>
          <cell r="F243">
            <v>44</v>
          </cell>
          <cell r="G243">
            <v>30</v>
          </cell>
          <cell r="H243" t="str">
            <v>PAOACEVEDO@UTALCA.CL</v>
          </cell>
          <cell r="I243">
            <v>41275</v>
          </cell>
          <cell r="J243">
            <v>2958465</v>
          </cell>
          <cell r="K243" t="str">
            <v>PLANTA</v>
          </cell>
          <cell r="L243" t="str">
            <v>ADMINISTRATIVO</v>
          </cell>
          <cell r="M243" t="str">
            <v>ADMINISTRATIVO</v>
          </cell>
          <cell r="N243" t="str">
            <v>GRADO I.17</v>
          </cell>
          <cell r="O243" t="str">
            <v>TÉC. NIVEL SUPERIOR</v>
          </cell>
          <cell r="P243" t="str">
            <v>TÉCNICO EN ADMINISTRACIÓN DE EMPRESAS C/M MAR</v>
          </cell>
          <cell r="Q243" t="str">
            <v>TALCA</v>
          </cell>
          <cell r="R243" t="str">
            <v>DIRECCIÓN DE PREGRADO</v>
          </cell>
          <cell r="S243" t="str">
            <v>PROGRAMA DE DEPORTES</v>
          </cell>
        </row>
        <row r="244">
          <cell r="A244">
            <v>10858734</v>
          </cell>
          <cell r="B244" t="str">
            <v>10858734</v>
          </cell>
          <cell r="C244" t="str">
            <v>2</v>
          </cell>
          <cell r="D244" t="str">
            <v>VEGA SANTANDER ALEJANDRO MARCO</v>
          </cell>
          <cell r="E244" t="str">
            <v>ICB300001</v>
          </cell>
          <cell r="F244">
            <v>44</v>
          </cell>
          <cell r="G244">
            <v>30</v>
          </cell>
          <cell r="H244" t="str">
            <v>AVEGA@UTALCA.CL</v>
          </cell>
          <cell r="I244">
            <v>42552</v>
          </cell>
          <cell r="J244">
            <v>46752</v>
          </cell>
          <cell r="K244" t="str">
            <v>CONTRATA</v>
          </cell>
          <cell r="L244" t="str">
            <v>CA DOCENTE</v>
          </cell>
          <cell r="M244" t="str">
            <v>INSTRUCTOR</v>
          </cell>
          <cell r="N244" t="str">
            <v>GRADO D</v>
          </cell>
          <cell r="O244" t="str">
            <v>MAGISTER</v>
          </cell>
          <cell r="P244" t="str">
            <v>MAGISTER PSICOBIOLOGIA Y NEUROCIENCIA COGNITI</v>
          </cell>
          <cell r="Q244" t="str">
            <v>TALCA</v>
          </cell>
          <cell r="R244" t="str">
            <v>INSTITUTO DE CIENCIAS BIOLÓGICAS</v>
          </cell>
          <cell r="S244" t="str">
            <v>INSTITUTO DE CIENCIAS BIOLÓGICAS</v>
          </cell>
        </row>
        <row r="245">
          <cell r="A245">
            <v>10861746</v>
          </cell>
          <cell r="B245" t="str">
            <v>10861746</v>
          </cell>
          <cell r="C245" t="str">
            <v>2</v>
          </cell>
          <cell r="D245" t="str">
            <v>NAVARRETE ALBORNOZ MARIA ADELA</v>
          </cell>
          <cell r="E245" t="str">
            <v/>
          </cell>
          <cell r="F245">
            <v>37</v>
          </cell>
          <cell r="G245">
            <v>30</v>
          </cell>
          <cell r="H245" t="str">
            <v>MNAVARRETE@UTALCA.CL</v>
          </cell>
          <cell r="I245">
            <v>44927</v>
          </cell>
          <cell r="J245">
            <v>46387</v>
          </cell>
          <cell r="K245" t="str">
            <v>CONTRATA</v>
          </cell>
          <cell r="L245" t="str">
            <v>AUXILIAR</v>
          </cell>
          <cell r="M245" t="str">
            <v>AUXILIAR</v>
          </cell>
          <cell r="N245" t="str">
            <v>GRADO I.24</v>
          </cell>
          <cell r="O245" t="str">
            <v>ESCOLARIDAD CIENT HU</v>
          </cell>
          <cell r="P245" t="str">
            <v>BÁSICA COMPLETA</v>
          </cell>
          <cell r="Q245" t="str">
            <v>TALCA</v>
          </cell>
          <cell r="R245" t="str">
            <v>FACULTAD DE CIENCIAS AGRARIAS</v>
          </cell>
          <cell r="S245" t="str">
            <v>CENTRO TECNOLÓGICO DE SUELOS Y CULTIVOS</v>
          </cell>
        </row>
        <row r="246">
          <cell r="A246">
            <v>10868002</v>
          </cell>
          <cell r="B246" t="str">
            <v>10868002</v>
          </cell>
          <cell r="C246" t="str">
            <v>4</v>
          </cell>
          <cell r="D246" t="str">
            <v>SEPULVEDA YEVENES CECILIA ALEJ</v>
          </cell>
          <cell r="E246" t="str">
            <v>ICB300001</v>
          </cell>
          <cell r="F246">
            <v>44</v>
          </cell>
          <cell r="G246">
            <v>30</v>
          </cell>
          <cell r="H246" t="str">
            <v>CSEPULVE@UTALCA.CL</v>
          </cell>
          <cell r="I246">
            <v>35864</v>
          </cell>
          <cell r="J246">
            <v>2958465</v>
          </cell>
          <cell r="K246" t="str">
            <v>PLANTA</v>
          </cell>
          <cell r="L246" t="str">
            <v>ADMINISTRATIVO</v>
          </cell>
          <cell r="M246" t="str">
            <v>ADMINISTRATIVO</v>
          </cell>
          <cell r="N246" t="str">
            <v>GRADO I.20</v>
          </cell>
          <cell r="O246" t="str">
            <v>TÉC. NIVEL SUPERIOR</v>
          </cell>
          <cell r="P246" t="str">
            <v>SECRETARIA EJECUTIVO COMPUTACIONAL</v>
          </cell>
          <cell r="Q246" t="str">
            <v>TALCA</v>
          </cell>
          <cell r="R246" t="str">
            <v>INSTITUTO DE CIENCIAS BIOLÓGICAS</v>
          </cell>
          <cell r="S246" t="str">
            <v>INSTITUTO DE CIENCIAS BIOLÓGICAS</v>
          </cell>
        </row>
        <row r="247">
          <cell r="A247">
            <v>10885251</v>
          </cell>
          <cell r="B247" t="str">
            <v>10885251</v>
          </cell>
          <cell r="C247" t="str">
            <v>8</v>
          </cell>
          <cell r="D247" t="str">
            <v>DEL CAMPO HITSCHFELD MARIA LUI</v>
          </cell>
          <cell r="E247" t="str">
            <v>FCI320005</v>
          </cell>
          <cell r="F247">
            <v>44</v>
          </cell>
          <cell r="G247">
            <v>30</v>
          </cell>
          <cell r="H247" t="str">
            <v>MDELCAMPO@UTALCA.CL</v>
          </cell>
          <cell r="I247">
            <v>39023</v>
          </cell>
          <cell r="J247">
            <v>2958465</v>
          </cell>
          <cell r="K247" t="str">
            <v>PLANTA</v>
          </cell>
          <cell r="L247" t="str">
            <v>CA DE LA PROFESIÓN</v>
          </cell>
          <cell r="M247" t="str">
            <v>PROFESOR ASOCIADO</v>
          </cell>
          <cell r="N247" t="str">
            <v>GRADO B</v>
          </cell>
          <cell r="O247" t="str">
            <v>MAGISTER</v>
          </cell>
          <cell r="P247" t="str">
            <v>MASTER OF SCIENCE</v>
          </cell>
          <cell r="Q247" t="str">
            <v>CURICO</v>
          </cell>
          <cell r="R247" t="str">
            <v>FACULTAD DE INGENIERÍA</v>
          </cell>
          <cell r="S247" t="str">
            <v>DPTO. ING. Y GESTIÓN DE LA CONSTRUCCIÓN</v>
          </cell>
        </row>
        <row r="248">
          <cell r="A248">
            <v>10902914</v>
          </cell>
          <cell r="B248" t="str">
            <v>10902914</v>
          </cell>
          <cell r="C248" t="str">
            <v>9</v>
          </cell>
          <cell r="D248" t="str">
            <v>FUENTES DIAZ OMAR FERNANDO</v>
          </cell>
          <cell r="E248" t="str">
            <v>FCS320012</v>
          </cell>
          <cell r="F248">
            <v>44</v>
          </cell>
          <cell r="G248">
            <v>30</v>
          </cell>
          <cell r="H248" t="str">
            <v>OMFUENTES@UTALCA.CL</v>
          </cell>
          <cell r="I248">
            <v>41701</v>
          </cell>
          <cell r="J248">
            <v>46446</v>
          </cell>
          <cell r="K248" t="str">
            <v>CONTRATA</v>
          </cell>
          <cell r="L248" t="str">
            <v>CA DOCENTE</v>
          </cell>
          <cell r="M248" t="str">
            <v>PROFESOR ASISTENTE</v>
          </cell>
          <cell r="N248" t="str">
            <v>GRADO C</v>
          </cell>
          <cell r="O248" t="str">
            <v>MAGISTER</v>
          </cell>
          <cell r="P248" t="str">
            <v>MAGÍSTER EN EDUCACIÓN EN SALUD Y BIENESTAR HU</v>
          </cell>
          <cell r="Q248" t="str">
            <v>TALCA</v>
          </cell>
          <cell r="R248" t="str">
            <v>FACULTAD DE CIENCIAS DE LA SALUD</v>
          </cell>
          <cell r="S248" t="str">
            <v>DEPTO. CIENCIAS DEL CUIDADO EN ENFERM.</v>
          </cell>
        </row>
        <row r="249">
          <cell r="A249">
            <v>10913451</v>
          </cell>
          <cell r="B249" t="str">
            <v>10913451</v>
          </cell>
          <cell r="C249" t="str">
            <v>1</v>
          </cell>
          <cell r="D249" t="str">
            <v>BROWN VEGA NELSON ENRIQUE</v>
          </cell>
          <cell r="E249" t="str">
            <v>FAM320001</v>
          </cell>
          <cell r="F249">
            <v>44</v>
          </cell>
          <cell r="G249">
            <v>30</v>
          </cell>
          <cell r="H249" t="str">
            <v>NBROWN@UTALCA.CL</v>
          </cell>
          <cell r="I249">
            <v>41144</v>
          </cell>
          <cell r="J249">
            <v>2958465</v>
          </cell>
          <cell r="K249" t="str">
            <v>PLANTA</v>
          </cell>
          <cell r="L249" t="str">
            <v>CA ORDINARIA</v>
          </cell>
          <cell r="M249" t="str">
            <v>PROFESOR ASOCIADO</v>
          </cell>
          <cell r="N249" t="str">
            <v>GRADO B</v>
          </cell>
          <cell r="O249" t="str">
            <v>DOCTORADO</v>
          </cell>
          <cell r="P249" t="str">
            <v>DOCTORIS MEDICINAE</v>
          </cell>
          <cell r="Q249" t="str">
            <v>TALCA</v>
          </cell>
          <cell r="R249" t="str">
            <v>FACULTAD DE MEDICINA</v>
          </cell>
          <cell r="S249" t="str">
            <v>DEPARTAMENTO DE CIENCIAS PRECLÍNICAS</v>
          </cell>
        </row>
        <row r="250">
          <cell r="A250">
            <v>10918864</v>
          </cell>
          <cell r="B250" t="str">
            <v>10918864</v>
          </cell>
          <cell r="C250" t="str">
            <v>6</v>
          </cell>
          <cell r="D250" t="str">
            <v>ORTIZ ESPINOZA PAOLA CECILIA</v>
          </cell>
          <cell r="E250" t="str">
            <v>VGE400021</v>
          </cell>
          <cell r="F250">
            <v>44</v>
          </cell>
          <cell r="G250">
            <v>30</v>
          </cell>
          <cell r="H250" t="str">
            <v>PAORTIZ@UTALCA.CL</v>
          </cell>
          <cell r="I250">
            <v>43656</v>
          </cell>
          <cell r="J250">
            <v>46387</v>
          </cell>
          <cell r="K250" t="str">
            <v>CONTRATA</v>
          </cell>
          <cell r="L250" t="str">
            <v>PROFESIONAL</v>
          </cell>
          <cell r="M250" t="str">
            <v>PROFESIONAL</v>
          </cell>
          <cell r="N250" t="str">
            <v>GRADO I.17</v>
          </cell>
          <cell r="O250" t="str">
            <v>MAGISTER</v>
          </cell>
          <cell r="P250" t="str">
            <v>MAGÍSTER EN ADMINISTRACIÓN DE EMPRESAS</v>
          </cell>
          <cell r="Q250" t="str">
            <v>TALCA</v>
          </cell>
          <cell r="R250" t="str">
            <v>VIC. GESTIÓN ECONÓMICA Y ADMINISTRACIÓN</v>
          </cell>
          <cell r="S250" t="str">
            <v>DEPARTAMENTO DE PRESUPUESTO</v>
          </cell>
        </row>
        <row r="251">
          <cell r="A251">
            <v>10928155</v>
          </cell>
          <cell r="B251" t="str">
            <v>10928155</v>
          </cell>
          <cell r="C251" t="str">
            <v>7</v>
          </cell>
          <cell r="D251" t="str">
            <v>VERDUGO ALEGRIA CLAUDIO SEBAST</v>
          </cell>
          <cell r="E251" t="str">
            <v/>
          </cell>
          <cell r="F251">
            <v>44</v>
          </cell>
          <cell r="G251">
            <v>30</v>
          </cell>
          <cell r="H251" t="str">
            <v>CVERDUGO@UTALCA.CL</v>
          </cell>
          <cell r="I251">
            <v>36892</v>
          </cell>
          <cell r="J251">
            <v>46387</v>
          </cell>
          <cell r="K251" t="str">
            <v>CONTRATA</v>
          </cell>
          <cell r="L251" t="str">
            <v>TÉCNICO</v>
          </cell>
          <cell r="M251" t="str">
            <v>PROFESIONAL</v>
          </cell>
          <cell r="N251" t="str">
            <v>GRADO I.17</v>
          </cell>
          <cell r="O251" t="str">
            <v>TÉC. NIVEL SUPERIOR</v>
          </cell>
          <cell r="P251" t="str">
            <v>TÉCNICO AGRÍCOLA</v>
          </cell>
          <cell r="Q251" t="str">
            <v>TALCA</v>
          </cell>
          <cell r="R251" t="str">
            <v>FACULTAD DE CIENCIAS AGRARIAS</v>
          </cell>
          <cell r="S251" t="str">
            <v>CENTRO TECNOLÓGICO DE LA VID Y EL VINO</v>
          </cell>
        </row>
        <row r="252">
          <cell r="A252">
            <v>10928226</v>
          </cell>
          <cell r="B252" t="str">
            <v>10928226</v>
          </cell>
          <cell r="C252" t="str">
            <v>K</v>
          </cell>
          <cell r="D252" t="str">
            <v>ROJAS ALBORNOZ RENE IGNACIO</v>
          </cell>
          <cell r="E252" t="str">
            <v>VGE400051</v>
          </cell>
          <cell r="F252">
            <v>44</v>
          </cell>
          <cell r="G252">
            <v>30</v>
          </cell>
          <cell r="H252" t="str">
            <v>RROJAS@UTALCA.CL</v>
          </cell>
          <cell r="I252">
            <v>36220</v>
          </cell>
          <cell r="J252">
            <v>2958465</v>
          </cell>
          <cell r="K252" t="str">
            <v>PLANTA</v>
          </cell>
          <cell r="L252" t="str">
            <v>ADMINISTRATIVO</v>
          </cell>
          <cell r="M252" t="str">
            <v>TÉCNICO</v>
          </cell>
          <cell r="N252" t="str">
            <v>GRADO I.23</v>
          </cell>
          <cell r="O252" t="str">
            <v>TÍTULO PROFESIONAL</v>
          </cell>
          <cell r="P252" t="str">
            <v>CONSTRUCTOR CIVIL</v>
          </cell>
          <cell r="Q252" t="str">
            <v>TALCA</v>
          </cell>
          <cell r="R252" t="str">
            <v>VIC. GESTIÓN ECONÓMICA Y ADMINISTRACIÓN</v>
          </cell>
          <cell r="S252" t="str">
            <v>UNIDAD DE MANTENIMIENTO</v>
          </cell>
        </row>
        <row r="253">
          <cell r="A253">
            <v>10947882</v>
          </cell>
          <cell r="B253" t="str">
            <v>10947882</v>
          </cell>
          <cell r="C253" t="str">
            <v>2</v>
          </cell>
          <cell r="D253" t="str">
            <v>POBLETE GUERRERO PAOLA ALEJAND</v>
          </cell>
          <cell r="E253" t="str">
            <v>VAC400100</v>
          </cell>
          <cell r="F253">
            <v>44</v>
          </cell>
          <cell r="G253">
            <v>30</v>
          </cell>
          <cell r="H253" t="str">
            <v>PAOLAPOBLETE@UTALCA.CL</v>
          </cell>
          <cell r="I253">
            <v>43466</v>
          </cell>
          <cell r="J253">
            <v>46387</v>
          </cell>
          <cell r="K253" t="str">
            <v>CONTRATA</v>
          </cell>
          <cell r="L253" t="str">
            <v>PROFESIONAL</v>
          </cell>
          <cell r="M253" t="str">
            <v>PROFESIONAL</v>
          </cell>
          <cell r="N253" t="str">
            <v>GRADO I.17</v>
          </cell>
          <cell r="O253" t="str">
            <v>MAGISTER</v>
          </cell>
          <cell r="P253" t="str">
            <v>MAGISTER EN ADMINISTRACION DE EMPRESAS</v>
          </cell>
          <cell r="Q253" t="str">
            <v>TALCA</v>
          </cell>
          <cell r="R253" t="str">
            <v>VICERRECTORÍA ACADÉMICA</v>
          </cell>
          <cell r="S253" t="str">
            <v>DIRECCIÓN DE CREACIÓN</v>
          </cell>
        </row>
        <row r="254">
          <cell r="A254">
            <v>10959102</v>
          </cell>
          <cell r="B254" t="str">
            <v>10959102</v>
          </cell>
          <cell r="C254" t="str">
            <v>5</v>
          </cell>
          <cell r="D254" t="str">
            <v>MARTINEZ GARCIA GONZALO JAVIER</v>
          </cell>
          <cell r="E254" t="str">
            <v>FAD320004</v>
          </cell>
          <cell r="F254">
            <v>44</v>
          </cell>
          <cell r="G254">
            <v>30</v>
          </cell>
          <cell r="H254" t="str">
            <v>GMARTINEZ@UTALCA.CL</v>
          </cell>
          <cell r="I254">
            <v>39142</v>
          </cell>
          <cell r="J254">
            <v>2958465</v>
          </cell>
          <cell r="K254" t="str">
            <v>PLANTA</v>
          </cell>
          <cell r="L254" t="str">
            <v>CA ORDINARIA</v>
          </cell>
          <cell r="M254" t="str">
            <v>PROFESOR ASOCIADO</v>
          </cell>
          <cell r="N254" t="str">
            <v>GRADO B</v>
          </cell>
          <cell r="O254" t="str">
            <v>DOCTORADO</v>
          </cell>
          <cell r="P254" t="str">
            <v>DOCTOR EN MÙSICA</v>
          </cell>
          <cell r="Q254" t="str">
            <v>TALCA</v>
          </cell>
          <cell r="R254" t="str">
            <v>FACULTAD DE ARQUITECTUR, MÚSICA Y DISEÑO</v>
          </cell>
          <cell r="S254" t="str">
            <v>DEPARTAMENTO DE TEORÍA MUSICAL</v>
          </cell>
        </row>
        <row r="255">
          <cell r="A255">
            <v>10960782</v>
          </cell>
          <cell r="B255" t="str">
            <v>10960782</v>
          </cell>
          <cell r="C255" t="str">
            <v>7</v>
          </cell>
          <cell r="D255" t="str">
            <v>LOPEZ LASTRA LEOPOLDO PATRICIO</v>
          </cell>
          <cell r="E255" t="str">
            <v>FEN310002</v>
          </cell>
          <cell r="F255">
            <v>44</v>
          </cell>
          <cell r="G255">
            <v>30</v>
          </cell>
          <cell r="H255" t="str">
            <v>LLOPEZ@UTALCA.CL</v>
          </cell>
          <cell r="I255">
            <v>40616</v>
          </cell>
          <cell r="J255">
            <v>46446</v>
          </cell>
          <cell r="K255" t="str">
            <v>CONTRATA</v>
          </cell>
          <cell r="L255" t="str">
            <v>CA DOCENTE</v>
          </cell>
          <cell r="M255" t="str">
            <v>PROFESOR ASISTENTE</v>
          </cell>
          <cell r="N255" t="str">
            <v>GRADO C</v>
          </cell>
          <cell r="O255" t="str">
            <v>MAGISTER</v>
          </cell>
          <cell r="P255" t="str">
            <v>MASTERS OF BUSINNESS ADMINISTRATION</v>
          </cell>
          <cell r="Q255" t="str">
            <v>TALCA</v>
          </cell>
          <cell r="R255" t="str">
            <v>FACULTAD DE ECONOMÍA Y NEGOCIOS</v>
          </cell>
          <cell r="S255" t="str">
            <v>ESC. DE ING. INFORMÁTICA EMPRESARIAL</v>
          </cell>
        </row>
        <row r="256">
          <cell r="A256">
            <v>10974718</v>
          </cell>
          <cell r="B256" t="str">
            <v>10974718</v>
          </cell>
          <cell r="C256" t="str">
            <v>1</v>
          </cell>
          <cell r="D256" t="str">
            <v>CASTRO CORNEJO PATRICIA DEL RO</v>
          </cell>
          <cell r="E256" t="str">
            <v>FCS310004</v>
          </cell>
          <cell r="F256">
            <v>44</v>
          </cell>
          <cell r="G256">
            <v>30</v>
          </cell>
          <cell r="H256" t="str">
            <v>PCASTRO@UTALCA.CL</v>
          </cell>
          <cell r="I256">
            <v>42095</v>
          </cell>
          <cell r="J256">
            <v>2958465</v>
          </cell>
          <cell r="K256" t="str">
            <v>PLANTA</v>
          </cell>
          <cell r="L256" t="str">
            <v>ADMINISTRATIVO</v>
          </cell>
          <cell r="M256" t="str">
            <v>ADMINISTRATIVO</v>
          </cell>
          <cell r="N256" t="str">
            <v>GRADO I.17</v>
          </cell>
          <cell r="O256" t="str">
            <v>TÉC. NIVEL SUPERIOR</v>
          </cell>
          <cell r="P256" t="str">
            <v>SECRETARIA EJECUTIVA MENCIÓN INGLÉS</v>
          </cell>
          <cell r="Q256" t="str">
            <v>TALCA</v>
          </cell>
          <cell r="R256" t="str">
            <v>FACULTAD DE CIENCIAS DE LA SALUD</v>
          </cell>
          <cell r="S256" t="str">
            <v>ESCUELA DE FONOAUDIOLOGÍA</v>
          </cell>
        </row>
        <row r="257">
          <cell r="A257">
            <v>10983456</v>
          </cell>
          <cell r="B257" t="str">
            <v>10983456</v>
          </cell>
          <cell r="C257" t="str">
            <v>4</v>
          </cell>
          <cell r="D257" t="str">
            <v>KREITHER OLIVARES JOHANNA MARG</v>
          </cell>
          <cell r="E257" t="str">
            <v>FPS200001</v>
          </cell>
          <cell r="F257">
            <v>44</v>
          </cell>
          <cell r="G257">
            <v>30</v>
          </cell>
          <cell r="H257" t="str">
            <v>JKREITHER@UTALCA.CL</v>
          </cell>
          <cell r="I257">
            <v>43191</v>
          </cell>
          <cell r="J257">
            <v>2958465</v>
          </cell>
          <cell r="K257" t="str">
            <v>PLANTA</v>
          </cell>
          <cell r="L257" t="str">
            <v>CA ORDINARIA</v>
          </cell>
          <cell r="M257" t="str">
            <v>PROFESOR ASOCIADO</v>
          </cell>
          <cell r="N257" t="str">
            <v>GRADO B</v>
          </cell>
          <cell r="O257" t="str">
            <v>DOCTORADO</v>
          </cell>
          <cell r="P257" t="str">
            <v>DOCTOR EN PSICOLOGÍA</v>
          </cell>
          <cell r="Q257" t="str">
            <v>TALCA</v>
          </cell>
          <cell r="R257" t="str">
            <v>FACULTAD DE PSICOLOGÍA</v>
          </cell>
          <cell r="S257" t="str">
            <v>FACULTAD DE PSICOLOGÍA</v>
          </cell>
        </row>
        <row r="258">
          <cell r="A258">
            <v>10993378</v>
          </cell>
          <cell r="B258" t="str">
            <v>10993378</v>
          </cell>
          <cell r="C258" t="str">
            <v>3</v>
          </cell>
          <cell r="D258" t="str">
            <v>ALARCON LOZANO MARCELO ALEJAND</v>
          </cell>
          <cell r="E258" t="str">
            <v>FCS320001</v>
          </cell>
          <cell r="F258">
            <v>44</v>
          </cell>
          <cell r="G258">
            <v>30</v>
          </cell>
          <cell r="H258" t="str">
            <v>MALARCON@UTALCA.CL</v>
          </cell>
          <cell r="I258">
            <v>35431</v>
          </cell>
          <cell r="J258">
            <v>2958465</v>
          </cell>
          <cell r="K258" t="str">
            <v>PLANTA</v>
          </cell>
          <cell r="L258" t="str">
            <v>CA ORDINARIA</v>
          </cell>
          <cell r="M258" t="str">
            <v>PROFESOR ASISTENTE</v>
          </cell>
          <cell r="N258" t="str">
            <v>GRADO C</v>
          </cell>
          <cell r="O258" t="str">
            <v>DOCTORADO</v>
          </cell>
          <cell r="P258" t="str">
            <v>DOCTOR EN CIENCIAS BIOLÓGICAS AREA BIOLOGÍA C</v>
          </cell>
          <cell r="Q258" t="str">
            <v>TALCA</v>
          </cell>
          <cell r="R258" t="str">
            <v>FACULTAD DE CIENCIAS DE LA SALUD</v>
          </cell>
          <cell r="S258" t="str">
            <v>DPTO. BIOQUÍM. CLÍN. E INMUNOHEMATOLOGÍA</v>
          </cell>
        </row>
        <row r="259">
          <cell r="A259">
            <v>10994838</v>
          </cell>
          <cell r="B259" t="str">
            <v>10994838</v>
          </cell>
          <cell r="C259" t="str">
            <v>1</v>
          </cell>
          <cell r="D259" t="str">
            <v>ZEPEDA RAMIREZ MARION FABIOLA</v>
          </cell>
          <cell r="E259" t="str">
            <v>VRF400008</v>
          </cell>
          <cell r="F259">
            <v>44</v>
          </cell>
          <cell r="G259">
            <v>30</v>
          </cell>
          <cell r="H259" t="str">
            <v>MARION.ZEPEDA@UTALCA.CL</v>
          </cell>
          <cell r="I259">
            <v>44378</v>
          </cell>
          <cell r="J259">
            <v>2958465</v>
          </cell>
          <cell r="K259" t="str">
            <v>PLANTA</v>
          </cell>
          <cell r="L259" t="str">
            <v>DIR EXCLU. CONFIANZA</v>
          </cell>
          <cell r="M259" t="str">
            <v>DIR EXCLU. CONFIANZA</v>
          </cell>
          <cell r="N259" t="str">
            <v>GRADO I.6</v>
          </cell>
          <cell r="O259" t="str">
            <v>MAGISTER</v>
          </cell>
          <cell r="P259" t="str">
            <v>MAGISTER EN DOCENCIA PARA LA EDUCACION SUPERI</v>
          </cell>
          <cell r="Q259" t="str">
            <v>TALCA</v>
          </cell>
          <cell r="R259" t="str">
            <v>DIRECCIÓN DE PREGRADO</v>
          </cell>
          <cell r="S259" t="str">
            <v>PROGRAMA DE IDIOMAS</v>
          </cell>
        </row>
        <row r="260">
          <cell r="A260">
            <v>10995548</v>
          </cell>
          <cell r="B260" t="str">
            <v>10995548</v>
          </cell>
          <cell r="C260" t="str">
            <v>5</v>
          </cell>
          <cell r="D260" t="str">
            <v>FERREIRA CAMPOS ROBERTO ANDRES</v>
          </cell>
          <cell r="E260" t="str">
            <v>FED310002</v>
          </cell>
          <cell r="F260">
            <v>44</v>
          </cell>
          <cell r="G260">
            <v>30</v>
          </cell>
          <cell r="H260" t="str">
            <v>ROBERTO.FERREIRA@UTALCA.CL</v>
          </cell>
          <cell r="I260">
            <v>45139</v>
          </cell>
          <cell r="J260">
            <v>46176</v>
          </cell>
          <cell r="K260" t="str">
            <v>PLANTA</v>
          </cell>
          <cell r="L260" t="str">
            <v>CA ORDINARIA</v>
          </cell>
          <cell r="M260" t="str">
            <v>PROFESOR ASOCIADO</v>
          </cell>
          <cell r="N260" t="str">
            <v>GRADO B</v>
          </cell>
          <cell r="O260" t="str">
            <v>DOCTORADO</v>
          </cell>
          <cell r="P260" t="str">
            <v>DOCTOR OF PHILOSOPHY IN PSYCHOLOGY</v>
          </cell>
          <cell r="Q260" t="str">
            <v>LINARES</v>
          </cell>
          <cell r="R260" t="str">
            <v>FACULTAD DE CIENCIAS DE LA EDUCACIÓN</v>
          </cell>
          <cell r="S260" t="str">
            <v>ESCUELA DE PEDAGOGÍA EN INGLÉS</v>
          </cell>
        </row>
        <row r="261">
          <cell r="A261">
            <v>10997450</v>
          </cell>
          <cell r="B261" t="str">
            <v>10997450</v>
          </cell>
          <cell r="C261" t="str">
            <v>1</v>
          </cell>
          <cell r="D261" t="str">
            <v>ACUÑA SAN MARTIN MARCELA YANET</v>
          </cell>
          <cell r="E261" t="str">
            <v>FCJ320002</v>
          </cell>
          <cell r="F261">
            <v>44</v>
          </cell>
          <cell r="G261">
            <v>30</v>
          </cell>
          <cell r="H261" t="str">
            <v>ACUNASM@UTALCA.CL</v>
          </cell>
          <cell r="I261">
            <v>36586</v>
          </cell>
          <cell r="J261">
            <v>46446</v>
          </cell>
          <cell r="K261" t="str">
            <v>CONTRATA</v>
          </cell>
          <cell r="L261" t="str">
            <v>CA DOCENTE</v>
          </cell>
          <cell r="M261" t="str">
            <v>PROFESOR ASOCIADO</v>
          </cell>
          <cell r="N261" t="str">
            <v>GRADO B</v>
          </cell>
          <cell r="O261" t="str">
            <v>DOCTORADO</v>
          </cell>
          <cell r="P261" t="str">
            <v>DOCTOR EN DERECHO</v>
          </cell>
          <cell r="Q261" t="str">
            <v>TALCA</v>
          </cell>
          <cell r="R261" t="str">
            <v>FACULTAD CIENCIAS JURÍDICAS Y SOCIALES</v>
          </cell>
          <cell r="S261" t="str">
            <v>DPTO. DERECHO PRIVADO Y CNCIAS. DERECHO</v>
          </cell>
        </row>
        <row r="262">
          <cell r="A262">
            <v>11032140</v>
          </cell>
          <cell r="B262" t="str">
            <v>11032140</v>
          </cell>
          <cell r="C262" t="str">
            <v>6</v>
          </cell>
          <cell r="D262" t="str">
            <v>DAVIS TOLEDO GISELLE ANDREA</v>
          </cell>
          <cell r="E262" t="str">
            <v>FCS320003</v>
          </cell>
          <cell r="F262">
            <v>44</v>
          </cell>
          <cell r="G262">
            <v>30</v>
          </cell>
          <cell r="H262" t="str">
            <v>GDAVIS@UTALCA.CL</v>
          </cell>
          <cell r="I262">
            <v>39888</v>
          </cell>
          <cell r="J262">
            <v>46446</v>
          </cell>
          <cell r="K262" t="str">
            <v>CONTRATA</v>
          </cell>
          <cell r="L262" t="str">
            <v>CA DOCENTE</v>
          </cell>
          <cell r="M262" t="str">
            <v>PROFESOR ASISTENTE</v>
          </cell>
          <cell r="N262" t="str">
            <v>GRADO C</v>
          </cell>
          <cell r="O262" t="str">
            <v>DOCTORADO</v>
          </cell>
          <cell r="P262" t="str">
            <v>PHILOSOPHIAE DOCTOR (PH.D) SCIENCES HUMAINES</v>
          </cell>
          <cell r="Q262" t="str">
            <v>TALCA</v>
          </cell>
          <cell r="R262" t="str">
            <v>FACULTAD DE CIENCIAS DE LA SALUD</v>
          </cell>
          <cell r="S262" t="str">
            <v>DEPARTAMENTO DE SALUD PÚBLICA</v>
          </cell>
        </row>
        <row r="263">
          <cell r="A263">
            <v>11072025</v>
          </cell>
          <cell r="B263" t="str">
            <v>11072025</v>
          </cell>
          <cell r="C263" t="str">
            <v>4</v>
          </cell>
          <cell r="D263" t="str">
            <v>RODRIGUEZ RODRIGUEZ MARGARITA</v>
          </cell>
          <cell r="E263" t="str">
            <v>VAC400001</v>
          </cell>
          <cell r="F263">
            <v>44</v>
          </cell>
          <cell r="G263">
            <v>30</v>
          </cell>
          <cell r="H263" t="str">
            <v>MRODRIG@UTALCA.CL</v>
          </cell>
          <cell r="I263">
            <v>34151</v>
          </cell>
          <cell r="J263">
            <v>2958465</v>
          </cell>
          <cell r="K263" t="str">
            <v>PLANTA</v>
          </cell>
          <cell r="L263" t="str">
            <v>ADMINISTRATIVO</v>
          </cell>
          <cell r="M263" t="str">
            <v>ADMINISTRATIVO</v>
          </cell>
          <cell r="N263" t="str">
            <v>GRADO I.15</v>
          </cell>
          <cell r="O263" t="str">
            <v>TÉC. NIVEL SUPERIOR</v>
          </cell>
          <cell r="P263" t="str">
            <v>SECRETARIA EJECUTIVA COMPUTACIONAL</v>
          </cell>
          <cell r="Q263" t="str">
            <v>TALCA</v>
          </cell>
          <cell r="R263" t="str">
            <v>VICERRECTORÍA ACADÉMICA</v>
          </cell>
          <cell r="S263" t="str">
            <v>DIRECCIÓN DE BIBLIOTECAS</v>
          </cell>
        </row>
        <row r="264">
          <cell r="A264">
            <v>11130062</v>
          </cell>
          <cell r="B264" t="str">
            <v>11130062</v>
          </cell>
          <cell r="C264" t="str">
            <v>3</v>
          </cell>
          <cell r="D264" t="str">
            <v>NOVOA FLORES ULISES FROMENTINO</v>
          </cell>
          <cell r="E264" t="str">
            <v>FCS320007</v>
          </cell>
          <cell r="F264">
            <v>44</v>
          </cell>
          <cell r="G264">
            <v>30</v>
          </cell>
          <cell r="H264" t="str">
            <v>UNOVOA@UTALCA.CL</v>
          </cell>
          <cell r="I264">
            <v>41218</v>
          </cell>
          <cell r="J264">
            <v>46446</v>
          </cell>
          <cell r="K264" t="str">
            <v>CONTRATA</v>
          </cell>
          <cell r="L264" t="str">
            <v>CA DOCENTE</v>
          </cell>
          <cell r="M264" t="str">
            <v>INSTRUCTOR</v>
          </cell>
          <cell r="N264" t="str">
            <v>GRADO D</v>
          </cell>
          <cell r="O264" t="str">
            <v>DOCTORADO</v>
          </cell>
          <cell r="P264" t="str">
            <v>DOCTOR EN CIENCIAS BIOLÓGICAS CON MENCIÓN EN</v>
          </cell>
          <cell r="Q264" t="str">
            <v>TALCA</v>
          </cell>
          <cell r="R264" t="str">
            <v>FACULTAD DE CIENCIAS DE LA SALUD</v>
          </cell>
          <cell r="S264" t="str">
            <v>DPTO. DE CIENCIAS BÁSICAS BIOMÉDICAS</v>
          </cell>
        </row>
        <row r="265">
          <cell r="A265">
            <v>11232593</v>
          </cell>
          <cell r="B265" t="str">
            <v>11232593</v>
          </cell>
          <cell r="C265" t="str">
            <v>K</v>
          </cell>
          <cell r="D265" t="str">
            <v>SOTO PONCE JUDITH VERONICA</v>
          </cell>
          <cell r="E265" t="str">
            <v>ADC022001</v>
          </cell>
          <cell r="F265">
            <v>44</v>
          </cell>
          <cell r="G265">
            <v>30</v>
          </cell>
          <cell r="H265" t="str">
            <v>JUSOTO@UTALCA.CL</v>
          </cell>
          <cell r="I265">
            <v>42522</v>
          </cell>
          <cell r="J265">
            <v>46387</v>
          </cell>
          <cell r="K265" t="str">
            <v>CONTRATA</v>
          </cell>
          <cell r="L265" t="str">
            <v>ADMINISTRATIVO</v>
          </cell>
          <cell r="M265" t="str">
            <v>ADMINISTRATIVO</v>
          </cell>
          <cell r="N265" t="str">
            <v>GRADO I.21</v>
          </cell>
          <cell r="O265" t="str">
            <v>TÉC. NIVEL MEDIO</v>
          </cell>
          <cell r="P265" t="str">
            <v>SECRETARIA ADMINISTRATIVA</v>
          </cell>
          <cell r="Q265" t="str">
            <v>TALCA</v>
          </cell>
          <cell r="R265" t="str">
            <v>DIRECCIÓN DE EXTENSIÓN</v>
          </cell>
          <cell r="S265" t="str">
            <v>DIRECCIÓN DE EXTENSIÓN</v>
          </cell>
        </row>
        <row r="266">
          <cell r="A266">
            <v>11285064</v>
          </cell>
          <cell r="B266" t="str">
            <v>11285064</v>
          </cell>
          <cell r="C266" t="str">
            <v>3</v>
          </cell>
          <cell r="D266" t="str">
            <v>BESOAIN SALAS FLORIAN SEGUNDO</v>
          </cell>
          <cell r="E266" t="str">
            <v>VGE400012</v>
          </cell>
          <cell r="F266">
            <v>44</v>
          </cell>
          <cell r="G266">
            <v>30</v>
          </cell>
          <cell r="H266" t="str">
            <v>FLBESOAIN@UTALCA.CL</v>
          </cell>
          <cell r="I266">
            <v>40544</v>
          </cell>
          <cell r="J266">
            <v>46387</v>
          </cell>
          <cell r="K266" t="str">
            <v>CONTRATA</v>
          </cell>
          <cell r="L266" t="str">
            <v>AUXILIAR</v>
          </cell>
          <cell r="M266" t="str">
            <v>AUXILIAR</v>
          </cell>
          <cell r="N266" t="str">
            <v>GRADO I.24</v>
          </cell>
          <cell r="O266" t="str">
            <v>ESCOLARIDAD CIENT HU</v>
          </cell>
          <cell r="P266" t="str">
            <v>LICENCIA ENSEÑANZA MEDIA</v>
          </cell>
          <cell r="Q266" t="str">
            <v>TALCA</v>
          </cell>
          <cell r="R266" t="str">
            <v>VIC. GESTIÓN ECONÓMICA Y ADMINISTRACIÓN</v>
          </cell>
          <cell r="S266" t="str">
            <v>VIC. GESTIÓN ECONÓMICA Y ADMINISTRACIÓN</v>
          </cell>
        </row>
        <row r="267">
          <cell r="A267">
            <v>11288477</v>
          </cell>
          <cell r="B267" t="str">
            <v>11288477</v>
          </cell>
          <cell r="C267" t="str">
            <v>7</v>
          </cell>
          <cell r="D267" t="str">
            <v>ALVEAR VEGA SANDRA JACQUELINNE</v>
          </cell>
          <cell r="E267" t="str">
            <v>FEN310004</v>
          </cell>
          <cell r="F267">
            <v>44</v>
          </cell>
          <cell r="G267">
            <v>30</v>
          </cell>
          <cell r="H267" t="str">
            <v>SALVEAR@UTALCA.CL</v>
          </cell>
          <cell r="I267">
            <v>37104</v>
          </cell>
          <cell r="J267">
            <v>2958465</v>
          </cell>
          <cell r="K267" t="str">
            <v>PLANTA</v>
          </cell>
          <cell r="L267" t="str">
            <v>CA ORDINARIA</v>
          </cell>
          <cell r="M267" t="str">
            <v>PROFESOR ASOCIADO</v>
          </cell>
          <cell r="N267" t="str">
            <v>GRADO B</v>
          </cell>
          <cell r="O267" t="str">
            <v>DOCTORADO</v>
          </cell>
          <cell r="P267" t="str">
            <v>DOCTORADO EN SCIENCES DD L´EDUCATION</v>
          </cell>
          <cell r="Q267" t="str">
            <v>TALCA</v>
          </cell>
          <cell r="R267" t="str">
            <v>FACULTAD DE ECONOMÍA Y NEGOCIOS</v>
          </cell>
          <cell r="S267" t="str">
            <v>ESC. AUDITORIA Y CONTROL DE GESTIÓN TLCA</v>
          </cell>
        </row>
        <row r="268">
          <cell r="A268">
            <v>11312321</v>
          </cell>
          <cell r="B268" t="str">
            <v>11312321</v>
          </cell>
          <cell r="C268" t="str">
            <v>4</v>
          </cell>
          <cell r="D268" t="str">
            <v>AMARO GAJARDO JOSE FRANCISCO</v>
          </cell>
          <cell r="E268" t="str">
            <v/>
          </cell>
          <cell r="F268">
            <v>44</v>
          </cell>
          <cell r="G268">
            <v>30</v>
          </cell>
          <cell r="H268" t="str">
            <v>JOAMARO@UTALCA.CL</v>
          </cell>
          <cell r="I268">
            <v>44927</v>
          </cell>
          <cell r="J268">
            <v>46387</v>
          </cell>
          <cell r="K268" t="str">
            <v>CONTRATA</v>
          </cell>
          <cell r="L268" t="str">
            <v>TÉCNICO</v>
          </cell>
          <cell r="M268" t="str">
            <v>TÉCNICO</v>
          </cell>
          <cell r="N268" t="str">
            <v>GRADO I.23</v>
          </cell>
          <cell r="O268" t="str">
            <v>TÉC. NIVEL MEDIO</v>
          </cell>
          <cell r="P268" t="str">
            <v>TECNICO AGRICOLA</v>
          </cell>
          <cell r="Q268" t="str">
            <v>TALCA</v>
          </cell>
          <cell r="R268" t="str">
            <v/>
          </cell>
          <cell r="S268" t="str">
            <v/>
          </cell>
        </row>
        <row r="269">
          <cell r="A269">
            <v>11319042</v>
          </cell>
          <cell r="B269" t="str">
            <v>11319042</v>
          </cell>
          <cell r="C269" t="str">
            <v>6</v>
          </cell>
          <cell r="D269" t="str">
            <v>IRIBARRA LOPEZ SANDRA CECILIA</v>
          </cell>
          <cell r="E269" t="str">
            <v/>
          </cell>
          <cell r="F269">
            <v>44</v>
          </cell>
          <cell r="G269">
            <v>30</v>
          </cell>
          <cell r="H269" t="str">
            <v>SANDRA.IRRIBARRA@UTALCA.CL</v>
          </cell>
          <cell r="I269">
            <v>44927</v>
          </cell>
          <cell r="J269">
            <v>46387</v>
          </cell>
          <cell r="K269" t="str">
            <v>CONTRATA</v>
          </cell>
          <cell r="L269" t="str">
            <v>TÉCNICO</v>
          </cell>
          <cell r="M269" t="str">
            <v>TÉCNICO</v>
          </cell>
          <cell r="N269" t="str">
            <v>GRADO I.23</v>
          </cell>
          <cell r="O269" t="str">
            <v>TÍTULO PROFESIONAL</v>
          </cell>
          <cell r="P269" t="str">
            <v>TECNICO LABORATORISTA QUIMICO INDUSTRIAL</v>
          </cell>
          <cell r="Q269" t="str">
            <v>TALCA</v>
          </cell>
          <cell r="R269" t="str">
            <v>FACULTAD DE CIENCIAS AGRARIAS</v>
          </cell>
          <cell r="S269" t="str">
            <v>CENTRO DE INOCUIDAD ALIMENTARIA</v>
          </cell>
        </row>
        <row r="270">
          <cell r="A270">
            <v>11320798</v>
          </cell>
          <cell r="B270" t="str">
            <v>11320798</v>
          </cell>
          <cell r="C270" t="str">
            <v>1</v>
          </cell>
          <cell r="D270" t="str">
            <v>CABALLERO VERDUGO MARIA DE LA</v>
          </cell>
          <cell r="E270" t="str">
            <v>VRF400008</v>
          </cell>
          <cell r="F270">
            <v>44</v>
          </cell>
          <cell r="G270">
            <v>30</v>
          </cell>
          <cell r="H270" t="str">
            <v>MACABALLERO@UTALCA.CL</v>
          </cell>
          <cell r="I270">
            <v>43466</v>
          </cell>
          <cell r="J270">
            <v>46446</v>
          </cell>
          <cell r="K270" t="str">
            <v>CONTRATA</v>
          </cell>
          <cell r="L270" t="str">
            <v>CA DOCENTE</v>
          </cell>
          <cell r="M270" t="str">
            <v>INSTRUCTOR</v>
          </cell>
          <cell r="N270" t="str">
            <v>GRADO D</v>
          </cell>
          <cell r="O270" t="str">
            <v>MAGISTER</v>
          </cell>
          <cell r="P270" t="str">
            <v>MAGÍSTER EN DOCENCIA Y GESTIÓN PARA LA EDUCAC</v>
          </cell>
          <cell r="Q270" t="str">
            <v>TALCA</v>
          </cell>
          <cell r="R270" t="str">
            <v>DIRECCIÓN DE PREGRADO</v>
          </cell>
          <cell r="S270" t="str">
            <v>PROGRAMA DE IDIOMAS</v>
          </cell>
        </row>
        <row r="271">
          <cell r="A271">
            <v>11321460</v>
          </cell>
          <cell r="B271" t="str">
            <v>11321460</v>
          </cell>
          <cell r="C271" t="str">
            <v>0</v>
          </cell>
          <cell r="D271" t="str">
            <v>LOPEZ ROJAS IVONNE KARINA</v>
          </cell>
          <cell r="E271" t="str">
            <v>FOD350001</v>
          </cell>
          <cell r="F271">
            <v>44</v>
          </cell>
          <cell r="G271">
            <v>30</v>
          </cell>
          <cell r="H271" t="str">
            <v>ILOPEZ@UTALCA.CL</v>
          </cell>
          <cell r="I271">
            <v>43101</v>
          </cell>
          <cell r="J271">
            <v>46387</v>
          </cell>
          <cell r="K271" t="str">
            <v>CONTRATA</v>
          </cell>
          <cell r="L271" t="str">
            <v>ADMINISTRATIVO</v>
          </cell>
          <cell r="M271" t="str">
            <v>ADMINISTRATIVO</v>
          </cell>
          <cell r="N271" t="str">
            <v>GRADO I.21</v>
          </cell>
          <cell r="O271" t="str">
            <v>ESCOLARIDAD CIENT HU</v>
          </cell>
          <cell r="P271" t="str">
            <v>LICENCIA ENSEÑANZA MEDIA</v>
          </cell>
          <cell r="Q271" t="str">
            <v>TALCA</v>
          </cell>
          <cell r="R271" t="str">
            <v>FACULTAD DE ODONTOLOGÍA</v>
          </cell>
          <cell r="S271" t="str">
            <v>CLÍNICAS ODONTOLÓGICAS</v>
          </cell>
        </row>
        <row r="272">
          <cell r="A272">
            <v>11321531</v>
          </cell>
          <cell r="B272" t="str">
            <v>11321531</v>
          </cell>
          <cell r="C272" t="str">
            <v>3</v>
          </cell>
          <cell r="D272" t="str">
            <v>MUÑOZ MORALES CRISTIAN MARCELO</v>
          </cell>
          <cell r="E272" t="str">
            <v>FCA320003</v>
          </cell>
          <cell r="F272">
            <v>44</v>
          </cell>
          <cell r="G272">
            <v>30</v>
          </cell>
          <cell r="H272" t="str">
            <v>CMUNOZ@UTALCA.CL</v>
          </cell>
          <cell r="I272">
            <v>33664</v>
          </cell>
          <cell r="J272">
            <v>46387</v>
          </cell>
          <cell r="K272" t="str">
            <v>CONTRATA</v>
          </cell>
          <cell r="L272" t="str">
            <v>TÉCNICO</v>
          </cell>
          <cell r="M272" t="str">
            <v>TÉCNICO</v>
          </cell>
          <cell r="N272" t="str">
            <v>GRADO I.17</v>
          </cell>
          <cell r="O272" t="str">
            <v>TÉC. NIVEL MEDIO</v>
          </cell>
          <cell r="P272" t="str">
            <v>TÉCNICO AGRÍCOLA</v>
          </cell>
          <cell r="Q272" t="str">
            <v>TALCA</v>
          </cell>
          <cell r="R272" t="str">
            <v>FACULTAD DE CIENCIAS AGRARIAS</v>
          </cell>
          <cell r="S272" t="str">
            <v>DEPARTAMENTO DE PRODUCCIÓN AGRÍCOLA</v>
          </cell>
        </row>
        <row r="273">
          <cell r="A273">
            <v>11371109</v>
          </cell>
          <cell r="B273" t="str">
            <v>11371109</v>
          </cell>
          <cell r="C273" t="str">
            <v>4</v>
          </cell>
          <cell r="D273" t="str">
            <v>CALDERON ACOSTA MARIANYELA PAO</v>
          </cell>
          <cell r="E273" t="str">
            <v>FAM340001</v>
          </cell>
          <cell r="F273">
            <v>44</v>
          </cell>
          <cell r="G273">
            <v>30</v>
          </cell>
          <cell r="H273" t="str">
            <v>MARIANYELA.CALDERON@UTALCA.CL</v>
          </cell>
          <cell r="I273">
            <v>44621</v>
          </cell>
          <cell r="J273">
            <v>46387</v>
          </cell>
          <cell r="K273" t="str">
            <v>CONTRATA</v>
          </cell>
          <cell r="L273" t="str">
            <v>ADMINISTRATIVO</v>
          </cell>
          <cell r="M273" t="str">
            <v>ADMINISTRATIVO</v>
          </cell>
          <cell r="N273" t="str">
            <v>GRADO I.21</v>
          </cell>
          <cell r="O273" t="str">
            <v>TÉC. NIVEL SUPERIOR</v>
          </cell>
          <cell r="P273" t="str">
            <v>SECRETARIA EJECUTIVA</v>
          </cell>
          <cell r="Q273" t="str">
            <v>CURICO</v>
          </cell>
          <cell r="R273" t="str">
            <v>FACULTAD DE MEDICINA</v>
          </cell>
          <cell r="S273" t="str">
            <v>FACULTAD DE MEDICINA</v>
          </cell>
        </row>
        <row r="274">
          <cell r="A274">
            <v>11372633</v>
          </cell>
          <cell r="B274" t="str">
            <v>11372633</v>
          </cell>
          <cell r="C274" t="str">
            <v>4</v>
          </cell>
          <cell r="D274" t="str">
            <v>CONTRERAS PICARD CARMEN GLORIA</v>
          </cell>
          <cell r="E274" t="str">
            <v/>
          </cell>
          <cell r="F274">
            <v>44</v>
          </cell>
          <cell r="G274">
            <v>30</v>
          </cell>
          <cell r="H274" t="str">
            <v>CARMEN.CONTRERAS@UTALCA.CL</v>
          </cell>
          <cell r="I274">
            <v>45047</v>
          </cell>
          <cell r="J274">
            <v>46387</v>
          </cell>
          <cell r="K274" t="str">
            <v>CONTRATA</v>
          </cell>
          <cell r="L274" t="str">
            <v>TÉCNICO</v>
          </cell>
          <cell r="M274" t="str">
            <v>TÉCNICO</v>
          </cell>
          <cell r="N274" t="str">
            <v>GRADO I.23</v>
          </cell>
          <cell r="O274" t="str">
            <v>TÉC. NIVEL SUPERIOR</v>
          </cell>
          <cell r="P274" t="str">
            <v>SECRETARIA EJECUTIVA</v>
          </cell>
          <cell r="Q274" t="str">
            <v>TALCA</v>
          </cell>
          <cell r="R274" t="str">
            <v>DIRECCIÓN DE ASEGURAMIENTO DE LA CALIDAD</v>
          </cell>
          <cell r="S274" t="str">
            <v>DEPTO. RED SALUD Y CAMPOS CLINICOS.</v>
          </cell>
        </row>
        <row r="275">
          <cell r="A275">
            <v>11372664</v>
          </cell>
          <cell r="B275" t="str">
            <v>11372664</v>
          </cell>
          <cell r="C275" t="str">
            <v>4</v>
          </cell>
          <cell r="D275" t="str">
            <v>ARANEDA DIAZ JAIME EMILIO</v>
          </cell>
          <cell r="E275" t="str">
            <v>VGE400004</v>
          </cell>
          <cell r="F275">
            <v>44</v>
          </cell>
          <cell r="G275">
            <v>30</v>
          </cell>
          <cell r="H275" t="str">
            <v>JARANEDA@UTALCA.CL</v>
          </cell>
          <cell r="I275">
            <v>34029</v>
          </cell>
          <cell r="J275">
            <v>2958465</v>
          </cell>
          <cell r="K275" t="str">
            <v>PLANTA</v>
          </cell>
          <cell r="L275" t="str">
            <v>ADMINISTRATIVO</v>
          </cell>
          <cell r="M275" t="str">
            <v>ADMINISTRATIVO</v>
          </cell>
          <cell r="N275" t="str">
            <v>GRADO I.17</v>
          </cell>
          <cell r="O275" t="str">
            <v>TÍTULO PROFESIONAL</v>
          </cell>
          <cell r="P275" t="str">
            <v>CONTADOR AUDITOR</v>
          </cell>
          <cell r="Q275" t="str">
            <v>TALCA</v>
          </cell>
          <cell r="R275" t="str">
            <v>VIC. GESTIÓN ECONÓMICA Y ADMINISTRACIÓN</v>
          </cell>
          <cell r="S275" t="str">
            <v>DEPARTAMENTO DE CONTABILIDAD Y BIENES</v>
          </cell>
        </row>
        <row r="276">
          <cell r="A276">
            <v>11372777</v>
          </cell>
          <cell r="B276" t="str">
            <v>11372777</v>
          </cell>
          <cell r="C276" t="str">
            <v>2</v>
          </cell>
          <cell r="D276" t="str">
            <v>LARA LARA JIMENA DE LAS MERCED</v>
          </cell>
          <cell r="E276" t="str">
            <v>FCS320002</v>
          </cell>
          <cell r="F276">
            <v>44</v>
          </cell>
          <cell r="G276">
            <v>30</v>
          </cell>
          <cell r="H276" t="str">
            <v>JILARA@UTALCA.CL</v>
          </cell>
          <cell r="I276">
            <v>43466</v>
          </cell>
          <cell r="J276">
            <v>46387</v>
          </cell>
          <cell r="K276" t="str">
            <v>CONTRATA</v>
          </cell>
          <cell r="L276" t="str">
            <v>ADMINISTRATIVO</v>
          </cell>
          <cell r="M276" t="str">
            <v>ADMINISTRATIVO</v>
          </cell>
          <cell r="N276" t="str">
            <v>GRADO I.21</v>
          </cell>
          <cell r="O276" t="str">
            <v>TÉC. NIVEL MEDIO</v>
          </cell>
          <cell r="P276" t="str">
            <v>EDUCACION MEDIA CIENTIFICO HUMANISTA</v>
          </cell>
          <cell r="Q276" t="str">
            <v>TALCA</v>
          </cell>
          <cell r="R276" t="str">
            <v>FACULTAD DE CIENCIAS DE LA SALUD</v>
          </cell>
          <cell r="S276" t="str">
            <v>DEPARTAMENTO DE MICROBIOLOGÍA</v>
          </cell>
        </row>
        <row r="277">
          <cell r="A277">
            <v>11373412</v>
          </cell>
          <cell r="B277" t="str">
            <v>11373412</v>
          </cell>
          <cell r="C277" t="str">
            <v>4</v>
          </cell>
          <cell r="D277" t="str">
            <v>CARREÑO FLORES CARMEN LUZ</v>
          </cell>
          <cell r="E277" t="str">
            <v>FEN310001</v>
          </cell>
          <cell r="F277">
            <v>44</v>
          </cell>
          <cell r="G277">
            <v>30</v>
          </cell>
          <cell r="H277" t="str">
            <v>CCARRENO@UTALCA.CL</v>
          </cell>
          <cell r="I277">
            <v>36892</v>
          </cell>
          <cell r="J277">
            <v>2958465</v>
          </cell>
          <cell r="K277" t="str">
            <v>PLANTA</v>
          </cell>
          <cell r="L277" t="str">
            <v>ADMINISTRATIVO</v>
          </cell>
          <cell r="M277" t="str">
            <v>ADMINISTRATIVO</v>
          </cell>
          <cell r="N277" t="str">
            <v>GRADO I.19</v>
          </cell>
          <cell r="O277" t="str">
            <v>TÉC. NIVEL MEDIO</v>
          </cell>
          <cell r="P277" t="str">
            <v>SECRETARIA EJECUTIVA</v>
          </cell>
          <cell r="Q277" t="str">
            <v>TALCA</v>
          </cell>
          <cell r="R277" t="str">
            <v>FACULTAD DE ECONOMÍA Y NEGOCIOS</v>
          </cell>
          <cell r="S277" t="str">
            <v>ESCUELA DE INGENIERÍA COMERCIAL DE TALCA</v>
          </cell>
        </row>
        <row r="278">
          <cell r="A278">
            <v>11438432</v>
          </cell>
          <cell r="B278" t="str">
            <v>11438432</v>
          </cell>
          <cell r="C278" t="str">
            <v>1</v>
          </cell>
          <cell r="D278" t="str">
            <v>NUÑEZ VELIZ SALADINO DEL CARME</v>
          </cell>
          <cell r="E278" t="str">
            <v>VGE400051</v>
          </cell>
          <cell r="F278">
            <v>44</v>
          </cell>
          <cell r="G278">
            <v>30</v>
          </cell>
          <cell r="H278" t="str">
            <v>SANUNEZ@UTALCA.CL</v>
          </cell>
          <cell r="I278">
            <v>43831</v>
          </cell>
          <cell r="J278">
            <v>46387</v>
          </cell>
          <cell r="K278" t="str">
            <v>CONTRATA</v>
          </cell>
          <cell r="L278" t="str">
            <v>AUXILIAR</v>
          </cell>
          <cell r="M278" t="str">
            <v>AUXILIAR</v>
          </cell>
          <cell r="N278" t="str">
            <v>GRADO I.24</v>
          </cell>
          <cell r="O278" t="str">
            <v>ESCOLARIDAD CIENT HU</v>
          </cell>
          <cell r="P278" t="str">
            <v>LICENCIA ENSEÑANZA MEDIA</v>
          </cell>
          <cell r="Q278" t="str">
            <v>TALCA</v>
          </cell>
          <cell r="R278" t="str">
            <v>VIC. GESTIÓN ECONÓMICA Y ADMINISTRACIÓN</v>
          </cell>
          <cell r="S278" t="str">
            <v>UNIDAD DE MANTENIMIENTO</v>
          </cell>
        </row>
        <row r="279">
          <cell r="A279">
            <v>11438449</v>
          </cell>
          <cell r="B279" t="str">
            <v>11438449</v>
          </cell>
          <cell r="C279" t="str">
            <v>6</v>
          </cell>
          <cell r="D279" t="str">
            <v>BALMACEDA ROJAS CAROLINA DEL P</v>
          </cell>
          <cell r="E279" t="str">
            <v>FEN310001</v>
          </cell>
          <cell r="F279">
            <v>44</v>
          </cell>
          <cell r="G279">
            <v>30</v>
          </cell>
          <cell r="H279" t="str">
            <v>CBALMACEDA@UTALCA.CL</v>
          </cell>
          <cell r="I279">
            <v>33484</v>
          </cell>
          <cell r="J279">
            <v>2958465</v>
          </cell>
          <cell r="K279" t="str">
            <v>PLANTA</v>
          </cell>
          <cell r="L279" t="str">
            <v>ADMINISTRATIVO</v>
          </cell>
          <cell r="M279" t="str">
            <v>TÉCNICO</v>
          </cell>
          <cell r="N279" t="str">
            <v>GRADO I.22</v>
          </cell>
          <cell r="O279" t="str">
            <v>TÉC. NIVEL SUPERIOR</v>
          </cell>
          <cell r="P279" t="str">
            <v>TÉCNICO EN ADMINISTRACIÓN</v>
          </cell>
          <cell r="Q279" t="str">
            <v>TALCA</v>
          </cell>
          <cell r="R279" t="str">
            <v>FACULTAD DE ECONOMÍA Y NEGOCIOS</v>
          </cell>
          <cell r="S279" t="str">
            <v>ESCUELA DE INGENIERÍA COMERCIAL DE TALCA</v>
          </cell>
        </row>
        <row r="280">
          <cell r="A280">
            <v>11442273</v>
          </cell>
          <cell r="B280" t="str">
            <v>11442273</v>
          </cell>
          <cell r="C280" t="str">
            <v>8</v>
          </cell>
          <cell r="D280" t="str">
            <v>VILLALOBOS BUENO CAROLINA DEL</v>
          </cell>
          <cell r="E280" t="str">
            <v>FOD350001</v>
          </cell>
          <cell r="F280">
            <v>44</v>
          </cell>
          <cell r="G280">
            <v>30</v>
          </cell>
          <cell r="H280" t="str">
            <v>CVILLALO@UTALCA.CL</v>
          </cell>
          <cell r="I280">
            <v>36213</v>
          </cell>
          <cell r="J280">
            <v>2958465</v>
          </cell>
          <cell r="K280" t="str">
            <v>PLANTA</v>
          </cell>
          <cell r="L280" t="str">
            <v>ADMINISTRATIVO</v>
          </cell>
          <cell r="M280" t="str">
            <v>TÉCNICO</v>
          </cell>
          <cell r="N280" t="str">
            <v>GRADO I.21</v>
          </cell>
          <cell r="O280" t="str">
            <v>MAGISTER</v>
          </cell>
          <cell r="P280" t="str">
            <v>MAGISTER EN GESTIÓN DE INSTITUCIONES DE SALUD</v>
          </cell>
          <cell r="Q280" t="str">
            <v>TALCA</v>
          </cell>
          <cell r="R280" t="str">
            <v>FACULTAD DE ODONTOLOGÍA</v>
          </cell>
          <cell r="S280" t="str">
            <v>CLÍNICAS ODONTOLÓGICAS</v>
          </cell>
        </row>
        <row r="281">
          <cell r="A281">
            <v>11457464</v>
          </cell>
          <cell r="B281" t="str">
            <v>11457464</v>
          </cell>
          <cell r="C281" t="str">
            <v>3</v>
          </cell>
          <cell r="D281" t="str">
            <v>ROJAS VILLAGRA GLORIA VERONICA</v>
          </cell>
          <cell r="E281" t="str">
            <v>FOD350001</v>
          </cell>
          <cell r="F281">
            <v>44</v>
          </cell>
          <cell r="G281">
            <v>30</v>
          </cell>
          <cell r="H281" t="str">
            <v>GLOROJAS@UTALCA.CL</v>
          </cell>
          <cell r="I281">
            <v>42095</v>
          </cell>
          <cell r="J281">
            <v>2958465</v>
          </cell>
          <cell r="K281" t="str">
            <v>PLANTA</v>
          </cell>
          <cell r="L281" t="str">
            <v>ADMINISTRATIVO</v>
          </cell>
          <cell r="M281" t="str">
            <v>ADMINISTRATIVO</v>
          </cell>
          <cell r="N281" t="str">
            <v>GRADO I.19</v>
          </cell>
          <cell r="O281" t="str">
            <v>ESCOLARIDAD CIENT HU</v>
          </cell>
          <cell r="P281" t="str">
            <v>LICENCIA ENSEÑANZA MEDIA</v>
          </cell>
          <cell r="Q281" t="str">
            <v>TALCA</v>
          </cell>
          <cell r="R281" t="str">
            <v>FACULTAD DE ODONTOLOGÍA</v>
          </cell>
          <cell r="S281" t="str">
            <v>CLÍNICAS ODONTOLÓGICAS</v>
          </cell>
        </row>
        <row r="282">
          <cell r="A282">
            <v>11469436</v>
          </cell>
          <cell r="B282" t="str">
            <v>11469436</v>
          </cell>
          <cell r="C282" t="str">
            <v>3</v>
          </cell>
          <cell r="D282" t="str">
            <v>BLANCO OLIVARES CARMEN GLORIA</v>
          </cell>
          <cell r="E282" t="str">
            <v>FAM310001</v>
          </cell>
          <cell r="F282">
            <v>44</v>
          </cell>
          <cell r="G282">
            <v>30</v>
          </cell>
          <cell r="H282" t="str">
            <v>CBLANCO@UTALCA.CL</v>
          </cell>
          <cell r="I282">
            <v>36220</v>
          </cell>
          <cell r="J282">
            <v>2958465</v>
          </cell>
          <cell r="K282" t="str">
            <v>PLANTA</v>
          </cell>
          <cell r="L282" t="str">
            <v>ADMINISTRATIVO</v>
          </cell>
          <cell r="M282" t="str">
            <v>ADMINISTRATIVO</v>
          </cell>
          <cell r="N282" t="str">
            <v>GRADO I.17</v>
          </cell>
          <cell r="O282" t="str">
            <v>TÍTULO PROFESIONAL</v>
          </cell>
          <cell r="P282" t="str">
            <v>PEDAGOGIA EN EDUCACIÓN BÁSICA</v>
          </cell>
          <cell r="Q282" t="str">
            <v>TALCA</v>
          </cell>
          <cell r="R282" t="str">
            <v>FACULTAD DE MEDICINA</v>
          </cell>
          <cell r="S282" t="str">
            <v>ESCUELA DE MEDICINA</v>
          </cell>
        </row>
        <row r="283">
          <cell r="A283">
            <v>11506355</v>
          </cell>
          <cell r="B283" t="str">
            <v>11506355</v>
          </cell>
          <cell r="C283" t="str">
            <v>3</v>
          </cell>
          <cell r="D283" t="str">
            <v>CASTILLO GUEVARA RAMON DANIEL</v>
          </cell>
          <cell r="E283" t="str">
            <v>FPS200001</v>
          </cell>
          <cell r="F283">
            <v>44</v>
          </cell>
          <cell r="G283">
            <v>30</v>
          </cell>
          <cell r="H283" t="str">
            <v>RACASTILLO@UTALCA.CL</v>
          </cell>
          <cell r="I283">
            <v>37987</v>
          </cell>
          <cell r="J283">
            <v>2958465</v>
          </cell>
          <cell r="K283" t="str">
            <v>PLANTA</v>
          </cell>
          <cell r="L283" t="str">
            <v>CA ORDINARIA</v>
          </cell>
          <cell r="M283" t="str">
            <v>PROFESOR TITULAR</v>
          </cell>
          <cell r="N283" t="str">
            <v>GRADO A</v>
          </cell>
          <cell r="O283" t="str">
            <v>DOCTORADO</v>
          </cell>
          <cell r="P283" t="str">
            <v>DOCTOR OF PHILOSOPHY</v>
          </cell>
          <cell r="Q283" t="str">
            <v>TALCA</v>
          </cell>
          <cell r="R283" t="str">
            <v>FACULTAD DE PSICOLOGÍA</v>
          </cell>
          <cell r="S283" t="str">
            <v>FACULTAD DE PSICOLOGÍA</v>
          </cell>
        </row>
        <row r="284">
          <cell r="A284">
            <v>11530785</v>
          </cell>
          <cell r="B284" t="str">
            <v>11530785</v>
          </cell>
          <cell r="C284" t="str">
            <v>1</v>
          </cell>
          <cell r="D284" t="str">
            <v>OYARZUN FUENTES MARITZA ELENA</v>
          </cell>
          <cell r="E284" t="str">
            <v>ADC022001</v>
          </cell>
          <cell r="F284">
            <v>44</v>
          </cell>
          <cell r="G284">
            <v>30</v>
          </cell>
          <cell r="H284" t="str">
            <v>MARITZA.OYARZUN@UTALCA.CL</v>
          </cell>
          <cell r="I284">
            <v>44927</v>
          </cell>
          <cell r="J284">
            <v>46387</v>
          </cell>
          <cell r="K284" t="str">
            <v>CONTRATA</v>
          </cell>
          <cell r="L284" t="str">
            <v>TÉCNICO</v>
          </cell>
          <cell r="M284" t="str">
            <v>TÉCNICO</v>
          </cell>
          <cell r="N284" t="str">
            <v>GRADO I.22</v>
          </cell>
          <cell r="O284" t="str">
            <v>TÍTULO PROFESIONAL</v>
          </cell>
          <cell r="P284" t="str">
            <v>TECNICO EN TURISMO</v>
          </cell>
          <cell r="Q284" t="str">
            <v>TALCA</v>
          </cell>
          <cell r="R284" t="str">
            <v>DIRECCIÓN DE EXTENSIÓN</v>
          </cell>
          <cell r="S284" t="str">
            <v>DIRECCIÓN DE EXTENSIÓN</v>
          </cell>
        </row>
        <row r="285">
          <cell r="A285">
            <v>11556033</v>
          </cell>
          <cell r="B285" t="str">
            <v>11556033</v>
          </cell>
          <cell r="C285" t="str">
            <v>6</v>
          </cell>
          <cell r="D285" t="str">
            <v>MARAMBIO SILVA ALIRO ANTONIO</v>
          </cell>
          <cell r="E285" t="str">
            <v>VGE400050</v>
          </cell>
          <cell r="F285">
            <v>44</v>
          </cell>
          <cell r="G285">
            <v>30</v>
          </cell>
          <cell r="H285" t="str">
            <v>AMARAMBIO@UTALCA.CL</v>
          </cell>
          <cell r="I285">
            <v>44866</v>
          </cell>
          <cell r="J285">
            <v>46387</v>
          </cell>
          <cell r="K285" t="str">
            <v>CONTRATA</v>
          </cell>
          <cell r="L285" t="str">
            <v>PROFESIONAL</v>
          </cell>
          <cell r="M285" t="str">
            <v>PROFESIONAL</v>
          </cell>
          <cell r="N285" t="str">
            <v>GRADO I.17</v>
          </cell>
          <cell r="O285" t="str">
            <v>TÍTULO PROFESIONAL</v>
          </cell>
          <cell r="P285" t="str">
            <v>INGENIERO COMERCIAL</v>
          </cell>
          <cell r="Q285" t="str">
            <v>COLCHAGUA</v>
          </cell>
          <cell r="R285" t="str">
            <v>VIC. GESTIÓN ECONÓMICA Y ADMINISTRACIÓN</v>
          </cell>
          <cell r="S285" t="str">
            <v>DEPARTAMENTO DE ADMINISTRACIÓN DE CAMPUS</v>
          </cell>
        </row>
        <row r="286">
          <cell r="A286">
            <v>11634453</v>
          </cell>
          <cell r="B286" t="str">
            <v>11634453</v>
          </cell>
          <cell r="C286" t="str">
            <v>K</v>
          </cell>
          <cell r="D286" t="str">
            <v>VERGARA CEBALLOS FABIOLA ESTER</v>
          </cell>
          <cell r="E286" t="str">
            <v>FCJ320002</v>
          </cell>
          <cell r="F286">
            <v>44</v>
          </cell>
          <cell r="G286">
            <v>30</v>
          </cell>
          <cell r="H286" t="str">
            <v>FABVERGARA@UTALCA.CL</v>
          </cell>
          <cell r="I286">
            <v>40238</v>
          </cell>
          <cell r="J286">
            <v>46446</v>
          </cell>
          <cell r="K286" t="str">
            <v>CONTRATA</v>
          </cell>
          <cell r="L286" t="str">
            <v>CA DOCENTE</v>
          </cell>
          <cell r="M286" t="str">
            <v>PROFESOR ASISTENTE</v>
          </cell>
          <cell r="N286" t="str">
            <v>GRADO C</v>
          </cell>
          <cell r="O286" t="str">
            <v>DOCTORADO</v>
          </cell>
          <cell r="P286" t="str">
            <v>DOCTORA EN DERECHO</v>
          </cell>
          <cell r="Q286" t="str">
            <v>TALCA</v>
          </cell>
          <cell r="R286" t="str">
            <v>FACULTAD CIENCIAS JURÍDICAS Y SOCIALES</v>
          </cell>
          <cell r="S286" t="str">
            <v>DPTO. DERECHO PRIVADO Y CNCIAS. DERECHO</v>
          </cell>
        </row>
        <row r="287">
          <cell r="A287">
            <v>11641339</v>
          </cell>
          <cell r="B287" t="str">
            <v>11641339</v>
          </cell>
          <cell r="C287" t="str">
            <v>6</v>
          </cell>
          <cell r="D287" t="str">
            <v>VON SCHULTZENDORFF HOYL BEATRI</v>
          </cell>
          <cell r="E287" t="str">
            <v>FED310003</v>
          </cell>
          <cell r="F287">
            <v>35</v>
          </cell>
          <cell r="G287">
            <v>30</v>
          </cell>
          <cell r="H287" t="str">
            <v>ANDREA.VONSCH@UTALCA.CL</v>
          </cell>
          <cell r="I287">
            <v>45352</v>
          </cell>
          <cell r="J287">
            <v>46446</v>
          </cell>
          <cell r="K287" t="str">
            <v>CONTRATA</v>
          </cell>
          <cell r="L287" t="str">
            <v>CA DOCENTE</v>
          </cell>
          <cell r="M287" t="str">
            <v>INSTRUCTOR</v>
          </cell>
          <cell r="N287" t="str">
            <v>GRADO D</v>
          </cell>
          <cell r="O287" t="str">
            <v>MAGISTER</v>
          </cell>
          <cell r="P287" t="str">
            <v>MAGISTER EN NEUROCIENCIAS APLICADAS A LA EDUC</v>
          </cell>
          <cell r="Q287" t="str">
            <v>SANTIAGO</v>
          </cell>
          <cell r="R287" t="str">
            <v>FACULTAD DE CIENCIAS DE LA EDUCACIÓN</v>
          </cell>
          <cell r="S287" t="str">
            <v>ESCUELA DE PEDAGOGÍA EN ALEMÁN</v>
          </cell>
        </row>
        <row r="288">
          <cell r="A288">
            <v>11648291</v>
          </cell>
          <cell r="B288" t="str">
            <v>11648291</v>
          </cell>
          <cell r="C288" t="str">
            <v>6</v>
          </cell>
          <cell r="D288" t="str">
            <v>PINO VASQUEZ PAULA ANDREA</v>
          </cell>
          <cell r="E288" t="str">
            <v>FOD200001</v>
          </cell>
          <cell r="F288">
            <v>8</v>
          </cell>
          <cell r="G288">
            <v>30</v>
          </cell>
          <cell r="H288" t="str">
            <v>PPINO@UTALCA.CL</v>
          </cell>
          <cell r="I288">
            <v>38777</v>
          </cell>
          <cell r="J288">
            <v>46387</v>
          </cell>
          <cell r="K288" t="str">
            <v>CONTRATA</v>
          </cell>
          <cell r="L288" t="str">
            <v>C ESPECIALES</v>
          </cell>
          <cell r="M288" t="str">
            <v>TUTOR(A) PRÁCTICA</v>
          </cell>
          <cell r="N288" t="str">
            <v>SIN GRADO</v>
          </cell>
          <cell r="O288" t="str">
            <v>ESPECIAL. ODONTOLÓG.</v>
          </cell>
          <cell r="P288" t="str">
            <v>ESPECIALIZACION EN ODONTOPEDIATRIA</v>
          </cell>
          <cell r="Q288" t="str">
            <v>TALCA</v>
          </cell>
          <cell r="R288" t="str">
            <v>FACULTAD DE ODONTOLOGÍA</v>
          </cell>
          <cell r="S288" t="str">
            <v>FACULTAD DE ODONTOLOGÍA</v>
          </cell>
        </row>
        <row r="289">
          <cell r="A289">
            <v>11669551</v>
          </cell>
          <cell r="B289" t="str">
            <v>11669551</v>
          </cell>
          <cell r="C289" t="str">
            <v>0</v>
          </cell>
          <cell r="D289" t="str">
            <v>ARAVENA ARANDA CLAUDIO RENE</v>
          </cell>
          <cell r="E289" t="str">
            <v>FCI320002</v>
          </cell>
          <cell r="F289">
            <v>22</v>
          </cell>
          <cell r="G289">
            <v>30</v>
          </cell>
          <cell r="H289" t="str">
            <v>CLARAVENA@UTALCA.CL</v>
          </cell>
          <cell r="I289">
            <v>41426</v>
          </cell>
          <cell r="J289">
            <v>46446</v>
          </cell>
          <cell r="K289" t="str">
            <v>CONTRATA</v>
          </cell>
          <cell r="L289" t="str">
            <v>CA DE LA PROFESIÓN</v>
          </cell>
          <cell r="M289" t="str">
            <v>PROFESOR ASISTENTE</v>
          </cell>
          <cell r="N289" t="str">
            <v>GRADO C</v>
          </cell>
          <cell r="O289" t="str">
            <v>MAGISTER</v>
          </cell>
          <cell r="P289" t="str">
            <v>MAGÍSTER EN ADMINISTRACIÓN (MBA)</v>
          </cell>
          <cell r="Q289" t="str">
            <v>CURICO</v>
          </cell>
          <cell r="R289" t="str">
            <v>FACULTAD DE INGENIERÍA</v>
          </cell>
          <cell r="S289" t="str">
            <v>DEPARTAMENTO DE INGENIERÍA INDUSTRIAL</v>
          </cell>
        </row>
        <row r="290">
          <cell r="A290">
            <v>11674247</v>
          </cell>
          <cell r="B290" t="str">
            <v>11674247</v>
          </cell>
          <cell r="C290" t="str">
            <v>0</v>
          </cell>
          <cell r="D290" t="str">
            <v>BRIONES GONZALEZ MARCELA DEL P</v>
          </cell>
          <cell r="E290" t="str">
            <v>VRF400063</v>
          </cell>
          <cell r="F290">
            <v>44</v>
          </cell>
          <cell r="G290">
            <v>30</v>
          </cell>
          <cell r="H290" t="str">
            <v>MBRIONES@UTALCA.CL</v>
          </cell>
          <cell r="I290">
            <v>37987</v>
          </cell>
          <cell r="J290">
            <v>46387</v>
          </cell>
          <cell r="K290" t="str">
            <v>CONTRATA</v>
          </cell>
          <cell r="L290" t="str">
            <v>PROFESIONAL</v>
          </cell>
          <cell r="M290" t="str">
            <v>PROFESIONAL</v>
          </cell>
          <cell r="N290" t="str">
            <v>GRADO I.17</v>
          </cell>
          <cell r="O290" t="str">
            <v>MAGISTER</v>
          </cell>
          <cell r="P290" t="str">
            <v>MAGISTER EN EDUCACIÓN BASADA EN COMPETENCIAS</v>
          </cell>
          <cell r="Q290" t="str">
            <v>TALCA</v>
          </cell>
          <cell r="R290" t="str">
            <v>VICERRECTORÍA DE FORMACIÓN</v>
          </cell>
          <cell r="S290" t="str">
            <v>UNIDAD LMS-EDUCANDUS</v>
          </cell>
        </row>
        <row r="291">
          <cell r="A291">
            <v>11674523</v>
          </cell>
          <cell r="B291" t="str">
            <v>11674523</v>
          </cell>
          <cell r="C291" t="str">
            <v>2</v>
          </cell>
          <cell r="D291" t="str">
            <v>GUTIERREZ URZUA MARLENE DEL RO</v>
          </cell>
          <cell r="E291" t="str">
            <v>VRF400009</v>
          </cell>
          <cell r="F291">
            <v>44</v>
          </cell>
          <cell r="G291">
            <v>30</v>
          </cell>
          <cell r="H291" t="str">
            <v>MARLGUTIERREZ@UTALCA.CL</v>
          </cell>
          <cell r="I291">
            <v>43466</v>
          </cell>
          <cell r="J291">
            <v>46446</v>
          </cell>
          <cell r="K291" t="str">
            <v>CONTRATA</v>
          </cell>
          <cell r="L291" t="str">
            <v>CA DOCENTE</v>
          </cell>
          <cell r="M291" t="str">
            <v>PROFESOR ASISTENTE</v>
          </cell>
          <cell r="N291" t="str">
            <v>GRADO C</v>
          </cell>
          <cell r="O291" t="str">
            <v>MAGISTER</v>
          </cell>
          <cell r="P291" t="str">
            <v>MAGISTER EN DIRECCION ESTRATEGICA DE RRHH Y C</v>
          </cell>
          <cell r="Q291" t="str">
            <v>TALCA</v>
          </cell>
          <cell r="R291" t="str">
            <v>DIRECCIÓN DE PREGRADO</v>
          </cell>
          <cell r="S291" t="str">
            <v>PROGRAMA DE FORMACIÓN FUNDAMENTAL</v>
          </cell>
        </row>
        <row r="292">
          <cell r="A292">
            <v>11674790</v>
          </cell>
          <cell r="B292" t="str">
            <v>11674790</v>
          </cell>
          <cell r="C292" t="str">
            <v>1</v>
          </cell>
          <cell r="D292" t="str">
            <v>MORENO VEAS JORGE ARTURO</v>
          </cell>
          <cell r="E292" t="str">
            <v>ICB300001</v>
          </cell>
          <cell r="F292">
            <v>44</v>
          </cell>
          <cell r="G292">
            <v>30</v>
          </cell>
          <cell r="H292" t="str">
            <v>JMORENO@UTALCA.CL</v>
          </cell>
          <cell r="I292">
            <v>43101</v>
          </cell>
          <cell r="J292">
            <v>2958465</v>
          </cell>
          <cell r="K292" t="str">
            <v>PLANTA</v>
          </cell>
          <cell r="L292" t="str">
            <v>ADMINISTRATIVO</v>
          </cell>
          <cell r="M292" t="str">
            <v>ADMINISTRATIVO</v>
          </cell>
          <cell r="N292" t="str">
            <v>GRADO I.20</v>
          </cell>
          <cell r="O292" t="str">
            <v>MAGISTER</v>
          </cell>
          <cell r="P292" t="str">
            <v>MAGÍSTER EN EDUCACIÓN BASADA EN COMPETENCIAS</v>
          </cell>
          <cell r="Q292" t="str">
            <v>TALCA</v>
          </cell>
          <cell r="R292" t="str">
            <v>INSTITUTO DE CIENCIAS BIOLÓGICAS</v>
          </cell>
          <cell r="S292" t="str">
            <v>INSTITUTO DE CIENCIAS BIOLÓGICAS</v>
          </cell>
        </row>
        <row r="293">
          <cell r="A293">
            <v>11674824</v>
          </cell>
          <cell r="B293" t="str">
            <v>11674824</v>
          </cell>
          <cell r="C293" t="str">
            <v>K</v>
          </cell>
          <cell r="D293" t="str">
            <v>SEPULVEDA LEON ALVARO IVAN</v>
          </cell>
          <cell r="E293" t="str">
            <v>FCA600001</v>
          </cell>
          <cell r="F293">
            <v>44</v>
          </cell>
          <cell r="G293">
            <v>30</v>
          </cell>
          <cell r="H293" t="str">
            <v>ASEPULVEDA@UTALCA.CL</v>
          </cell>
          <cell r="I293">
            <v>37834</v>
          </cell>
          <cell r="J293">
            <v>46387</v>
          </cell>
          <cell r="K293" t="str">
            <v>CONTRATA</v>
          </cell>
          <cell r="L293" t="str">
            <v>INVESTIGADOR ASISTENTE</v>
          </cell>
          <cell r="M293" t="str">
            <v>PROFESIONAL</v>
          </cell>
          <cell r="N293" t="str">
            <v>GRADO I.17</v>
          </cell>
          <cell r="O293" t="str">
            <v>TÍTULO PROFESIONAL</v>
          </cell>
          <cell r="P293" t="str">
            <v>INGENIERO AGRÓNOMO</v>
          </cell>
          <cell r="Q293" t="str">
            <v>TALCA</v>
          </cell>
          <cell r="R293" t="str">
            <v>FACULTAD DE CIENCIAS AGRARIAS</v>
          </cell>
          <cell r="S293" t="str">
            <v>CENTRO DE POMÁCEAS</v>
          </cell>
        </row>
        <row r="294">
          <cell r="A294">
            <v>11675118</v>
          </cell>
          <cell r="B294" t="str">
            <v>11675118</v>
          </cell>
          <cell r="C294" t="str">
            <v>6</v>
          </cell>
          <cell r="D294" t="str">
            <v>SALAZAR CASTILLO ISABEL ALEJAN</v>
          </cell>
          <cell r="E294" t="str">
            <v>VAC100001</v>
          </cell>
          <cell r="F294">
            <v>44</v>
          </cell>
          <cell r="G294">
            <v>30</v>
          </cell>
          <cell r="H294" t="str">
            <v>ISALAZAR@UTALCA.CL</v>
          </cell>
          <cell r="I294">
            <v>42095</v>
          </cell>
          <cell r="J294">
            <v>2958465</v>
          </cell>
          <cell r="K294" t="str">
            <v>PLANTA</v>
          </cell>
          <cell r="L294" t="str">
            <v>ADMINISTRATIVO</v>
          </cell>
          <cell r="M294" t="str">
            <v>ADMINISTRATIVO</v>
          </cell>
          <cell r="N294" t="str">
            <v>GRADO I.18</v>
          </cell>
          <cell r="O294" t="str">
            <v>TÉC. NIVEL SUPERIOR</v>
          </cell>
          <cell r="P294" t="str">
            <v>SECRETARIO(A) EJECUTIVO(A) BILINGUE</v>
          </cell>
          <cell r="Q294" t="str">
            <v>TALCA</v>
          </cell>
          <cell r="R294" t="str">
            <v>VICERRECTORÍA ACADÉMICA</v>
          </cell>
          <cell r="S294" t="str">
            <v>VICERRECTORÍA ACADÉMICA</v>
          </cell>
        </row>
        <row r="295">
          <cell r="A295">
            <v>11675234</v>
          </cell>
          <cell r="B295" t="str">
            <v>11675234</v>
          </cell>
          <cell r="C295" t="str">
            <v>4</v>
          </cell>
          <cell r="D295" t="str">
            <v>GONZALEZ REINOSO DANIEL EDUARD</v>
          </cell>
          <cell r="E295" t="str">
            <v>FCS320007</v>
          </cell>
          <cell r="F295">
            <v>44</v>
          </cell>
          <cell r="G295">
            <v>30</v>
          </cell>
          <cell r="H295" t="str">
            <v>DAGONZALEZ@UTALCA.CL</v>
          </cell>
          <cell r="I295">
            <v>40422</v>
          </cell>
          <cell r="J295">
            <v>2958465</v>
          </cell>
          <cell r="K295" t="str">
            <v>PLANTA</v>
          </cell>
          <cell r="L295" t="str">
            <v>CA ORDINARIA</v>
          </cell>
          <cell r="M295" t="str">
            <v>PROFESOR ASOCIADO</v>
          </cell>
          <cell r="N295" t="str">
            <v>GRADO B</v>
          </cell>
          <cell r="O295" t="str">
            <v>DOCTORADO</v>
          </cell>
          <cell r="P295" t="str">
            <v>DOCTOR EN CIENCIAS BIOLOGICAS</v>
          </cell>
          <cell r="Q295" t="str">
            <v>TALCA</v>
          </cell>
          <cell r="R295" t="str">
            <v>FACULTAD DE CIENCIAS DE LA SALUD</v>
          </cell>
          <cell r="S295" t="str">
            <v>DPTO. DE CIENCIAS BÁSICAS BIOMÉDICAS</v>
          </cell>
        </row>
        <row r="296">
          <cell r="A296">
            <v>11675278</v>
          </cell>
          <cell r="B296" t="str">
            <v>11675278</v>
          </cell>
          <cell r="C296" t="str">
            <v>6</v>
          </cell>
          <cell r="D296" t="str">
            <v>FERRADA ROJAS NANCY FABIOLA</v>
          </cell>
          <cell r="E296" t="str">
            <v>FCS320010</v>
          </cell>
          <cell r="F296">
            <v>22</v>
          </cell>
          <cell r="G296">
            <v>30</v>
          </cell>
          <cell r="H296" t="str">
            <v>NFERRADA@UTALCA.CL</v>
          </cell>
          <cell r="I296">
            <v>39508</v>
          </cell>
          <cell r="J296">
            <v>46446</v>
          </cell>
          <cell r="K296" t="str">
            <v>CONTRATA</v>
          </cell>
          <cell r="L296" t="str">
            <v>CA DOCENTE</v>
          </cell>
          <cell r="M296" t="str">
            <v>INSTRUCTOR</v>
          </cell>
          <cell r="N296" t="str">
            <v>GRADO D</v>
          </cell>
          <cell r="O296" t="str">
            <v>MAGISTER</v>
          </cell>
          <cell r="P296" t="str">
            <v>MAGISTER EN GESTIÓN DE SALUD</v>
          </cell>
          <cell r="Q296" t="str">
            <v>TALCA</v>
          </cell>
          <cell r="R296" t="str">
            <v>FACULTAD DE CIENCIAS DE LA SALUD</v>
          </cell>
          <cell r="S296" t="str">
            <v>DPTO. DE CIENCIAS DE FONOAUDIOLOGÍA</v>
          </cell>
        </row>
        <row r="297">
          <cell r="A297">
            <v>11675456</v>
          </cell>
          <cell r="B297" t="str">
            <v>11675456</v>
          </cell>
          <cell r="C297" t="str">
            <v>8</v>
          </cell>
          <cell r="D297" t="str">
            <v>ALBORNOZ ALBORNOZ LEONARDO JOS</v>
          </cell>
          <cell r="E297" t="str">
            <v>FCI320004</v>
          </cell>
          <cell r="F297">
            <v>44</v>
          </cell>
          <cell r="G297">
            <v>30</v>
          </cell>
          <cell r="H297" t="str">
            <v>LALBORNOZ@UTALCA.CL</v>
          </cell>
          <cell r="I297">
            <v>41699</v>
          </cell>
          <cell r="J297">
            <v>46446</v>
          </cell>
          <cell r="K297" t="str">
            <v>CONTRATA</v>
          </cell>
          <cell r="L297" t="str">
            <v>CA DOCENTE</v>
          </cell>
          <cell r="M297" t="str">
            <v>INSTRUCTOR</v>
          </cell>
          <cell r="N297" t="str">
            <v>GRADO D</v>
          </cell>
          <cell r="O297" t="str">
            <v>MAGISTER</v>
          </cell>
          <cell r="P297" t="str">
            <v>MAGÍSTER EN EDUCACIÓN BASADA EN COMPETENCIAS</v>
          </cell>
          <cell r="Q297" t="str">
            <v>CURICO</v>
          </cell>
          <cell r="R297" t="str">
            <v>FACULTAD DE INGENIERÍA</v>
          </cell>
          <cell r="S297" t="str">
            <v>DEPARTAMENTO DE TECNOLOGÍA INDUSTRIALES</v>
          </cell>
        </row>
        <row r="298">
          <cell r="A298">
            <v>11675713</v>
          </cell>
          <cell r="B298" t="str">
            <v>11675713</v>
          </cell>
          <cell r="C298" t="str">
            <v>3</v>
          </cell>
          <cell r="D298" t="str">
            <v>PARRAGUEZ ALVAREZ MONICA CAROL</v>
          </cell>
          <cell r="E298" t="str">
            <v>VGE400031</v>
          </cell>
          <cell r="F298">
            <v>44</v>
          </cell>
          <cell r="G298">
            <v>30</v>
          </cell>
          <cell r="H298" t="str">
            <v>MPARRAGUEZ@UTALCA.CL</v>
          </cell>
          <cell r="I298">
            <v>43101</v>
          </cell>
          <cell r="J298">
            <v>46387</v>
          </cell>
          <cell r="K298" t="str">
            <v>CONTRATA</v>
          </cell>
          <cell r="L298" t="str">
            <v>ADMINISTRATIVO</v>
          </cell>
          <cell r="M298" t="str">
            <v>ADMINISTRATIVO</v>
          </cell>
          <cell r="N298" t="str">
            <v>GRADO I.21</v>
          </cell>
          <cell r="O298" t="str">
            <v>TÉC. NIVEL SUPERIOR</v>
          </cell>
          <cell r="P298" t="str">
            <v>TEC. EN ADMINISTRACIÓN DE EMPRESAS, MENCIÓN F</v>
          </cell>
          <cell r="Q298" t="str">
            <v>TALCA</v>
          </cell>
          <cell r="R298" t="str">
            <v>VIC. GESTIÓN ECONÓMICA Y ADMINISTRACIÓN</v>
          </cell>
          <cell r="S298" t="str">
            <v>DPTO. DE APOYO FINANCIERO AL ESTUDIANTE</v>
          </cell>
        </row>
        <row r="299">
          <cell r="A299">
            <v>11675886</v>
          </cell>
          <cell r="B299" t="str">
            <v>11675886</v>
          </cell>
          <cell r="C299" t="str">
            <v>5</v>
          </cell>
          <cell r="D299" t="str">
            <v>VALDES VERGARA JIMENA</v>
          </cell>
          <cell r="E299" t="str">
            <v>FCS200001</v>
          </cell>
          <cell r="F299">
            <v>44</v>
          </cell>
          <cell r="G299">
            <v>30</v>
          </cell>
          <cell r="H299" t="str">
            <v>JVALDES@UTALCA.CL</v>
          </cell>
          <cell r="I299">
            <v>33106</v>
          </cell>
          <cell r="J299">
            <v>2958465</v>
          </cell>
          <cell r="K299" t="str">
            <v>PLANTA</v>
          </cell>
          <cell r="L299" t="str">
            <v>ADMINISTRATIVO</v>
          </cell>
          <cell r="M299" t="str">
            <v>ADMINISTRATIVO</v>
          </cell>
          <cell r="N299" t="str">
            <v>GRADO I.13</v>
          </cell>
          <cell r="O299" t="str">
            <v>TÉC. NIVEL MEDIO</v>
          </cell>
          <cell r="P299" t="str">
            <v>SECRETARIA ADMINISTRATIVA</v>
          </cell>
          <cell r="Q299" t="str">
            <v>TALCA</v>
          </cell>
          <cell r="R299" t="str">
            <v>FACULTAD DE CIENCIAS DE LA SALUD</v>
          </cell>
          <cell r="S299" t="str">
            <v>FACULTAD DE CIENCIAS DE LA SALUD</v>
          </cell>
        </row>
        <row r="300">
          <cell r="A300">
            <v>11729069</v>
          </cell>
          <cell r="B300" t="str">
            <v>11729069</v>
          </cell>
          <cell r="C300" t="str">
            <v>7</v>
          </cell>
          <cell r="D300" t="str">
            <v>GARCIA MONTENEGRO PEDRO JAIME</v>
          </cell>
          <cell r="E300" t="str">
            <v>FCS320010</v>
          </cell>
          <cell r="F300">
            <v>44</v>
          </cell>
          <cell r="G300">
            <v>30</v>
          </cell>
          <cell r="H300" t="str">
            <v>PGARCIA@UTALCA.CL</v>
          </cell>
          <cell r="I300">
            <v>38777</v>
          </cell>
          <cell r="J300">
            <v>46446</v>
          </cell>
          <cell r="K300" t="str">
            <v>CONTRATA</v>
          </cell>
          <cell r="L300" t="str">
            <v>CA DOCENTE</v>
          </cell>
          <cell r="M300" t="str">
            <v>INSTRUCTOR</v>
          </cell>
          <cell r="N300" t="str">
            <v>GRADO D</v>
          </cell>
          <cell r="O300" t="str">
            <v>DOCTORADO</v>
          </cell>
          <cell r="P300" t="str">
            <v>DOUTOR EM DISTURBIOS DA COMUNICACAO HUMANA</v>
          </cell>
          <cell r="Q300" t="str">
            <v>TALCA</v>
          </cell>
          <cell r="R300" t="str">
            <v>FACULTAD DE CIENCIAS DE LA SALUD</v>
          </cell>
          <cell r="S300" t="str">
            <v>DPTO. DE CIENCIAS DE FONOAUDIOLOGÍA</v>
          </cell>
        </row>
        <row r="301">
          <cell r="A301">
            <v>11744952</v>
          </cell>
          <cell r="B301" t="str">
            <v>11744952</v>
          </cell>
          <cell r="C301" t="str">
            <v>1</v>
          </cell>
          <cell r="D301" t="str">
            <v>MORALES GARRIDO SANDRA ELENA</v>
          </cell>
          <cell r="E301" t="str">
            <v>VGE400031</v>
          </cell>
          <cell r="F301">
            <v>44</v>
          </cell>
          <cell r="G301">
            <v>30</v>
          </cell>
          <cell r="H301" t="str">
            <v>SMGARRID@UTALCA.CL</v>
          </cell>
          <cell r="I301">
            <v>34029</v>
          </cell>
          <cell r="J301">
            <v>2958465</v>
          </cell>
          <cell r="K301" t="str">
            <v>PLANTA</v>
          </cell>
          <cell r="L301" t="str">
            <v>ADMINISTRATIVO</v>
          </cell>
          <cell r="M301" t="str">
            <v>ADMINISTRATIVO</v>
          </cell>
          <cell r="N301" t="str">
            <v>GRADO I.17</v>
          </cell>
          <cell r="O301" t="str">
            <v>TÉC. NIVEL MEDIO</v>
          </cell>
          <cell r="P301" t="str">
            <v>SECRETARIA ADMINISTRATIVA</v>
          </cell>
          <cell r="Q301" t="str">
            <v>TALCA</v>
          </cell>
          <cell r="R301" t="str">
            <v>VIC. GESTIÓN ECONÓMICA Y ADMINISTRACIÓN</v>
          </cell>
          <cell r="S301" t="str">
            <v>DPTO. DE APOYO FINANCIERO AL ESTUDIANTE</v>
          </cell>
        </row>
        <row r="302">
          <cell r="A302">
            <v>11763533</v>
          </cell>
          <cell r="B302" t="str">
            <v>11763533</v>
          </cell>
          <cell r="C302" t="str">
            <v>3</v>
          </cell>
          <cell r="D302" t="str">
            <v>PARADA NAVARRO ALICIA DEL CARM</v>
          </cell>
          <cell r="E302" t="str">
            <v>FCS310007</v>
          </cell>
          <cell r="F302">
            <v>44</v>
          </cell>
          <cell r="G302">
            <v>30</v>
          </cell>
          <cell r="H302" t="str">
            <v>ALICIA.PARADA@UTALCA.CL</v>
          </cell>
          <cell r="I302">
            <v>44562</v>
          </cell>
          <cell r="J302">
            <v>46446</v>
          </cell>
          <cell r="K302" t="str">
            <v>CONTRATA</v>
          </cell>
          <cell r="L302" t="str">
            <v>CA DOCENTE</v>
          </cell>
          <cell r="M302" t="str">
            <v>INSTRUCTOR</v>
          </cell>
          <cell r="N302" t="str">
            <v>GRADO D</v>
          </cell>
          <cell r="O302" t="str">
            <v>MAGISTER</v>
          </cell>
          <cell r="P302" t="str">
            <v>MAGISTER EN DOCENCIA Y GESTION PARA LA EDUCAC</v>
          </cell>
          <cell r="Q302" t="str">
            <v>TALCA</v>
          </cell>
          <cell r="R302" t="str">
            <v>FACULTAD DE CIENCIAS DE LA SALUD</v>
          </cell>
          <cell r="S302" t="str">
            <v>ESCUELA DE OBSTETRICIA Y PUERICULTURA</v>
          </cell>
        </row>
        <row r="303">
          <cell r="A303">
            <v>11763825</v>
          </cell>
          <cell r="B303" t="str">
            <v>11763825</v>
          </cell>
          <cell r="C303" t="str">
            <v>1</v>
          </cell>
          <cell r="D303" t="str">
            <v>MOISAN UBILLA RODRIGO ALBERTO</v>
          </cell>
          <cell r="E303" t="str">
            <v/>
          </cell>
          <cell r="F303">
            <v>44</v>
          </cell>
          <cell r="G303">
            <v>30</v>
          </cell>
          <cell r="H303" t="str">
            <v>RMOISAN@UTALCA.CL</v>
          </cell>
          <cell r="I303">
            <v>41730</v>
          </cell>
          <cell r="J303">
            <v>46387</v>
          </cell>
          <cell r="K303" t="str">
            <v>CONTRATA</v>
          </cell>
          <cell r="L303" t="str">
            <v>INVESTIGADOR ASISTENTE</v>
          </cell>
          <cell r="M303" t="str">
            <v>PROFESIONAL</v>
          </cell>
          <cell r="N303" t="str">
            <v>GRADO I.17</v>
          </cell>
          <cell r="O303" t="str">
            <v>MAGISTER</v>
          </cell>
          <cell r="P303" t="str">
            <v>MAGISTER EN GESTIÓN TECNOLOGICA</v>
          </cell>
          <cell r="Q303" t="str">
            <v>TALCA</v>
          </cell>
          <cell r="R303" t="str">
            <v>FACULTAD DE CIENCIAS AGRARIAS</v>
          </cell>
          <cell r="S303" t="str">
            <v>CENTRO TECNOLÓGICO DE LA VID Y EL VINO</v>
          </cell>
        </row>
        <row r="304">
          <cell r="A304">
            <v>11764210</v>
          </cell>
          <cell r="B304" t="str">
            <v>11764210</v>
          </cell>
          <cell r="C304" t="str">
            <v>0</v>
          </cell>
          <cell r="D304" t="str">
            <v>MORALES HERNANDEZ WILSON ELOY</v>
          </cell>
          <cell r="E304" t="str">
            <v>FCI310009</v>
          </cell>
          <cell r="F304">
            <v>44</v>
          </cell>
          <cell r="G304">
            <v>30</v>
          </cell>
          <cell r="H304" t="str">
            <v>WMORALES@UTALCA.CL</v>
          </cell>
          <cell r="I304">
            <v>43101</v>
          </cell>
          <cell r="J304">
            <v>2958465</v>
          </cell>
          <cell r="K304" t="str">
            <v>PLANTA</v>
          </cell>
          <cell r="L304" t="str">
            <v>ADMINISTRATIVO</v>
          </cell>
          <cell r="M304" t="str">
            <v>ADMINISTRATIVO</v>
          </cell>
          <cell r="N304" t="str">
            <v>GRADO I.21</v>
          </cell>
          <cell r="O304" t="str">
            <v>TÉC. NIVEL MEDIO</v>
          </cell>
          <cell r="P304" t="str">
            <v>TÉCNICO EN MECÁNICA DE COMBUSTIÓN INTERNA</v>
          </cell>
          <cell r="Q304" t="str">
            <v>CURICO</v>
          </cell>
          <cell r="R304" t="str">
            <v>FACULTAD DE INGENIERÍA</v>
          </cell>
          <cell r="S304" t="str">
            <v>ESCUELA DE INGENIERÍA CIVIL EN MECÁNICA</v>
          </cell>
        </row>
        <row r="305">
          <cell r="A305">
            <v>11765427</v>
          </cell>
          <cell r="B305" t="str">
            <v>11765427</v>
          </cell>
          <cell r="C305" t="str">
            <v>3</v>
          </cell>
          <cell r="D305" t="str">
            <v>DIAZ GUZMAN MARIA DE LAS MERCE</v>
          </cell>
          <cell r="E305" t="str">
            <v>VRF400005</v>
          </cell>
          <cell r="F305">
            <v>44</v>
          </cell>
          <cell r="G305">
            <v>30</v>
          </cell>
          <cell r="H305" t="str">
            <v>MARIA.DIAZ@UTALCA.CL</v>
          </cell>
          <cell r="I305">
            <v>44986</v>
          </cell>
          <cell r="J305">
            <v>46387</v>
          </cell>
          <cell r="K305" t="str">
            <v>CONTRATA</v>
          </cell>
          <cell r="L305" t="str">
            <v>AUXILIAR</v>
          </cell>
          <cell r="M305" t="str">
            <v>AUXILIAR</v>
          </cell>
          <cell r="N305" t="str">
            <v>GRADO I.24</v>
          </cell>
          <cell r="O305" t="str">
            <v>ESPECIAL. ODONTOLÓG.</v>
          </cell>
          <cell r="P305" t="str">
            <v>ESCUELA BRASILIA, SANTIAGO</v>
          </cell>
          <cell r="Q305" t="str">
            <v>TALCA</v>
          </cell>
          <cell r="R305" t="str">
            <v>VICERRECTORÍA DE FORMACIÓN</v>
          </cell>
          <cell r="S305" t="str">
            <v>PROGRAMA DE DEPORTES</v>
          </cell>
        </row>
        <row r="306">
          <cell r="A306">
            <v>11792602</v>
          </cell>
          <cell r="B306" t="str">
            <v>11792602</v>
          </cell>
          <cell r="C306" t="str">
            <v>8</v>
          </cell>
          <cell r="D306" t="str">
            <v>ABARZUA LOPEZ SANDRA PILAR</v>
          </cell>
          <cell r="E306" t="str">
            <v>FAD310001</v>
          </cell>
          <cell r="F306">
            <v>44</v>
          </cell>
          <cell r="G306">
            <v>30</v>
          </cell>
          <cell r="H306" t="str">
            <v>SABARZUA@UTALCA.CL</v>
          </cell>
          <cell r="I306">
            <v>43466</v>
          </cell>
          <cell r="J306">
            <v>46387</v>
          </cell>
          <cell r="K306" t="str">
            <v>CONTRATA</v>
          </cell>
          <cell r="L306" t="str">
            <v>ADMINISTRATIVO</v>
          </cell>
          <cell r="M306" t="str">
            <v>ADMINISTRATIVO</v>
          </cell>
          <cell r="N306" t="str">
            <v>GRADO I.21</v>
          </cell>
          <cell r="O306" t="str">
            <v>TÍTULO PROFESIONAL</v>
          </cell>
          <cell r="P306" t="str">
            <v>INGENIERO DE EJECUCIÓN EN ADMINISTRACIÓN</v>
          </cell>
          <cell r="Q306" t="str">
            <v>LINARES</v>
          </cell>
          <cell r="R306" t="str">
            <v>FACULTAD DE ARQUITECTUR, MÚSICA Y DISEÑO</v>
          </cell>
          <cell r="S306" t="str">
            <v>ESCUELA DE ARQUITECTURA</v>
          </cell>
        </row>
        <row r="307">
          <cell r="A307">
            <v>11808499</v>
          </cell>
          <cell r="B307" t="str">
            <v>11808499</v>
          </cell>
          <cell r="C307" t="str">
            <v>3</v>
          </cell>
          <cell r="D307" t="str">
            <v>FAJARDO YAÑEZ LEICHSON ALEX</v>
          </cell>
          <cell r="E307" t="str">
            <v>VAC400024</v>
          </cell>
          <cell r="F307">
            <v>44</v>
          </cell>
          <cell r="G307">
            <v>30</v>
          </cell>
          <cell r="H307" t="str">
            <v>ALEX.FAJARDO@UTALCA.CL</v>
          </cell>
          <cell r="I307">
            <v>44317</v>
          </cell>
          <cell r="J307">
            <v>46387</v>
          </cell>
          <cell r="K307" t="str">
            <v>CONTRATA</v>
          </cell>
          <cell r="L307" t="str">
            <v>INVESTIGADOR ASOCIADO</v>
          </cell>
          <cell r="M307" t="str">
            <v>INVESTIGADOR</v>
          </cell>
          <cell r="N307" t="str">
            <v>SIN GRADO</v>
          </cell>
          <cell r="O307" t="str">
            <v>DOCTORADO</v>
          </cell>
          <cell r="P307" t="str">
            <v>DOCTOR OF PHILOSOPHY</v>
          </cell>
          <cell r="Q307" t="str">
            <v>TALCA</v>
          </cell>
          <cell r="R307" t="str">
            <v>VICERRECTORÍA ACADÉMICA</v>
          </cell>
          <cell r="S307" t="str">
            <v>VICERRECTORÍA ACADÉMICA</v>
          </cell>
        </row>
        <row r="308">
          <cell r="A308">
            <v>11839210</v>
          </cell>
          <cell r="B308" t="str">
            <v>11839210</v>
          </cell>
          <cell r="C308" t="str">
            <v>8</v>
          </cell>
          <cell r="D308" t="str">
            <v>RUIZ-TAGLE GUTIÉRREZ IGOR ALBE</v>
          </cell>
          <cell r="E308" t="str">
            <v>FCI320007</v>
          </cell>
          <cell r="F308">
            <v>44</v>
          </cell>
          <cell r="G308">
            <v>30</v>
          </cell>
          <cell r="H308" t="str">
            <v>IGOR.RUIZTAGLE@UTALCA.CL</v>
          </cell>
          <cell r="I308">
            <v>36892</v>
          </cell>
          <cell r="J308">
            <v>46446</v>
          </cell>
          <cell r="K308" t="str">
            <v>CONTRATA</v>
          </cell>
          <cell r="L308" t="str">
            <v>CA DOCENTE</v>
          </cell>
          <cell r="M308" t="str">
            <v>INSTRUCTOR</v>
          </cell>
          <cell r="N308" t="str">
            <v>GRADO D</v>
          </cell>
          <cell r="O308" t="str">
            <v>DOCTORADO</v>
          </cell>
          <cell r="P308" t="str">
            <v>DOCTOR EN FISICOQUIMICA MOLECULAR</v>
          </cell>
          <cell r="Q308" t="str">
            <v>CURICO</v>
          </cell>
          <cell r="R308" t="str">
            <v>FACULTAD DE INGENIERÍA</v>
          </cell>
          <cell r="S308" t="str">
            <v>DEPARTAMENTO DE INGENIERÍA ELÉCTRICA</v>
          </cell>
        </row>
        <row r="309">
          <cell r="A309">
            <v>11840461</v>
          </cell>
          <cell r="B309" t="str">
            <v>11840461</v>
          </cell>
          <cell r="C309" t="str">
            <v>0</v>
          </cell>
          <cell r="D309" t="str">
            <v>LORCA ALVAREZ JAVIER ANDRES</v>
          </cell>
          <cell r="E309" t="str">
            <v>FAD320003</v>
          </cell>
          <cell r="F309">
            <v>44</v>
          </cell>
          <cell r="G309">
            <v>30</v>
          </cell>
          <cell r="H309" t="str">
            <v>JLORCA@UTALCA.CL</v>
          </cell>
          <cell r="I309">
            <v>38808</v>
          </cell>
          <cell r="J309">
            <v>2958465</v>
          </cell>
          <cell r="K309" t="str">
            <v>PLANTA</v>
          </cell>
          <cell r="L309" t="str">
            <v>CA ORDINARIA</v>
          </cell>
          <cell r="M309" t="str">
            <v>PROFESOR ASISTENTE</v>
          </cell>
          <cell r="N309" t="str">
            <v>GRADO C</v>
          </cell>
          <cell r="O309" t="str">
            <v>MAGISTER</v>
          </cell>
          <cell r="P309" t="str">
            <v>MÁSTER DISEÑO INDUSTRIAL Y CREACIÓN DE PRODUC</v>
          </cell>
          <cell r="Q309" t="str">
            <v>TALCA</v>
          </cell>
          <cell r="R309" t="str">
            <v>FACULTAD DE ARQUITECTUR, MÚSICA Y DISEÑO</v>
          </cell>
          <cell r="S309" t="str">
            <v>DEPARTAMENTO DE DISEÑO</v>
          </cell>
        </row>
        <row r="310">
          <cell r="A310">
            <v>11844484</v>
          </cell>
          <cell r="B310" t="str">
            <v>11844484</v>
          </cell>
          <cell r="C310" t="str">
            <v>1</v>
          </cell>
          <cell r="D310" t="str">
            <v>RIVEROS GOMEZ PAOLA ALEJANDRA</v>
          </cell>
          <cell r="E310" t="str">
            <v>ADC030141</v>
          </cell>
          <cell r="F310">
            <v>44</v>
          </cell>
          <cell r="G310">
            <v>30</v>
          </cell>
          <cell r="H310" t="str">
            <v>PRIVEROS@UTALCA.CL</v>
          </cell>
          <cell r="I310">
            <v>39275</v>
          </cell>
          <cell r="J310">
            <v>2958465</v>
          </cell>
          <cell r="K310" t="str">
            <v>PLANTA</v>
          </cell>
          <cell r="L310" t="str">
            <v>ADMINISTRATIVO</v>
          </cell>
          <cell r="M310" t="str">
            <v>ADMINISTRATIVO</v>
          </cell>
          <cell r="N310" t="str">
            <v>GRADO I.18</v>
          </cell>
          <cell r="O310" t="str">
            <v>MAGISTER</v>
          </cell>
          <cell r="P310" t="str">
            <v>MAGISTER EN GOBIERNO, POLITICAS PUBLICAS Y TE</v>
          </cell>
          <cell r="Q310" t="str">
            <v>SANTIAGO</v>
          </cell>
          <cell r="R310" t="str">
            <v>FACULTAD DE ECONOMÍA Y NEGOCIOS</v>
          </cell>
          <cell r="S310" t="str">
            <v>ESC. DE INGENIERÍA COMERCIAL DE SANTIAGO</v>
          </cell>
        </row>
        <row r="311">
          <cell r="A311">
            <v>11876866</v>
          </cell>
          <cell r="B311" t="str">
            <v>11876866</v>
          </cell>
          <cell r="C311" t="str">
            <v>3</v>
          </cell>
          <cell r="D311" t="str">
            <v>YAÑEZ RIVERA XIMENA DEL PILAR</v>
          </cell>
          <cell r="E311" t="str">
            <v>VGE400053</v>
          </cell>
          <cell r="F311">
            <v>44</v>
          </cell>
          <cell r="G311">
            <v>30</v>
          </cell>
          <cell r="H311" t="str">
            <v>XYANEZ@UTALCA.CL</v>
          </cell>
          <cell r="I311">
            <v>40179</v>
          </cell>
          <cell r="J311">
            <v>46387</v>
          </cell>
          <cell r="K311" t="str">
            <v>CONTRATA</v>
          </cell>
          <cell r="L311" t="str">
            <v>AUXILIAR</v>
          </cell>
          <cell r="M311" t="str">
            <v>AUXILIAR</v>
          </cell>
          <cell r="N311" t="str">
            <v>GRADO I.24</v>
          </cell>
          <cell r="O311" t="str">
            <v>TÉC. NIVEL MEDIO</v>
          </cell>
          <cell r="P311" t="str">
            <v>TÉCNICO EN CONTABILIDAD</v>
          </cell>
          <cell r="Q311" t="str">
            <v>TALCA</v>
          </cell>
          <cell r="R311" t="str">
            <v>VIC. GESTIÓN ECONÓMICA Y ADMINISTRACIÓN</v>
          </cell>
          <cell r="S311" t="str">
            <v>DIRECCIÓN DE LOGÍSTICA Y SERVICIOS</v>
          </cell>
        </row>
        <row r="312">
          <cell r="A312">
            <v>11892252</v>
          </cell>
          <cell r="B312" t="str">
            <v>11892252</v>
          </cell>
          <cell r="C312" t="str">
            <v>2</v>
          </cell>
          <cell r="D312" t="str">
            <v>ROJAS GONZALEZ MIRTA LIDIA</v>
          </cell>
          <cell r="E312" t="str">
            <v>FEN310004</v>
          </cell>
          <cell r="F312">
            <v>44</v>
          </cell>
          <cell r="G312">
            <v>30</v>
          </cell>
          <cell r="H312" t="str">
            <v>MIRTAROJAS@UTALCA.CL</v>
          </cell>
          <cell r="I312">
            <v>34075</v>
          </cell>
          <cell r="J312">
            <v>2958465</v>
          </cell>
          <cell r="K312" t="str">
            <v>PLANTA</v>
          </cell>
          <cell r="L312" t="str">
            <v>ADMINISTRATIVO</v>
          </cell>
          <cell r="M312" t="str">
            <v>ADMINISTRATIVO</v>
          </cell>
          <cell r="N312" t="str">
            <v>GRADO I.16</v>
          </cell>
          <cell r="O312" t="str">
            <v>TÉC. NIVEL MEDIO</v>
          </cell>
          <cell r="P312" t="str">
            <v>SECRETARIA ADMINISTRATIVA</v>
          </cell>
          <cell r="Q312" t="str">
            <v>TALCA</v>
          </cell>
          <cell r="R312" t="str">
            <v>FACULTAD DE ECONOMÍA Y NEGOCIOS</v>
          </cell>
          <cell r="S312" t="str">
            <v>ESC. AUDITORIA Y CONTROL DE GESTIÓN TLCA</v>
          </cell>
        </row>
        <row r="313">
          <cell r="A313">
            <v>11893439</v>
          </cell>
          <cell r="B313" t="str">
            <v>11893439</v>
          </cell>
          <cell r="C313" t="str">
            <v>3</v>
          </cell>
          <cell r="D313" t="str">
            <v>FUENTES ABURTO JAIME ANTONIO</v>
          </cell>
          <cell r="E313" t="str">
            <v>FCS320001</v>
          </cell>
          <cell r="F313">
            <v>44</v>
          </cell>
          <cell r="G313">
            <v>30</v>
          </cell>
          <cell r="H313" t="str">
            <v>JAFUENTES@UTALCA.CL</v>
          </cell>
          <cell r="I313">
            <v>43466</v>
          </cell>
          <cell r="J313">
            <v>46387</v>
          </cell>
          <cell r="K313" t="str">
            <v>CONTRATA</v>
          </cell>
          <cell r="L313" t="str">
            <v>ADMINISTRATIVO</v>
          </cell>
          <cell r="M313" t="str">
            <v>ADMINISTRATIVO</v>
          </cell>
          <cell r="N313" t="str">
            <v>GRADO I.21</v>
          </cell>
          <cell r="O313" t="str">
            <v>TÍTULO PROFESIONAL</v>
          </cell>
          <cell r="P313" t="str">
            <v>INGENIERO EN INFORMÁICA</v>
          </cell>
          <cell r="Q313" t="str">
            <v>TALCA</v>
          </cell>
          <cell r="R313" t="str">
            <v>FACULTAD DE CIENCIAS DE LA SALUD</v>
          </cell>
          <cell r="S313" t="str">
            <v>DPTO. BIOQUÍM. CLÍN. E INMUNOHEMATOLOGÍA</v>
          </cell>
        </row>
        <row r="314">
          <cell r="A314">
            <v>11894280</v>
          </cell>
          <cell r="B314" t="str">
            <v>11894280</v>
          </cell>
          <cell r="C314" t="str">
            <v>9</v>
          </cell>
          <cell r="D314" t="str">
            <v>GUTIERREZ CABRERA MARGARITA IS</v>
          </cell>
          <cell r="E314" t="str">
            <v>IQR300001</v>
          </cell>
          <cell r="F314">
            <v>44</v>
          </cell>
          <cell r="G314">
            <v>30</v>
          </cell>
          <cell r="H314" t="str">
            <v>MGUTIERREZ@UTALCA.CL</v>
          </cell>
          <cell r="I314">
            <v>39873</v>
          </cell>
          <cell r="J314">
            <v>2958465</v>
          </cell>
          <cell r="K314" t="str">
            <v>PLANTA</v>
          </cell>
          <cell r="L314" t="str">
            <v>CA ORDINARIA</v>
          </cell>
          <cell r="M314" t="str">
            <v>PROFESOR TITULAR</v>
          </cell>
          <cell r="N314" t="str">
            <v>GRADO A</v>
          </cell>
          <cell r="O314" t="str">
            <v>DOCTORADO</v>
          </cell>
          <cell r="P314" t="str">
            <v>DOCTOR EN CIENCIAS CON M/ EN INVESTIGACION Y</v>
          </cell>
          <cell r="Q314" t="str">
            <v>TALCA</v>
          </cell>
          <cell r="R314" t="str">
            <v>INSTITUTO QUÍMICA DE RECURSOS NATURALES</v>
          </cell>
          <cell r="S314" t="str">
            <v>INSTITUTO QUÍMICA DE RECURSOS NATURALES</v>
          </cell>
        </row>
        <row r="315">
          <cell r="A315">
            <v>11894496</v>
          </cell>
          <cell r="B315" t="str">
            <v>11894496</v>
          </cell>
          <cell r="C315" t="str">
            <v>8</v>
          </cell>
          <cell r="D315" t="str">
            <v>GAJARDO LOPEZ RAMIRO ANTONIO</v>
          </cell>
          <cell r="E315" t="str">
            <v>ADC022001</v>
          </cell>
          <cell r="F315">
            <v>44</v>
          </cell>
          <cell r="G315">
            <v>30</v>
          </cell>
          <cell r="H315" t="str">
            <v>RAGAJARDO@UTALCA.CL</v>
          </cell>
          <cell r="I315">
            <v>43101</v>
          </cell>
          <cell r="J315">
            <v>46387</v>
          </cell>
          <cell r="K315" t="str">
            <v>CONTRATA</v>
          </cell>
          <cell r="L315" t="str">
            <v>ADMINISTRATIVO</v>
          </cell>
          <cell r="M315" t="str">
            <v>ADMINISTRATIVO</v>
          </cell>
          <cell r="N315" t="str">
            <v>GRADO I.21</v>
          </cell>
          <cell r="O315" t="str">
            <v>TÉC. NIVEL MEDIO</v>
          </cell>
          <cell r="P315" t="str">
            <v>MECÁNICA DE MÁQUINAS HERRAMIENTAS</v>
          </cell>
          <cell r="Q315" t="str">
            <v>TALCA</v>
          </cell>
          <cell r="R315" t="str">
            <v>DIRECCIÓN DE EXTENSIÓN</v>
          </cell>
          <cell r="S315" t="str">
            <v>DIRECCIÓN DE EXTENSIÓN</v>
          </cell>
        </row>
        <row r="316">
          <cell r="A316">
            <v>11895002</v>
          </cell>
          <cell r="B316" t="str">
            <v>11895002</v>
          </cell>
          <cell r="C316" t="str">
            <v>K</v>
          </cell>
          <cell r="D316" t="str">
            <v>SALGADO ROJAS GABRIELA LUCIA</v>
          </cell>
          <cell r="E316" t="str">
            <v>VRF400043</v>
          </cell>
          <cell r="F316">
            <v>44</v>
          </cell>
          <cell r="G316">
            <v>30</v>
          </cell>
          <cell r="H316" t="str">
            <v>GABRIELA.SALGADO@UTALCA.CL</v>
          </cell>
          <cell r="I316">
            <v>45566</v>
          </cell>
          <cell r="J316">
            <v>46387</v>
          </cell>
          <cell r="K316" t="str">
            <v>CONTRATA</v>
          </cell>
          <cell r="L316" t="str">
            <v>AUXILIAR</v>
          </cell>
          <cell r="M316" t="str">
            <v>AUXILIAR</v>
          </cell>
          <cell r="N316" t="str">
            <v>GRADO I.24</v>
          </cell>
          <cell r="O316" t="str">
            <v>TÉC. NIVEL MEDIO</v>
          </cell>
          <cell r="P316" t="str">
            <v>TECNICO EN ATENCION DE PARVULOS</v>
          </cell>
          <cell r="Q316" t="str">
            <v>TALCA</v>
          </cell>
          <cell r="R316" t="str">
            <v>VICERRECTORÍA DE FORMACIÓN</v>
          </cell>
          <cell r="S316" t="str">
            <v>DPTO. DE GESTIÓN DE INFORM. ESTUDIANTIL</v>
          </cell>
        </row>
        <row r="317">
          <cell r="A317">
            <v>11895236</v>
          </cell>
          <cell r="B317" t="str">
            <v>11895236</v>
          </cell>
          <cell r="C317" t="str">
            <v>7</v>
          </cell>
          <cell r="D317" t="str">
            <v>SANTELICES VERGARA PAOLA ANDRE</v>
          </cell>
          <cell r="E317" t="str">
            <v>VGE400005</v>
          </cell>
          <cell r="F317">
            <v>44</v>
          </cell>
          <cell r="G317">
            <v>30</v>
          </cell>
          <cell r="H317" t="str">
            <v>PSANTELICES@UTALCA.CL</v>
          </cell>
          <cell r="I317">
            <v>38870</v>
          </cell>
          <cell r="J317">
            <v>2958465</v>
          </cell>
          <cell r="K317" t="str">
            <v>PLANTA</v>
          </cell>
          <cell r="L317" t="str">
            <v>ADMINISTRATIVO</v>
          </cell>
          <cell r="M317" t="str">
            <v>ADMINISTRATIVO</v>
          </cell>
          <cell r="N317" t="str">
            <v>GRADO I.19</v>
          </cell>
          <cell r="O317" t="str">
            <v>TÍTULO PROFESIONAL</v>
          </cell>
          <cell r="P317" t="str">
            <v>INGENIERO EJECUCIÓN EN ADMINISTRACIÓN DE EMPR</v>
          </cell>
          <cell r="Q317" t="str">
            <v>TALCA</v>
          </cell>
          <cell r="R317" t="str">
            <v>VIC. GESTIÓN ECONÓMICA Y ADMINISTRACIÓN</v>
          </cell>
          <cell r="S317" t="str">
            <v>DEPARTAMENTO DE GESTIÓN DE COMPRAS</v>
          </cell>
        </row>
        <row r="318">
          <cell r="A318">
            <v>11895325</v>
          </cell>
          <cell r="B318" t="str">
            <v>11895325</v>
          </cell>
          <cell r="C318" t="str">
            <v>8</v>
          </cell>
          <cell r="D318" t="str">
            <v>JARA GARCES CARLOS ALFONSO</v>
          </cell>
          <cell r="E318" t="str">
            <v>ADC030114</v>
          </cell>
          <cell r="F318">
            <v>44</v>
          </cell>
          <cell r="G318">
            <v>30</v>
          </cell>
          <cell r="H318" t="str">
            <v>CJARA@UTALCA.CL</v>
          </cell>
          <cell r="I318">
            <v>37987</v>
          </cell>
          <cell r="J318">
            <v>46387</v>
          </cell>
          <cell r="K318" t="str">
            <v>CONTRATA</v>
          </cell>
          <cell r="L318" t="str">
            <v>PROFESIONAL</v>
          </cell>
          <cell r="M318" t="str">
            <v>PROFESIONAL</v>
          </cell>
          <cell r="N318" t="str">
            <v>GRADO I.17</v>
          </cell>
          <cell r="O318" t="str">
            <v>TÍTULO PROFESIONAL</v>
          </cell>
          <cell r="P318" t="str">
            <v>ARQUITECTO</v>
          </cell>
          <cell r="Q318" t="str">
            <v>TALCA</v>
          </cell>
          <cell r="R318" t="str">
            <v>DIRECCIÓN DE ASEGURAMIENTO DE LA CALIDAD</v>
          </cell>
          <cell r="S318" t="str">
            <v>DPTO. DE DESARROLLO DE INFRAESTRUCTURA</v>
          </cell>
        </row>
        <row r="319">
          <cell r="A319">
            <v>11895630</v>
          </cell>
          <cell r="B319" t="str">
            <v>11895630</v>
          </cell>
          <cell r="C319" t="str">
            <v>3</v>
          </cell>
          <cell r="D319" t="str">
            <v>GIACAMAN SARAH RODRIGO ANDRES</v>
          </cell>
          <cell r="E319" t="str">
            <v>FOD320001</v>
          </cell>
          <cell r="F319">
            <v>44</v>
          </cell>
          <cell r="G319">
            <v>30</v>
          </cell>
          <cell r="H319" t="str">
            <v>GIACAMAN@UTALCA.CL</v>
          </cell>
          <cell r="I319">
            <v>35490</v>
          </cell>
          <cell r="J319">
            <v>2958465</v>
          </cell>
          <cell r="K319" t="str">
            <v>PLANTA</v>
          </cell>
          <cell r="L319" t="str">
            <v>CA ORDINARIA</v>
          </cell>
          <cell r="M319" t="str">
            <v>PROFESOR TITULAR</v>
          </cell>
          <cell r="N319" t="str">
            <v>GRADO A</v>
          </cell>
          <cell r="O319" t="str">
            <v>DOCTORADO</v>
          </cell>
          <cell r="P319" t="str">
            <v>DOCTOR OF PHILOSOPHY, ORAL BIOLOGY</v>
          </cell>
          <cell r="Q319" t="str">
            <v>TALCA</v>
          </cell>
          <cell r="R319" t="str">
            <v>FACULTAD DE ODONTOLOGÍA</v>
          </cell>
          <cell r="S319" t="str">
            <v>DPTO. REHABILITACIÓN BUCO-MAXILOFACIAL</v>
          </cell>
        </row>
        <row r="320">
          <cell r="A320">
            <v>11919599</v>
          </cell>
          <cell r="B320" t="str">
            <v>11919599</v>
          </cell>
          <cell r="C320" t="str">
            <v>3</v>
          </cell>
          <cell r="D320" t="str">
            <v>MANRIQUEZ NOVOA PAULA ANDREA</v>
          </cell>
          <cell r="E320" t="str">
            <v>FCA320001</v>
          </cell>
          <cell r="F320">
            <v>44</v>
          </cell>
          <cell r="G320">
            <v>30</v>
          </cell>
          <cell r="H320" t="str">
            <v>PMANRIQ@UTALCA.CL</v>
          </cell>
          <cell r="I320">
            <v>37803</v>
          </cell>
          <cell r="J320">
            <v>2958465</v>
          </cell>
          <cell r="K320" t="str">
            <v>PLANTA</v>
          </cell>
          <cell r="L320" t="str">
            <v>CA ORDINARIA</v>
          </cell>
          <cell r="M320" t="str">
            <v>PROFESOR ASISTENTE</v>
          </cell>
          <cell r="N320" t="str">
            <v>GRADO C</v>
          </cell>
          <cell r="O320" t="str">
            <v>MAGISTER</v>
          </cell>
          <cell r="P320" t="str">
            <v>MAGISTER EN ADMINISTRACION DE EMPRESAS</v>
          </cell>
          <cell r="Q320" t="str">
            <v>TALCA</v>
          </cell>
          <cell r="R320" t="str">
            <v>FACULTAD DE CIENCIAS AGRARIAS</v>
          </cell>
          <cell r="S320" t="str">
            <v>DEPARTAMENTO DE ECONOMÍA AGRARIA</v>
          </cell>
        </row>
        <row r="321">
          <cell r="A321">
            <v>11949076</v>
          </cell>
          <cell r="B321" t="str">
            <v>11949076</v>
          </cell>
          <cell r="C321" t="str">
            <v>6</v>
          </cell>
          <cell r="D321" t="str">
            <v>MARQUEZ BASTIAS JENNY NATALIE</v>
          </cell>
          <cell r="E321" t="str">
            <v>VDE400002</v>
          </cell>
          <cell r="F321">
            <v>44</v>
          </cell>
          <cell r="G321">
            <v>30</v>
          </cell>
          <cell r="H321" t="str">
            <v>JENNY.MARQUEZ@UTALCA.CL</v>
          </cell>
          <cell r="I321">
            <v>45413</v>
          </cell>
          <cell r="J321">
            <v>46387</v>
          </cell>
          <cell r="K321" t="str">
            <v>CONTRATA</v>
          </cell>
          <cell r="L321" t="str">
            <v>TÉCNICO</v>
          </cell>
          <cell r="M321" t="str">
            <v>TÉCNICO</v>
          </cell>
          <cell r="N321" t="str">
            <v>GRADO I.23</v>
          </cell>
          <cell r="O321" t="str">
            <v>TÉC. NIVEL SUPERIOR</v>
          </cell>
          <cell r="P321" t="str">
            <v>TECNICO EN GESTIÓN DE RECURSOS HUMANOS</v>
          </cell>
          <cell r="Q321" t="str">
            <v>TALCA</v>
          </cell>
          <cell r="R321" t="str">
            <v>VICERRECTORÍA DE DESARROLLO ESTUDIANTIL</v>
          </cell>
          <cell r="S321" t="str">
            <v>DRCCIÓN. APOYO A ORG. E INICIA. ESTUD.</v>
          </cell>
        </row>
        <row r="322">
          <cell r="A322">
            <v>11955917</v>
          </cell>
          <cell r="B322" t="str">
            <v>11955917</v>
          </cell>
          <cell r="C322" t="str">
            <v>0</v>
          </cell>
          <cell r="D322" t="str">
            <v>OLAVE ARAVENA ALEJANDRA HORTEN</v>
          </cell>
          <cell r="E322" t="str">
            <v>VRF400020</v>
          </cell>
          <cell r="F322">
            <v>44</v>
          </cell>
          <cell r="G322">
            <v>30</v>
          </cell>
          <cell r="H322" t="str">
            <v>ALEJANDRA.OLAVE@UTALCA.CL</v>
          </cell>
          <cell r="I322">
            <v>43466</v>
          </cell>
          <cell r="J322">
            <v>46387</v>
          </cell>
          <cell r="K322" t="str">
            <v>CONTRATA</v>
          </cell>
          <cell r="L322" t="str">
            <v>ADMINISTRATIVO</v>
          </cell>
          <cell r="M322" t="str">
            <v>ADMINISTRATIVO</v>
          </cell>
          <cell r="N322" t="str">
            <v>GRADO I.21</v>
          </cell>
          <cell r="O322" t="str">
            <v>TÉC. NIVEL SUPERIOR</v>
          </cell>
          <cell r="P322" t="str">
            <v>SECRETARIA EJECUTIVA COMPUTACIONAL</v>
          </cell>
          <cell r="Q322" t="str">
            <v>TALCA</v>
          </cell>
          <cell r="R322" t="str">
            <v>VICERRECTORÍA DE FORMACIÓN</v>
          </cell>
          <cell r="S322" t="str">
            <v>DIRECCIÓN DE POSTGRADO</v>
          </cell>
        </row>
        <row r="323">
          <cell r="A323">
            <v>11962190</v>
          </cell>
          <cell r="B323" t="str">
            <v>11962190</v>
          </cell>
          <cell r="C323" t="str">
            <v>9</v>
          </cell>
          <cell r="D323" t="str">
            <v>GONZALEZ MEJIAS GABRIEL EDUARD</v>
          </cell>
          <cell r="E323" t="str">
            <v>FED200001</v>
          </cell>
          <cell r="F323">
            <v>44</v>
          </cell>
          <cell r="G323">
            <v>30</v>
          </cell>
          <cell r="H323" t="str">
            <v>GAGONZALEZ@UTALCA.CL</v>
          </cell>
          <cell r="I323">
            <v>43466</v>
          </cell>
          <cell r="J323">
            <v>46387</v>
          </cell>
          <cell r="K323" t="str">
            <v>CONTRATA</v>
          </cell>
          <cell r="L323" t="str">
            <v>PROFESIONAL</v>
          </cell>
          <cell r="M323" t="str">
            <v>PROFESIONAL</v>
          </cell>
          <cell r="N323" t="str">
            <v>GRADO I.17</v>
          </cell>
          <cell r="O323" t="str">
            <v>TÍTULO PROFESIONAL</v>
          </cell>
          <cell r="P323" t="str">
            <v>CONTADOR AUDITOR</v>
          </cell>
          <cell r="Q323" t="str">
            <v>LINARES</v>
          </cell>
          <cell r="R323" t="str">
            <v>FACULTAD DE CIENCIAS DE LA EDUCACIÓN</v>
          </cell>
          <cell r="S323" t="str">
            <v>FACULTAD DE CIENCIAS DE LA EDUCACIÓN</v>
          </cell>
        </row>
        <row r="324">
          <cell r="A324">
            <v>11996287</v>
          </cell>
          <cell r="B324" t="str">
            <v>11996287</v>
          </cell>
          <cell r="C324" t="str">
            <v>0</v>
          </cell>
          <cell r="D324" t="str">
            <v>DIAZ VERGARA GLORIA ANGELICA</v>
          </cell>
          <cell r="E324" t="str">
            <v>VGE100002</v>
          </cell>
          <cell r="F324">
            <v>44</v>
          </cell>
          <cell r="G324">
            <v>30</v>
          </cell>
          <cell r="H324" t="str">
            <v>GDIAZ@UTALCA.CL</v>
          </cell>
          <cell r="I324">
            <v>36312</v>
          </cell>
          <cell r="J324">
            <v>2958465</v>
          </cell>
          <cell r="K324" t="str">
            <v>PLANTA</v>
          </cell>
          <cell r="L324" t="str">
            <v>ADMINISTRATIVO</v>
          </cell>
          <cell r="M324" t="str">
            <v>ADMINISTRATIVO</v>
          </cell>
          <cell r="N324" t="str">
            <v>GRADO I.16</v>
          </cell>
          <cell r="O324" t="str">
            <v>TÉC. NIVEL SUPERIOR</v>
          </cell>
          <cell r="P324" t="str">
            <v>SECRETARIA EJECUTIVA COMPUTACIONAL</v>
          </cell>
          <cell r="Q324" t="str">
            <v>TALCA</v>
          </cell>
          <cell r="R324" t="str">
            <v>VIC. GESTIÓN ECONÓMICA Y ADMINISTRACIÓN</v>
          </cell>
          <cell r="S324" t="str">
            <v>OFICINA DE SEGURIDAD DIGITAL</v>
          </cell>
        </row>
        <row r="325">
          <cell r="A325">
            <v>11999933</v>
          </cell>
          <cell r="B325" t="str">
            <v>11999933</v>
          </cell>
          <cell r="C325" t="str">
            <v>2</v>
          </cell>
          <cell r="D325" t="str">
            <v>VASQUEZ PALMA CAROLINA ISABEL</v>
          </cell>
          <cell r="E325" t="str">
            <v/>
          </cell>
          <cell r="F325">
            <v>22</v>
          </cell>
          <cell r="G325">
            <v>30</v>
          </cell>
          <cell r="H325" t="str">
            <v>CAVASQUEZ@UTALCA.CL</v>
          </cell>
          <cell r="I325">
            <v>37165</v>
          </cell>
          <cell r="J325">
            <v>46387</v>
          </cell>
          <cell r="K325" t="str">
            <v>CONTRATA</v>
          </cell>
          <cell r="L325" t="str">
            <v>INVESTIGADOR ASISTENTE</v>
          </cell>
          <cell r="M325" t="str">
            <v>PROFESIONAL</v>
          </cell>
          <cell r="N325" t="str">
            <v>GRADO I.17</v>
          </cell>
          <cell r="O325" t="str">
            <v>MAGISTER</v>
          </cell>
          <cell r="P325" t="str">
            <v>MAGISTER EN HORTICULTURA</v>
          </cell>
          <cell r="Q325" t="str">
            <v>TALCA</v>
          </cell>
          <cell r="R325" t="str">
            <v>FACULTAD DE CIENCIAS AGRARIAS</v>
          </cell>
          <cell r="S325" t="str">
            <v>CENTRO TECNOLÓGICO DE SUELOS Y CULTIVOS</v>
          </cell>
        </row>
        <row r="326">
          <cell r="A326">
            <v>12007389</v>
          </cell>
          <cell r="B326" t="str">
            <v>12007389</v>
          </cell>
          <cell r="C326" t="str">
            <v>3</v>
          </cell>
          <cell r="D326" t="str">
            <v>VERGARA CARMONA MARCO ANTONIO</v>
          </cell>
          <cell r="E326" t="str">
            <v>ADC024006</v>
          </cell>
          <cell r="F326">
            <v>44</v>
          </cell>
          <cell r="G326">
            <v>30</v>
          </cell>
          <cell r="H326" t="str">
            <v>MARCO.VERGARA@UTALCA.CL</v>
          </cell>
          <cell r="I326">
            <v>45108</v>
          </cell>
          <cell r="J326">
            <v>46387</v>
          </cell>
          <cell r="K326" t="str">
            <v>CONTRATA</v>
          </cell>
          <cell r="L326" t="str">
            <v>AUXILIAR</v>
          </cell>
          <cell r="M326" t="str">
            <v>AUXILIAR</v>
          </cell>
          <cell r="N326" t="str">
            <v>GRADO I.24</v>
          </cell>
          <cell r="O326" t="str">
            <v>TÉC. NIVEL SUPERIOR</v>
          </cell>
          <cell r="P326" t="str">
            <v>TÉCNICO EN PREVENCIÓN DE RIESGOS MENCIÓN MEDI</v>
          </cell>
          <cell r="Q326" t="str">
            <v>TALCA</v>
          </cell>
          <cell r="R326" t="str">
            <v>DRCCIÓN. GNAL. VINCULACIÓN CON EL MEDIO</v>
          </cell>
          <cell r="S326" t="str">
            <v>UND. JARDÍN BOTÁNICO Y ARBORETUM</v>
          </cell>
        </row>
        <row r="327">
          <cell r="A327">
            <v>12012135</v>
          </cell>
          <cell r="B327" t="str">
            <v>12012135</v>
          </cell>
          <cell r="C327" t="str">
            <v>9</v>
          </cell>
          <cell r="D327" t="str">
            <v>ROCHA GONZALEZ EVELYN ANNET</v>
          </cell>
          <cell r="E327" t="str">
            <v>ADC014004</v>
          </cell>
          <cell r="F327">
            <v>44</v>
          </cell>
          <cell r="G327">
            <v>30</v>
          </cell>
          <cell r="H327" t="str">
            <v>EROCHA@UTALCA.CL</v>
          </cell>
          <cell r="I327">
            <v>43466</v>
          </cell>
          <cell r="J327">
            <v>46387</v>
          </cell>
          <cell r="K327" t="str">
            <v>CONTRATA</v>
          </cell>
          <cell r="L327" t="str">
            <v>ADMINISTRATIVO</v>
          </cell>
          <cell r="M327" t="str">
            <v>ADMINISTRATIVO</v>
          </cell>
          <cell r="N327" t="str">
            <v>GRADO I.21</v>
          </cell>
          <cell r="O327" t="str">
            <v>TÉC. NIVEL SUPERIOR</v>
          </cell>
          <cell r="P327" t="str">
            <v>TECNICO EN ADMINISTRACION PUBLICA</v>
          </cell>
          <cell r="Q327" t="str">
            <v>TALCA</v>
          </cell>
          <cell r="R327" t="str">
            <v>SECRETARÍA GENERAL</v>
          </cell>
          <cell r="S327" t="str">
            <v>OFICINA DE GOBIERNO TRASPARENTE</v>
          </cell>
        </row>
        <row r="328">
          <cell r="A328">
            <v>12038875</v>
          </cell>
          <cell r="B328" t="str">
            <v>12038875</v>
          </cell>
          <cell r="C328" t="str">
            <v>4</v>
          </cell>
          <cell r="D328" t="str">
            <v>BRAVO PEZOA EDUARDO ENRIQUE</v>
          </cell>
          <cell r="E328" t="str">
            <v>IAM320001</v>
          </cell>
          <cell r="F328">
            <v>44</v>
          </cell>
          <cell r="G328">
            <v>30</v>
          </cell>
          <cell r="H328" t="str">
            <v>EDBRAVO@UTALCA.CL</v>
          </cell>
          <cell r="I328">
            <v>40725</v>
          </cell>
          <cell r="J328">
            <v>46387</v>
          </cell>
          <cell r="K328" t="str">
            <v>CONTRATA</v>
          </cell>
          <cell r="L328" t="str">
            <v>DIR EXCLU. CONFIANZA</v>
          </cell>
          <cell r="M328" t="str">
            <v>PROFESIONAL</v>
          </cell>
          <cell r="N328" t="str">
            <v>GRADO I.17</v>
          </cell>
          <cell r="O328" t="str">
            <v>TÍTULO PROFESIONAL</v>
          </cell>
          <cell r="P328" t="str">
            <v>PERIODISTA</v>
          </cell>
          <cell r="Q328" t="str">
            <v>TALCA</v>
          </cell>
          <cell r="R328" t="str">
            <v>INST. ESTUDIOS HUMANÍSTICOS ABATE J.I.M.</v>
          </cell>
          <cell r="S328" t="str">
            <v>CENTRO DE DOCUMENTACIÓN PATRIMONIAL</v>
          </cell>
        </row>
        <row r="329">
          <cell r="A329">
            <v>12061865</v>
          </cell>
          <cell r="B329" t="str">
            <v>12061865</v>
          </cell>
          <cell r="C329" t="str">
            <v>2</v>
          </cell>
          <cell r="D329" t="str">
            <v>BARROS MORALES MARCELA PAZ</v>
          </cell>
          <cell r="E329" t="str">
            <v>ADC021001</v>
          </cell>
          <cell r="F329">
            <v>44</v>
          </cell>
          <cell r="G329">
            <v>30</v>
          </cell>
          <cell r="H329" t="str">
            <v>MARCELA.BARROS@UTALCA.CL</v>
          </cell>
          <cell r="I329">
            <v>44685</v>
          </cell>
          <cell r="J329">
            <v>2958465</v>
          </cell>
          <cell r="K329" t="str">
            <v>PLANTA</v>
          </cell>
          <cell r="L329" t="str">
            <v>DIR EXCLU. CONFIANZA</v>
          </cell>
          <cell r="M329" t="str">
            <v>DIR EXCLU. CONFIANZA</v>
          </cell>
          <cell r="N329" t="str">
            <v>GRADO I.4</v>
          </cell>
          <cell r="O329" t="str">
            <v>TÍTULO PROFESIONAL</v>
          </cell>
          <cell r="P329" t="str">
            <v>PERIODISTA</v>
          </cell>
          <cell r="Q329" t="str">
            <v>TALCA</v>
          </cell>
          <cell r="R329" t="str">
            <v>DIRECCIÓN DE COMUNICACIONES CORPORATIVAS</v>
          </cell>
          <cell r="S329" t="str">
            <v>DIRECCIÓN DE COMUNICACIONES CORPORATIVAS</v>
          </cell>
        </row>
        <row r="330">
          <cell r="A330">
            <v>12093133</v>
          </cell>
          <cell r="B330" t="str">
            <v>12093133</v>
          </cell>
          <cell r="C330" t="str">
            <v>4</v>
          </cell>
          <cell r="D330" t="str">
            <v>VERDUGO LEAL JAIME ABRAHAM</v>
          </cell>
          <cell r="E330" t="str">
            <v>FED310009</v>
          </cell>
          <cell r="F330">
            <v>44</v>
          </cell>
          <cell r="G330">
            <v>30</v>
          </cell>
          <cell r="H330" t="str">
            <v>JVERDUGO@UTALCA.CL</v>
          </cell>
          <cell r="I330">
            <v>43344</v>
          </cell>
          <cell r="J330">
            <v>46446</v>
          </cell>
          <cell r="K330" t="str">
            <v>CONTRATA</v>
          </cell>
          <cell r="L330" t="str">
            <v>CA DOCENTE</v>
          </cell>
          <cell r="M330" t="str">
            <v>PROFESOR ASOCIADO</v>
          </cell>
          <cell r="N330" t="str">
            <v>GRADO B</v>
          </cell>
          <cell r="O330" t="str">
            <v>DOCTORADO</v>
          </cell>
          <cell r="P330" t="str">
            <v>DOCTEUR EN SCIENCES AGRONOMIQUES ET INGENIERI</v>
          </cell>
          <cell r="Q330" t="str">
            <v>LINARES</v>
          </cell>
          <cell r="R330" t="str">
            <v>FACULTAD DE CIENCIAS DE LA EDUCACIÓN</v>
          </cell>
          <cell r="S330" t="str">
            <v>ESC. PDG.CIENCIAS NATURALES Y EXACTAS</v>
          </cell>
        </row>
        <row r="331">
          <cell r="A331">
            <v>12097508</v>
          </cell>
          <cell r="B331" t="str">
            <v>12097508</v>
          </cell>
          <cell r="C331" t="str">
            <v>0</v>
          </cell>
          <cell r="D331" t="str">
            <v>CALDERON CONTRERAS XIMENA ALEJ</v>
          </cell>
          <cell r="E331" t="str">
            <v>VRF400008</v>
          </cell>
          <cell r="F331">
            <v>44</v>
          </cell>
          <cell r="G331">
            <v>30</v>
          </cell>
          <cell r="H331" t="str">
            <v>XCALDERON@UTALCA.CL</v>
          </cell>
          <cell r="I331">
            <v>44562</v>
          </cell>
          <cell r="J331">
            <v>46446</v>
          </cell>
          <cell r="K331" t="str">
            <v>CONTRATA</v>
          </cell>
          <cell r="L331" t="str">
            <v>CA DOCENTE</v>
          </cell>
          <cell r="M331" t="str">
            <v>INSTRUCTOR</v>
          </cell>
          <cell r="N331" t="str">
            <v>GRADO D</v>
          </cell>
          <cell r="O331" t="str">
            <v>MAGISTER</v>
          </cell>
          <cell r="P331" t="str">
            <v>MAGÍSTER EN CIENCIAS DE LA EDUCACIÓN CON MENC</v>
          </cell>
          <cell r="Q331" t="str">
            <v>TALCA</v>
          </cell>
          <cell r="R331" t="str">
            <v>DIRECCIÓN DE PREGRADO</v>
          </cell>
          <cell r="S331" t="str">
            <v>PROGRAMA DE IDIOMAS</v>
          </cell>
        </row>
        <row r="332">
          <cell r="A332">
            <v>12109784</v>
          </cell>
          <cell r="B332" t="str">
            <v>12109784</v>
          </cell>
          <cell r="C332" t="str">
            <v>2</v>
          </cell>
          <cell r="D332" t="str">
            <v>CAPARROS MANOSALVA CRISTIAN AL</v>
          </cell>
          <cell r="E332" t="str">
            <v>FCS320009</v>
          </cell>
          <cell r="F332">
            <v>44</v>
          </cell>
          <cell r="G332">
            <v>30</v>
          </cell>
          <cell r="H332" t="str">
            <v>CCAPARROS@UTALCA.CL</v>
          </cell>
          <cell r="I332">
            <v>38777</v>
          </cell>
          <cell r="J332">
            <v>46446</v>
          </cell>
          <cell r="K332" t="str">
            <v>CONTRATA</v>
          </cell>
          <cell r="L332" t="str">
            <v>CA DOCENTE</v>
          </cell>
          <cell r="M332" t="str">
            <v>PROFESOR ASISTENTE</v>
          </cell>
          <cell r="N332" t="str">
            <v>GRADO C</v>
          </cell>
          <cell r="O332" t="str">
            <v>DOCTORADO</v>
          </cell>
          <cell r="P332" t="str">
            <v>DOUTOR EM CIENCIAS DA REABILITACAO: FUNDAMENT</v>
          </cell>
          <cell r="Q332" t="str">
            <v>TALCA</v>
          </cell>
          <cell r="R332" t="str">
            <v>FACULTAD DE CIENCIAS DE LA SALUD</v>
          </cell>
          <cell r="S332" t="str">
            <v>DPTO. DE CIENCIAS DEL MOVIMIENTO HUMANO</v>
          </cell>
        </row>
        <row r="333">
          <cell r="A333">
            <v>12136227</v>
          </cell>
          <cell r="B333" t="str">
            <v>12136227</v>
          </cell>
          <cell r="C333" t="str">
            <v>9</v>
          </cell>
          <cell r="D333" t="str">
            <v>FRESNO RODRIGUEZ ANDRES</v>
          </cell>
          <cell r="E333" t="str">
            <v>FPS200001</v>
          </cell>
          <cell r="F333">
            <v>44</v>
          </cell>
          <cell r="G333">
            <v>30</v>
          </cell>
          <cell r="H333" t="str">
            <v>AFRESNO@UTALCA.CL</v>
          </cell>
          <cell r="I333">
            <v>39461</v>
          </cell>
          <cell r="J333">
            <v>2958465</v>
          </cell>
          <cell r="K333" t="str">
            <v>PLANTA</v>
          </cell>
          <cell r="L333" t="str">
            <v>CA ORDINARIA</v>
          </cell>
          <cell r="M333" t="str">
            <v>PROFESOR ASOCIADO</v>
          </cell>
          <cell r="N333" t="str">
            <v>GRADO B</v>
          </cell>
          <cell r="O333" t="str">
            <v>DOCTORADO</v>
          </cell>
          <cell r="P333" t="str">
            <v>DOCTORAT SPECIALITE PSYCHOLOGIE</v>
          </cell>
          <cell r="Q333" t="str">
            <v>TALCA</v>
          </cell>
          <cell r="R333" t="str">
            <v>FACULTAD DE PSICOLOGÍA</v>
          </cell>
          <cell r="S333" t="str">
            <v>FACULTAD DE PSICOLOGÍA</v>
          </cell>
        </row>
        <row r="334">
          <cell r="A334">
            <v>12146803</v>
          </cell>
          <cell r="B334" t="str">
            <v>12146803</v>
          </cell>
          <cell r="C334" t="str">
            <v>4</v>
          </cell>
          <cell r="D334" t="str">
            <v>RUZ SAZO VICTORIA ANDREA</v>
          </cell>
          <cell r="E334" t="str">
            <v>ICB300001</v>
          </cell>
          <cell r="F334">
            <v>44</v>
          </cell>
          <cell r="G334">
            <v>30</v>
          </cell>
          <cell r="H334" t="str">
            <v>VRUZ@UTALCA.CL</v>
          </cell>
          <cell r="I334">
            <v>38818</v>
          </cell>
          <cell r="J334">
            <v>2958465</v>
          </cell>
          <cell r="K334" t="str">
            <v>PLANTA</v>
          </cell>
          <cell r="L334" t="str">
            <v>ADMINISTRATIVO</v>
          </cell>
          <cell r="M334" t="str">
            <v>ADMINISTRATIVO</v>
          </cell>
          <cell r="N334" t="str">
            <v>GRADO I.18</v>
          </cell>
          <cell r="O334" t="str">
            <v>TÉC. NIVEL SUPERIOR</v>
          </cell>
          <cell r="P334" t="str">
            <v>SECRETARIA ADMINISTRATIVA</v>
          </cell>
          <cell r="Q334" t="str">
            <v>TALCA</v>
          </cell>
          <cell r="R334" t="str">
            <v>INSTITUTO DE CIENCIAS BIOLÓGICAS</v>
          </cell>
          <cell r="S334" t="str">
            <v>INSTITUTO DE CIENCIAS BIOLÓGICAS</v>
          </cell>
        </row>
        <row r="335">
          <cell r="A335">
            <v>12149269</v>
          </cell>
          <cell r="B335" t="str">
            <v>12149269</v>
          </cell>
          <cell r="C335" t="str">
            <v>5</v>
          </cell>
          <cell r="D335" t="str">
            <v>CORVALÁN MORENO CARMEN GLORIA</v>
          </cell>
          <cell r="E335" t="str">
            <v>VDE400009</v>
          </cell>
          <cell r="F335">
            <v>44</v>
          </cell>
          <cell r="G335">
            <v>30</v>
          </cell>
          <cell r="H335" t="str">
            <v>CARMEN.CORVALAN@UTALCA.CL</v>
          </cell>
          <cell r="I335">
            <v>44197</v>
          </cell>
          <cell r="J335">
            <v>46387</v>
          </cell>
          <cell r="K335" t="str">
            <v>CONTRATA</v>
          </cell>
          <cell r="L335" t="str">
            <v>PROFESIONAL</v>
          </cell>
          <cell r="M335" t="str">
            <v>PROFESIONAL</v>
          </cell>
          <cell r="N335" t="str">
            <v>GRADO I.17</v>
          </cell>
          <cell r="O335" t="str">
            <v>TÍTULO PROFESIONAL</v>
          </cell>
          <cell r="P335" t="str">
            <v>PSICOLOGO</v>
          </cell>
          <cell r="Q335" t="str">
            <v>TALCA</v>
          </cell>
          <cell r="R335" t="str">
            <v>VICERRECTORÍA DE DESARROLLO ESTUDIANTIL</v>
          </cell>
          <cell r="S335" t="str">
            <v>DIRECCIÓN DE SALUD ESTUDIANTIL</v>
          </cell>
        </row>
        <row r="336">
          <cell r="A336">
            <v>12157620</v>
          </cell>
          <cell r="B336" t="str">
            <v>12157620</v>
          </cell>
          <cell r="C336" t="str">
            <v>1</v>
          </cell>
          <cell r="D336" t="str">
            <v>SCHWERMANN . MARIETTA MARIA</v>
          </cell>
          <cell r="E336" t="str">
            <v>FED310003</v>
          </cell>
          <cell r="F336">
            <v>35</v>
          </cell>
          <cell r="G336">
            <v>30</v>
          </cell>
          <cell r="H336" t="str">
            <v>MSCHWERMANN@UTALCA.CL</v>
          </cell>
          <cell r="I336">
            <v>42248</v>
          </cell>
          <cell r="J336">
            <v>46446</v>
          </cell>
          <cell r="K336" t="str">
            <v>CONTRATA</v>
          </cell>
          <cell r="L336" t="str">
            <v>CA DOCENTE</v>
          </cell>
          <cell r="M336" t="str">
            <v>INSTRUCTOR</v>
          </cell>
          <cell r="N336" t="str">
            <v>GRADO D</v>
          </cell>
          <cell r="O336" t="str">
            <v>MAGISTER</v>
          </cell>
          <cell r="P336" t="str">
            <v>MAGISTER EN NEUCIENCIAS APLICADAS A LA EDUCAC</v>
          </cell>
          <cell r="Q336" t="str">
            <v>SANTIAGO</v>
          </cell>
          <cell r="R336" t="str">
            <v>FACULTAD DE CIENCIAS DE LA EDUCACIÓN</v>
          </cell>
          <cell r="S336" t="str">
            <v>ESCUELA DE PEDAGOGÍA EN ALEMÁN</v>
          </cell>
        </row>
        <row r="337">
          <cell r="A337">
            <v>12159402</v>
          </cell>
          <cell r="B337" t="str">
            <v>12159402</v>
          </cell>
          <cell r="C337" t="str">
            <v>1</v>
          </cell>
          <cell r="D337" t="str">
            <v>ZAMBRANO BRAVO CARMEN GLORIA</v>
          </cell>
          <cell r="E337" t="str">
            <v>FCS320009</v>
          </cell>
          <cell r="F337">
            <v>44</v>
          </cell>
          <cell r="G337">
            <v>30</v>
          </cell>
          <cell r="H337" t="str">
            <v>CZAMBRANO@UTALCA.CL</v>
          </cell>
          <cell r="I337">
            <v>39142</v>
          </cell>
          <cell r="J337">
            <v>46446</v>
          </cell>
          <cell r="K337" t="str">
            <v>CONTRATA</v>
          </cell>
          <cell r="L337" t="str">
            <v>CA DOCENTE</v>
          </cell>
          <cell r="M337" t="str">
            <v>PROFESOR ASISTENTE</v>
          </cell>
          <cell r="N337" t="str">
            <v>GRADO C</v>
          </cell>
          <cell r="O337" t="str">
            <v>MAGISTER</v>
          </cell>
          <cell r="P337" t="str">
            <v>MAGISTER EN KINESIOLOGÍA</v>
          </cell>
          <cell r="Q337" t="str">
            <v>TALCA</v>
          </cell>
          <cell r="R337" t="str">
            <v>FACULTAD DE CIENCIAS DE LA SALUD</v>
          </cell>
          <cell r="S337" t="str">
            <v>DPTO. DE CIENCIAS DEL MOVIMIENTO HUMANO</v>
          </cell>
        </row>
        <row r="338">
          <cell r="A338">
            <v>12184834</v>
          </cell>
          <cell r="B338" t="str">
            <v>12184834</v>
          </cell>
          <cell r="C338" t="str">
            <v>1</v>
          </cell>
          <cell r="D338" t="str">
            <v>ARELLANO TEJOS PAMELA ERIKA</v>
          </cell>
          <cell r="E338" t="str">
            <v>FCJ340001</v>
          </cell>
          <cell r="F338">
            <v>44</v>
          </cell>
          <cell r="G338">
            <v>30</v>
          </cell>
          <cell r="H338" t="str">
            <v>PARELLANO@UTALCA.CL</v>
          </cell>
          <cell r="I338">
            <v>37326</v>
          </cell>
          <cell r="J338">
            <v>46387</v>
          </cell>
          <cell r="K338" t="str">
            <v>CONTRATA</v>
          </cell>
          <cell r="L338" t="str">
            <v>ADMINISTRATIVO</v>
          </cell>
          <cell r="M338" t="str">
            <v>ADMINISTRATIVO</v>
          </cell>
          <cell r="N338" t="str">
            <v>GRADO I.21</v>
          </cell>
          <cell r="O338" t="str">
            <v>TÍTULO PROFESIONAL</v>
          </cell>
          <cell r="P338" t="str">
            <v>RELACIONADORA PÚBLICA</v>
          </cell>
          <cell r="Q338" t="str">
            <v>TALCA</v>
          </cell>
          <cell r="R338" t="str">
            <v>FACULTAD CIENCIAS JURÍDICAS Y SOCIALES</v>
          </cell>
          <cell r="S338" t="str">
            <v>CLÍNICA JURÍDICA DE TALCA</v>
          </cell>
        </row>
        <row r="339">
          <cell r="A339">
            <v>12196828</v>
          </cell>
          <cell r="B339" t="str">
            <v>12196828</v>
          </cell>
          <cell r="C339" t="str">
            <v>2</v>
          </cell>
          <cell r="D339" t="str">
            <v>PINO BECERRA MARIA ANGELICA</v>
          </cell>
          <cell r="E339" t="str">
            <v>ADC030114</v>
          </cell>
          <cell r="F339">
            <v>44</v>
          </cell>
          <cell r="G339">
            <v>30</v>
          </cell>
          <cell r="H339" t="str">
            <v>MPINO@UTALCA.CL</v>
          </cell>
          <cell r="I339">
            <v>35796</v>
          </cell>
          <cell r="J339">
            <v>2958465</v>
          </cell>
          <cell r="K339" t="str">
            <v>PLANTA</v>
          </cell>
          <cell r="L339" t="str">
            <v>ADMINISTRATIVO</v>
          </cell>
          <cell r="M339" t="str">
            <v>ADMINISTRATIVO</v>
          </cell>
          <cell r="N339" t="str">
            <v>GRADO I.20</v>
          </cell>
          <cell r="O339" t="str">
            <v>TÉC. NIVEL MEDIO</v>
          </cell>
          <cell r="P339" t="str">
            <v>SECRETARIA EJECUTIVA</v>
          </cell>
          <cell r="Q339" t="str">
            <v>TALCA</v>
          </cell>
          <cell r="R339" t="str">
            <v>DIRECCIÓN DE ASEGURAMIENTO DE LA CALIDAD</v>
          </cell>
          <cell r="S339" t="str">
            <v>DPTO. DE DESARROLLO DE INFRAESTRUCTURA</v>
          </cell>
        </row>
        <row r="340">
          <cell r="A340">
            <v>12231738</v>
          </cell>
          <cell r="B340" t="str">
            <v>12231738</v>
          </cell>
          <cell r="C340" t="str">
            <v>2</v>
          </cell>
          <cell r="D340" t="str">
            <v>MALDONADO FUENTES NESTOR FRANC</v>
          </cell>
          <cell r="E340" t="str">
            <v>FCJ320001</v>
          </cell>
          <cell r="F340">
            <v>44</v>
          </cell>
          <cell r="G340">
            <v>30</v>
          </cell>
          <cell r="H340" t="str">
            <v>FRMALDONADO@UTALCA.CL</v>
          </cell>
          <cell r="I340">
            <v>39995</v>
          </cell>
          <cell r="J340">
            <v>2958465</v>
          </cell>
          <cell r="K340" t="str">
            <v>PLANTA</v>
          </cell>
          <cell r="L340" t="str">
            <v>CA ORDINARIA</v>
          </cell>
          <cell r="M340" t="str">
            <v>PROFESOR ASOCIADO</v>
          </cell>
          <cell r="N340" t="str">
            <v>GRADO B</v>
          </cell>
          <cell r="O340" t="str">
            <v>DOCTORADO</v>
          </cell>
          <cell r="P340" t="str">
            <v>DOCTOR PROBLEMAS ACTUALES DEL DERECHO PENAL Y</v>
          </cell>
          <cell r="Q340" t="str">
            <v>SANTIAGO</v>
          </cell>
          <cell r="R340" t="str">
            <v>FACULTAD CIENCIAS JURÍDICAS Y SOCIALES</v>
          </cell>
          <cell r="S340" t="str">
            <v>DPTO. DERECHO PENAL PROCESAL Y  TRABAJO</v>
          </cell>
        </row>
        <row r="341">
          <cell r="A341">
            <v>12231968</v>
          </cell>
          <cell r="B341" t="str">
            <v>12231968</v>
          </cell>
          <cell r="C341" t="str">
            <v>7</v>
          </cell>
          <cell r="D341" t="str">
            <v>BRAVO CAVICCHIOLI DANIEL ANDRE</v>
          </cell>
          <cell r="E341" t="str">
            <v>FOD320001</v>
          </cell>
          <cell r="F341">
            <v>18</v>
          </cell>
          <cell r="G341">
            <v>30</v>
          </cell>
          <cell r="H341" t="str">
            <v>DBRAVO@UTALCA.CL</v>
          </cell>
          <cell r="I341">
            <v>35977</v>
          </cell>
          <cell r="J341">
            <v>46446</v>
          </cell>
          <cell r="K341" t="str">
            <v>CONTRATA</v>
          </cell>
          <cell r="L341" t="str">
            <v>CA DOCENTE</v>
          </cell>
          <cell r="M341" t="str">
            <v>INSTRUCTOR</v>
          </cell>
          <cell r="N341" t="str">
            <v>GRADO D</v>
          </cell>
          <cell r="O341" t="str">
            <v>MAGISTER</v>
          </cell>
          <cell r="P341" t="str">
            <v>MASTER EN CIENCIAS EN ODONTOLOGÍA</v>
          </cell>
          <cell r="Q341" t="str">
            <v>TALCA</v>
          </cell>
          <cell r="R341" t="str">
            <v>FACULTAD DE ODONTOLOGÍA</v>
          </cell>
          <cell r="S341" t="str">
            <v>DPTO. REHABILITACIÓN BUCO-MAXILOFACIAL</v>
          </cell>
        </row>
        <row r="342">
          <cell r="A342">
            <v>12244227</v>
          </cell>
          <cell r="B342" t="str">
            <v>12244227</v>
          </cell>
          <cell r="C342" t="str">
            <v>6</v>
          </cell>
          <cell r="D342" t="str">
            <v>LORCA VELOSO MAURICIO</v>
          </cell>
          <cell r="E342" t="str">
            <v>IAM300001</v>
          </cell>
          <cell r="F342">
            <v>44</v>
          </cell>
          <cell r="G342">
            <v>30</v>
          </cell>
          <cell r="H342" t="str">
            <v>MAURICO.LORCA@UTALCA.CL</v>
          </cell>
          <cell r="I342">
            <v>45658</v>
          </cell>
          <cell r="J342">
            <v>46578</v>
          </cell>
          <cell r="K342" t="str">
            <v>PLANTA</v>
          </cell>
          <cell r="L342" t="str">
            <v>CA ORDINARIA</v>
          </cell>
          <cell r="M342" t="str">
            <v>PROFESOR ASOCIADO</v>
          </cell>
          <cell r="N342" t="str">
            <v>GRADO B</v>
          </cell>
          <cell r="O342" t="str">
            <v>DOCTORADO</v>
          </cell>
          <cell r="P342" t="str">
            <v>DOCTORADO EN GESTION DE LA CULTURA Y EL PATRI</v>
          </cell>
          <cell r="Q342" t="str">
            <v>TALCA</v>
          </cell>
          <cell r="R342" t="str">
            <v>INST. ESTUDIOS HUMANÍSTICOS ABATE J.I.M.</v>
          </cell>
          <cell r="S342" t="str">
            <v>INST. ESTUDIOS HUMANÍSTICOS ABATE J.I.M.</v>
          </cell>
        </row>
        <row r="343">
          <cell r="A343">
            <v>12261268</v>
          </cell>
          <cell r="B343" t="str">
            <v>12261268</v>
          </cell>
          <cell r="C343" t="str">
            <v>6</v>
          </cell>
          <cell r="D343" t="str">
            <v>BRIONES TORO MANUEL ANTONIO</v>
          </cell>
          <cell r="E343" t="str">
            <v>ADC030141</v>
          </cell>
          <cell r="F343">
            <v>44</v>
          </cell>
          <cell r="G343">
            <v>30</v>
          </cell>
          <cell r="H343" t="str">
            <v>MABRIONES@UTALCA.CL</v>
          </cell>
          <cell r="I343">
            <v>37830</v>
          </cell>
          <cell r="J343">
            <v>2958465</v>
          </cell>
          <cell r="K343" t="str">
            <v>PLANTA</v>
          </cell>
          <cell r="L343" t="str">
            <v>AUXILIAR</v>
          </cell>
          <cell r="M343" t="str">
            <v>AUXILIAR</v>
          </cell>
          <cell r="N343" t="str">
            <v>GRADO I.20</v>
          </cell>
          <cell r="O343" t="str">
            <v>TÉC. NIVEL MEDIO</v>
          </cell>
          <cell r="P343" t="str">
            <v>TÉCNICO EN ELECTROMECÁNICA</v>
          </cell>
          <cell r="Q343" t="str">
            <v>SANTIAGO</v>
          </cell>
          <cell r="R343" t="str">
            <v>DIRECCIÓN DE SEDE SANTIAGO</v>
          </cell>
          <cell r="S343" t="str">
            <v>DIRECCIÓN DE SEDE SANTIAGO</v>
          </cell>
        </row>
        <row r="344">
          <cell r="A344">
            <v>12264403</v>
          </cell>
          <cell r="B344" t="str">
            <v>12264403</v>
          </cell>
          <cell r="C344" t="str">
            <v>0</v>
          </cell>
          <cell r="D344" t="str">
            <v>VIVANCO CEPPI KATINA</v>
          </cell>
          <cell r="E344" t="str">
            <v>IAM320001</v>
          </cell>
          <cell r="F344">
            <v>44</v>
          </cell>
          <cell r="G344">
            <v>30</v>
          </cell>
          <cell r="H344" t="str">
            <v>KVIVANCO@UTALCA.CL</v>
          </cell>
          <cell r="I344">
            <v>43101</v>
          </cell>
          <cell r="J344">
            <v>46387</v>
          </cell>
          <cell r="K344" t="str">
            <v>CONTRATA</v>
          </cell>
          <cell r="L344" t="str">
            <v>PROFESIONAL</v>
          </cell>
          <cell r="M344" t="str">
            <v>PROFESIONAL</v>
          </cell>
          <cell r="N344" t="str">
            <v>GRADO I.17</v>
          </cell>
          <cell r="O344" t="str">
            <v>LICENCIADO</v>
          </cell>
          <cell r="P344" t="str">
            <v>LICENCIADA EN ARTE CON MENCIÓN EN RESTAURACIÓ</v>
          </cell>
          <cell r="Q344" t="str">
            <v>TALCA</v>
          </cell>
          <cell r="R344" t="str">
            <v>INST. ESTUDIOS HUMANÍSTICOS ABATE J.I.M.</v>
          </cell>
          <cell r="S344" t="str">
            <v>CENTRO DE DOCUMENTACIÓN PATRIMONIAL</v>
          </cell>
        </row>
        <row r="345">
          <cell r="A345">
            <v>12275683</v>
          </cell>
          <cell r="B345" t="str">
            <v>12275683</v>
          </cell>
          <cell r="C345" t="str">
            <v>1</v>
          </cell>
          <cell r="D345" t="str">
            <v>YAÑEZ CHAVEZ MONICA LORETO</v>
          </cell>
          <cell r="E345" t="str">
            <v>ICB300001</v>
          </cell>
          <cell r="F345">
            <v>44</v>
          </cell>
          <cell r="G345">
            <v>30</v>
          </cell>
          <cell r="H345" t="str">
            <v>MYANEZC@UTALCA.CL</v>
          </cell>
          <cell r="I345">
            <v>38718</v>
          </cell>
          <cell r="J345">
            <v>46387</v>
          </cell>
          <cell r="K345" t="str">
            <v>CONTRATA</v>
          </cell>
          <cell r="L345" t="str">
            <v>PROFESIONAL</v>
          </cell>
          <cell r="M345" t="str">
            <v>PROFESIONAL</v>
          </cell>
          <cell r="N345" t="str">
            <v>GRADO I.17</v>
          </cell>
          <cell r="O345" t="str">
            <v>LICENCIADO</v>
          </cell>
          <cell r="P345" t="str">
            <v>LICENCIADA EN BIOLOGÍA</v>
          </cell>
          <cell r="Q345" t="str">
            <v>TALCA</v>
          </cell>
          <cell r="R345" t="str">
            <v>INSTITUTO DE CIENCIAS BIOLÓGICAS</v>
          </cell>
          <cell r="S345" t="str">
            <v>INSTITUTO DE CIENCIAS BIOLÓGICAS</v>
          </cell>
        </row>
        <row r="346">
          <cell r="A346">
            <v>12277911</v>
          </cell>
          <cell r="B346" t="str">
            <v>12277911</v>
          </cell>
          <cell r="C346" t="str">
            <v>4</v>
          </cell>
          <cell r="D346" t="str">
            <v>ALFARO MORALES PAULINA MARIA</v>
          </cell>
          <cell r="E346" t="str">
            <v>VDE400009</v>
          </cell>
          <cell r="F346">
            <v>33</v>
          </cell>
          <cell r="G346">
            <v>30</v>
          </cell>
          <cell r="H346" t="str">
            <v>PAULINA.ALFARO@UTALCA.CL</v>
          </cell>
          <cell r="I346">
            <v>44197</v>
          </cell>
          <cell r="J346">
            <v>46387</v>
          </cell>
          <cell r="K346" t="str">
            <v>CONTRATA</v>
          </cell>
          <cell r="L346" t="str">
            <v>PROFESIONAL</v>
          </cell>
          <cell r="M346" t="str">
            <v>PROFESIONAL</v>
          </cell>
          <cell r="N346" t="str">
            <v>GRADO I.17</v>
          </cell>
          <cell r="O346" t="str">
            <v>TÍTULO PROFESIONAL</v>
          </cell>
          <cell r="P346" t="str">
            <v>PSICOLOGO</v>
          </cell>
          <cell r="Q346" t="str">
            <v>LINARES</v>
          </cell>
          <cell r="R346" t="str">
            <v>VICERRECTORÍA DE DESARROLLO ESTUDIANTIL</v>
          </cell>
          <cell r="S346" t="str">
            <v>DIRECCIÓN DE SALUD ESTUDIANTIL</v>
          </cell>
        </row>
        <row r="347">
          <cell r="A347">
            <v>12279898</v>
          </cell>
          <cell r="B347" t="str">
            <v>12279898</v>
          </cell>
          <cell r="C347" t="str">
            <v>4</v>
          </cell>
          <cell r="D347" t="str">
            <v>SOTO PEREZ MARIELA ANTONIETA</v>
          </cell>
          <cell r="E347" t="str">
            <v>ADC030140</v>
          </cell>
          <cell r="F347">
            <v>44</v>
          </cell>
          <cell r="G347">
            <v>30</v>
          </cell>
          <cell r="H347" t="str">
            <v>MARSOTO@UTALCA.CL</v>
          </cell>
          <cell r="I347">
            <v>43466</v>
          </cell>
          <cell r="J347">
            <v>46387</v>
          </cell>
          <cell r="K347" t="str">
            <v>CONTRATA</v>
          </cell>
          <cell r="L347" t="str">
            <v>ADMINISTRATIVO</v>
          </cell>
          <cell r="M347" t="str">
            <v>ADMINISTRATIVO</v>
          </cell>
          <cell r="N347" t="str">
            <v>GRADO I.21</v>
          </cell>
          <cell r="O347" t="str">
            <v>TÉC. NIVEL MEDIO</v>
          </cell>
          <cell r="P347" t="str">
            <v>SECRETARIADO ADMINISTRATIVO</v>
          </cell>
          <cell r="Q347" t="str">
            <v>SANTIAGO</v>
          </cell>
          <cell r="R347" t="str">
            <v>DIRECCIÓN DE SEDE SANTIAGO</v>
          </cell>
          <cell r="S347" t="str">
            <v>DIRECCIÓN DE SEDE SANTIAGO</v>
          </cell>
        </row>
        <row r="348">
          <cell r="A348">
            <v>12296101</v>
          </cell>
          <cell r="B348" t="str">
            <v>12296101</v>
          </cell>
          <cell r="C348" t="str">
            <v>K</v>
          </cell>
          <cell r="D348" t="str">
            <v>BENITES LEPE BERTA PILAR</v>
          </cell>
          <cell r="E348" t="str">
            <v>FOD350001</v>
          </cell>
          <cell r="F348">
            <v>44</v>
          </cell>
          <cell r="G348">
            <v>30</v>
          </cell>
          <cell r="H348" t="str">
            <v/>
          </cell>
          <cell r="I348">
            <v>45748</v>
          </cell>
          <cell r="J348">
            <v>46387</v>
          </cell>
          <cell r="K348" t="str">
            <v>CONTRATA</v>
          </cell>
          <cell r="L348" t="str">
            <v>ADMINISTRATIVO</v>
          </cell>
          <cell r="M348" t="str">
            <v>ADMINISTRATIVO</v>
          </cell>
          <cell r="N348" t="str">
            <v>GRADO I.21</v>
          </cell>
          <cell r="O348" t="str">
            <v>ESCOLARIDAD CIENT HU</v>
          </cell>
          <cell r="P348" t="str">
            <v>CONTADOR</v>
          </cell>
          <cell r="Q348" t="str">
            <v>TALCA</v>
          </cell>
          <cell r="R348" t="str">
            <v>FACULTAD DE ODONTOLOGÍA</v>
          </cell>
          <cell r="S348" t="str">
            <v>CLÍNICAS ODONTOLÓGICAS</v>
          </cell>
        </row>
        <row r="349">
          <cell r="A349">
            <v>12296422</v>
          </cell>
          <cell r="B349" t="str">
            <v>12296422</v>
          </cell>
          <cell r="C349" t="str">
            <v>1</v>
          </cell>
          <cell r="D349" t="str">
            <v>MORA POBLETE FREDDY LUIS</v>
          </cell>
          <cell r="E349" t="str">
            <v>ICB300001</v>
          </cell>
          <cell r="F349">
            <v>44</v>
          </cell>
          <cell r="G349">
            <v>30</v>
          </cell>
          <cell r="H349" t="str">
            <v>FMORA@UTALCA.CL</v>
          </cell>
          <cell r="I349">
            <v>40969</v>
          </cell>
          <cell r="J349">
            <v>2958465</v>
          </cell>
          <cell r="K349" t="str">
            <v>PLANTA</v>
          </cell>
          <cell r="L349" t="str">
            <v>CA ORDINARIA</v>
          </cell>
          <cell r="M349" t="str">
            <v>PROFESOR ASOCIADO</v>
          </cell>
          <cell r="N349" t="str">
            <v>GRADO B</v>
          </cell>
          <cell r="O349" t="str">
            <v>DOCTORADO</v>
          </cell>
          <cell r="P349" t="str">
            <v>DOCTOR EN GENETICA E MELHORAMENTO</v>
          </cell>
          <cell r="Q349" t="str">
            <v>TALCA</v>
          </cell>
          <cell r="R349" t="str">
            <v>INSTITUTO DE CIENCIAS BIOLÓGICAS</v>
          </cell>
          <cell r="S349" t="str">
            <v>INSTITUTO DE CIENCIAS BIOLÓGICAS</v>
          </cell>
        </row>
        <row r="350">
          <cell r="A350">
            <v>12296825</v>
          </cell>
          <cell r="B350" t="str">
            <v>12296825</v>
          </cell>
          <cell r="C350" t="str">
            <v>1</v>
          </cell>
          <cell r="D350" t="str">
            <v>PINO MONSALVE INGRID VALESKA</v>
          </cell>
          <cell r="E350" t="str">
            <v>FCS320012</v>
          </cell>
          <cell r="F350">
            <v>44</v>
          </cell>
          <cell r="G350">
            <v>30</v>
          </cell>
          <cell r="H350" t="str">
            <v>IPINO@UTALCA.CL</v>
          </cell>
          <cell r="I350">
            <v>41701</v>
          </cell>
          <cell r="J350">
            <v>46446</v>
          </cell>
          <cell r="K350" t="str">
            <v>CONTRATA</v>
          </cell>
          <cell r="L350" t="str">
            <v>CA DOCENTE</v>
          </cell>
          <cell r="M350" t="str">
            <v>INSTRUCTOR</v>
          </cell>
          <cell r="N350" t="str">
            <v>GRADO D</v>
          </cell>
          <cell r="O350" t="str">
            <v>MAGISTER</v>
          </cell>
          <cell r="P350" t="str">
            <v>MAGÍSTER EN GESTIÓN DE INSTITUCIONES DE SALUD</v>
          </cell>
          <cell r="Q350" t="str">
            <v>TALCA</v>
          </cell>
          <cell r="R350" t="str">
            <v>FACULTAD DE CIENCIAS DE LA SALUD</v>
          </cell>
          <cell r="S350" t="str">
            <v>DEPTO. CIENCIAS DEL CUIDADO EN ENFERM.</v>
          </cell>
        </row>
        <row r="351">
          <cell r="A351">
            <v>12296839</v>
          </cell>
          <cell r="B351" t="str">
            <v>12296839</v>
          </cell>
          <cell r="C351" t="str">
            <v>1</v>
          </cell>
          <cell r="D351" t="str">
            <v>SANCHEZ PEDRAZZINI OCTAVIO ENR</v>
          </cell>
          <cell r="E351" t="str">
            <v>IQR300001</v>
          </cell>
          <cell r="F351">
            <v>44</v>
          </cell>
          <cell r="G351">
            <v>30</v>
          </cell>
          <cell r="H351" t="str">
            <v>OSANCHEZ@UTALCA.CL</v>
          </cell>
          <cell r="I351">
            <v>37073</v>
          </cell>
          <cell r="J351">
            <v>46387</v>
          </cell>
          <cell r="K351" t="str">
            <v>CONTRATA</v>
          </cell>
          <cell r="L351" t="str">
            <v>AUXILIAR</v>
          </cell>
          <cell r="M351" t="str">
            <v>AUXILIAR</v>
          </cell>
          <cell r="N351" t="str">
            <v>GRADO I.24</v>
          </cell>
          <cell r="O351" t="str">
            <v>ESCOLARIDAD CIENT HU</v>
          </cell>
          <cell r="P351" t="str">
            <v>LICENCIA ENSEÑANZA MEDIA</v>
          </cell>
          <cell r="Q351" t="str">
            <v>TALCA</v>
          </cell>
          <cell r="R351" t="str">
            <v>INSTITUTO QUÍMICA DE RECURSOS NATURALES</v>
          </cell>
          <cell r="S351" t="str">
            <v>INSTITUTO QUÍMICA DE RECURSOS NATURALES</v>
          </cell>
        </row>
        <row r="352">
          <cell r="A352">
            <v>12297048</v>
          </cell>
          <cell r="B352" t="str">
            <v>12297048</v>
          </cell>
          <cell r="C352" t="str">
            <v>5</v>
          </cell>
          <cell r="D352" t="str">
            <v>GARRIDO ROJAS CLAUDIO ESTEBAN</v>
          </cell>
          <cell r="E352" t="str">
            <v>FCA200001</v>
          </cell>
          <cell r="F352">
            <v>44</v>
          </cell>
          <cell r="G352">
            <v>30</v>
          </cell>
          <cell r="H352" t="str">
            <v>CGARRIDO@UTALCA.CL</v>
          </cell>
          <cell r="I352">
            <v>40179</v>
          </cell>
          <cell r="J352">
            <v>46387</v>
          </cell>
          <cell r="K352" t="str">
            <v>CONTRATA</v>
          </cell>
          <cell r="L352" t="str">
            <v>AUXILIAR</v>
          </cell>
          <cell r="M352" t="str">
            <v>AUXILIAR</v>
          </cell>
          <cell r="N352" t="str">
            <v>GRADO I.24</v>
          </cell>
          <cell r="O352" t="str">
            <v>ESCOLARIDAD CIENT HU</v>
          </cell>
          <cell r="P352" t="str">
            <v>LICENCIA ENSEÑANZA MEDIA</v>
          </cell>
          <cell r="Q352" t="str">
            <v>TALCA</v>
          </cell>
          <cell r="R352" t="str">
            <v>FACULTAD DE CIENCIAS AGRARIAS</v>
          </cell>
          <cell r="S352" t="str">
            <v>FACULTAD DE CIENCIAS AGRARIAS</v>
          </cell>
        </row>
        <row r="353">
          <cell r="A353">
            <v>12297176</v>
          </cell>
          <cell r="B353" t="str">
            <v>12297176</v>
          </cell>
          <cell r="C353" t="str">
            <v>7</v>
          </cell>
          <cell r="D353" t="str">
            <v>SOTO RAMIREZ FERNANDO ADOLFO</v>
          </cell>
          <cell r="E353" t="str">
            <v>FCJ320004</v>
          </cell>
          <cell r="F353">
            <v>44</v>
          </cell>
          <cell r="G353">
            <v>30</v>
          </cell>
          <cell r="H353" t="str">
            <v>FERNANDO.SOTO@UTALCA.CL</v>
          </cell>
          <cell r="I353">
            <v>43678</v>
          </cell>
          <cell r="J353">
            <v>46446</v>
          </cell>
          <cell r="K353" t="str">
            <v>CONTRATA</v>
          </cell>
          <cell r="L353" t="str">
            <v>CA DOCENTE</v>
          </cell>
          <cell r="M353" t="str">
            <v>INSTRUCTOR</v>
          </cell>
          <cell r="N353" t="str">
            <v>GRADO D</v>
          </cell>
          <cell r="O353" t="str">
            <v>MAGISTER</v>
          </cell>
          <cell r="P353" t="str">
            <v>MAGÍSTER EN DERECHO, CON MENCIÓN EN DERECHO P</v>
          </cell>
          <cell r="Q353" t="str">
            <v>TALCA</v>
          </cell>
          <cell r="R353" t="str">
            <v>FACULTAD CIENCIAS JURÍDICAS Y SOCIALES</v>
          </cell>
          <cell r="S353" t="str">
            <v>DPTO. CNCIA. POLÍTICA Y ADMÓN. PÚBLICA</v>
          </cell>
        </row>
        <row r="354">
          <cell r="A354">
            <v>12297501</v>
          </cell>
          <cell r="B354" t="str">
            <v>12297501</v>
          </cell>
          <cell r="C354" t="str">
            <v>0</v>
          </cell>
          <cell r="D354" t="str">
            <v>GONZALEZ VALLEJOS MARIO ESTEBA</v>
          </cell>
          <cell r="E354" t="str">
            <v>VGE400056</v>
          </cell>
          <cell r="F354">
            <v>44</v>
          </cell>
          <cell r="G354">
            <v>30</v>
          </cell>
          <cell r="H354" t="str">
            <v>MARIO.GONZALEZ@UTALCA.CL</v>
          </cell>
          <cell r="I354">
            <v>45031</v>
          </cell>
          <cell r="J354">
            <v>46387</v>
          </cell>
          <cell r="K354" t="str">
            <v>CONTRATA</v>
          </cell>
          <cell r="L354" t="str">
            <v>TÉCNICO</v>
          </cell>
          <cell r="M354" t="str">
            <v>TÉCNICO</v>
          </cell>
          <cell r="N354" t="str">
            <v>GRADO I.23</v>
          </cell>
          <cell r="O354" t="str">
            <v>TÉC. NIVEL SUPERIOR</v>
          </cell>
          <cell r="P354" t="str">
            <v>TECNICO UNIVERSITARIO EN COMPUTACIÓN</v>
          </cell>
          <cell r="Q354" t="str">
            <v>TALCA</v>
          </cell>
          <cell r="R354" t="str">
            <v>VIC. GESTIÓN ECONÓMICA Y ADMINISTRACIÓN</v>
          </cell>
          <cell r="S354" t="str">
            <v>DEPARTAMENTO DE SISTEMAS</v>
          </cell>
        </row>
        <row r="355">
          <cell r="A355">
            <v>12297897</v>
          </cell>
          <cell r="B355" t="str">
            <v>12297897</v>
          </cell>
          <cell r="C355" t="str">
            <v>4</v>
          </cell>
          <cell r="D355" t="str">
            <v>SEGUEL FERNANDEZ MARIO ENRIQUE</v>
          </cell>
          <cell r="E355" t="str">
            <v>VGE400056</v>
          </cell>
          <cell r="F355">
            <v>44</v>
          </cell>
          <cell r="G355">
            <v>30</v>
          </cell>
          <cell r="H355" t="str">
            <v>MSEGUEL@UTALCA.CL</v>
          </cell>
          <cell r="I355">
            <v>42522</v>
          </cell>
          <cell r="J355">
            <v>2958465</v>
          </cell>
          <cell r="K355" t="str">
            <v>PLANTA</v>
          </cell>
          <cell r="L355" t="str">
            <v>PROFESIONAL</v>
          </cell>
          <cell r="M355" t="str">
            <v>ADMINISTRATIVO</v>
          </cell>
          <cell r="N355" t="str">
            <v>GRADO I.21</v>
          </cell>
          <cell r="O355" t="str">
            <v>TÍTULO PROFESIONAL</v>
          </cell>
          <cell r="P355" t="str">
            <v>INGENIERO DE EJECUCIÓN EN INFORMÁTICA</v>
          </cell>
          <cell r="Q355" t="str">
            <v>TALCA</v>
          </cell>
          <cell r="R355" t="str">
            <v>VIC. GESTIÓN ECONÓMICA Y ADMINISTRACIÓN</v>
          </cell>
          <cell r="S355" t="str">
            <v>DEPARTAMENTO DE SISTEMAS</v>
          </cell>
        </row>
        <row r="356">
          <cell r="A356">
            <v>12298356</v>
          </cell>
          <cell r="B356" t="str">
            <v>12298356</v>
          </cell>
          <cell r="C356" t="str">
            <v>0</v>
          </cell>
          <cell r="D356" t="str">
            <v>REYES SALAZAR MARIA GUISELA</v>
          </cell>
          <cell r="E356" t="str">
            <v>ADC011001</v>
          </cell>
          <cell r="F356">
            <v>44</v>
          </cell>
          <cell r="G356">
            <v>30</v>
          </cell>
          <cell r="H356" t="str">
            <v>MGREYES@UTALCA.CL</v>
          </cell>
          <cell r="I356">
            <v>34700</v>
          </cell>
          <cell r="J356">
            <v>2958465</v>
          </cell>
          <cell r="K356" t="str">
            <v>PLANTA</v>
          </cell>
          <cell r="L356" t="str">
            <v>TÉCNICO</v>
          </cell>
          <cell r="M356" t="str">
            <v>TÉCNICO</v>
          </cell>
          <cell r="N356" t="str">
            <v>GRADO I.20</v>
          </cell>
          <cell r="O356" t="str">
            <v>TÍTULO PROFESIONAL</v>
          </cell>
          <cell r="P356" t="str">
            <v>INGENIERA EN ADMINISTRACION DE EMPRESAS</v>
          </cell>
          <cell r="Q356" t="str">
            <v>TALCA</v>
          </cell>
          <cell r="R356" t="str">
            <v/>
          </cell>
          <cell r="S356" t="str">
            <v>RECTORÍA</v>
          </cell>
        </row>
        <row r="357">
          <cell r="A357">
            <v>12300797</v>
          </cell>
          <cell r="B357" t="str">
            <v>12300797</v>
          </cell>
          <cell r="C357" t="str">
            <v>2</v>
          </cell>
          <cell r="D357" t="str">
            <v>MARDONES VILLANSEN JUAN MANUEL</v>
          </cell>
          <cell r="E357" t="str">
            <v>ADC014004</v>
          </cell>
          <cell r="F357">
            <v>44</v>
          </cell>
          <cell r="G357">
            <v>30</v>
          </cell>
          <cell r="H357" t="str">
            <v>JMARDONESV@UTALCA.CL</v>
          </cell>
          <cell r="I357">
            <v>41275</v>
          </cell>
          <cell r="J357">
            <v>46387</v>
          </cell>
          <cell r="K357" t="str">
            <v>CONTRATA</v>
          </cell>
          <cell r="L357" t="str">
            <v>PROFESIONAL</v>
          </cell>
          <cell r="M357" t="str">
            <v>PROFESIONAL</v>
          </cell>
          <cell r="N357" t="str">
            <v>GRADO I.17</v>
          </cell>
          <cell r="O357" t="str">
            <v>TÍTULO PROFESIONAL</v>
          </cell>
          <cell r="P357" t="str">
            <v>INGENIERO COMERCIAL</v>
          </cell>
          <cell r="Q357" t="str">
            <v>TALCA</v>
          </cell>
          <cell r="R357" t="str">
            <v>SECRETARÍA GENERAL</v>
          </cell>
          <cell r="S357" t="str">
            <v>OFICINA DE GOBIERNO TRASPARENTE</v>
          </cell>
        </row>
        <row r="358">
          <cell r="A358">
            <v>12307943</v>
          </cell>
          <cell r="B358" t="str">
            <v>12307943</v>
          </cell>
          <cell r="C358" t="str">
            <v>4</v>
          </cell>
          <cell r="D358" t="str">
            <v>ELIZONDO GALLARDO RICHARD ANTO</v>
          </cell>
          <cell r="E358" t="str">
            <v>VAC400001</v>
          </cell>
          <cell r="F358">
            <v>44</v>
          </cell>
          <cell r="G358">
            <v>30</v>
          </cell>
          <cell r="H358" t="str">
            <v>RELIZONDO@UTALCA.CL</v>
          </cell>
          <cell r="I358">
            <v>43466</v>
          </cell>
          <cell r="J358">
            <v>46387</v>
          </cell>
          <cell r="K358" t="str">
            <v>CONTRATA</v>
          </cell>
          <cell r="L358" t="str">
            <v>PROFESIONAL</v>
          </cell>
          <cell r="M358" t="str">
            <v>PROFESIONAL</v>
          </cell>
          <cell r="N358" t="str">
            <v>GRADO I.17</v>
          </cell>
          <cell r="O358" t="str">
            <v>TÍTULO PROFESIONAL</v>
          </cell>
          <cell r="P358" t="str">
            <v>INGENIERÍA AGRÍCOLA</v>
          </cell>
          <cell r="Q358" t="str">
            <v>TALCA</v>
          </cell>
          <cell r="R358" t="str">
            <v>VICERRECTORÍA ACADÉMICA</v>
          </cell>
          <cell r="S358" t="str">
            <v>DIRECCIÓN DE BIBLIOTECAS</v>
          </cell>
        </row>
        <row r="359">
          <cell r="A359">
            <v>12317475</v>
          </cell>
          <cell r="B359" t="str">
            <v>12317475</v>
          </cell>
          <cell r="C359" t="str">
            <v>5</v>
          </cell>
          <cell r="D359" t="str">
            <v>SANCHEZ PEÑA MAURICIO CRISTIAN</v>
          </cell>
          <cell r="E359" t="str">
            <v>FCI320004</v>
          </cell>
          <cell r="F359">
            <v>44</v>
          </cell>
          <cell r="G359">
            <v>30</v>
          </cell>
          <cell r="H359" t="str">
            <v>MAUSANCHEZ@UTALCA.CL</v>
          </cell>
          <cell r="I359">
            <v>43831</v>
          </cell>
          <cell r="J359">
            <v>46446</v>
          </cell>
          <cell r="K359" t="str">
            <v>CONTRATA</v>
          </cell>
          <cell r="L359" t="str">
            <v>CA DOCENTE</v>
          </cell>
          <cell r="M359" t="str">
            <v>PROFESOR ASISTENTE</v>
          </cell>
          <cell r="N359" t="str">
            <v>GRADO C</v>
          </cell>
          <cell r="O359" t="str">
            <v>MAGISTER</v>
          </cell>
          <cell r="P359" t="str">
            <v>MAGÍSTER EN EDUCACIÓN DE LAS CIENCIAS CON MEN</v>
          </cell>
          <cell r="Q359" t="str">
            <v>CURICO</v>
          </cell>
          <cell r="R359" t="str">
            <v>FACULTAD DE INGENIERÍA</v>
          </cell>
          <cell r="S359" t="str">
            <v>DEPARTAMENTO DE TECNOLOGÍA INDUSTRIALES</v>
          </cell>
        </row>
        <row r="360">
          <cell r="A360">
            <v>12359426</v>
          </cell>
          <cell r="B360" t="str">
            <v>12359426</v>
          </cell>
          <cell r="C360" t="str">
            <v>6</v>
          </cell>
          <cell r="D360" t="str">
            <v>HENRIQUEZ BAEZA RAFAEL ALEJAND</v>
          </cell>
          <cell r="E360" t="str">
            <v>VGE400021</v>
          </cell>
          <cell r="F360">
            <v>44</v>
          </cell>
          <cell r="G360">
            <v>30</v>
          </cell>
          <cell r="H360" t="str">
            <v>RHENRIQUEZ@UTALCA.CL</v>
          </cell>
          <cell r="I360">
            <v>38870</v>
          </cell>
          <cell r="J360">
            <v>2958465</v>
          </cell>
          <cell r="K360" t="str">
            <v>PLANTA</v>
          </cell>
          <cell r="L360" t="str">
            <v>PROFESIONAL</v>
          </cell>
          <cell r="M360" t="str">
            <v>PROFESIONAL</v>
          </cell>
          <cell r="N360" t="str">
            <v>GRADO I.17</v>
          </cell>
          <cell r="O360" t="str">
            <v>TÍTULO PROFESIONAL</v>
          </cell>
          <cell r="P360" t="str">
            <v>INGENIERO DE EJECUCION EN ADMINISTRACION AGRO</v>
          </cell>
          <cell r="Q360" t="str">
            <v>TALCA</v>
          </cell>
          <cell r="R360" t="str">
            <v>VIC. GESTIÓN ECONÓMICA Y ADMINISTRACIÓN</v>
          </cell>
          <cell r="S360" t="str">
            <v>DEPARTAMENTO DE PRESUPUESTO</v>
          </cell>
        </row>
        <row r="361">
          <cell r="A361">
            <v>12368931</v>
          </cell>
          <cell r="B361" t="str">
            <v>12368931</v>
          </cell>
          <cell r="C361" t="str">
            <v>3</v>
          </cell>
          <cell r="D361" t="str">
            <v>URZUA HESS ROSSANA MARIA</v>
          </cell>
          <cell r="E361" t="str">
            <v>ADC040001</v>
          </cell>
          <cell r="F361">
            <v>22</v>
          </cell>
          <cell r="G361">
            <v>30</v>
          </cell>
          <cell r="H361" t="str">
            <v>RURZUA@UTALCA.CL</v>
          </cell>
          <cell r="I361">
            <v>43466</v>
          </cell>
          <cell r="J361">
            <v>46387</v>
          </cell>
          <cell r="K361" t="str">
            <v>CONTRATA</v>
          </cell>
          <cell r="L361" t="str">
            <v>PROFESIONAL</v>
          </cell>
          <cell r="M361" t="str">
            <v>PROFESIONAL</v>
          </cell>
          <cell r="N361" t="str">
            <v>GRADO I.17</v>
          </cell>
          <cell r="O361" t="str">
            <v>TÍTULO PROFESIONAL</v>
          </cell>
          <cell r="P361" t="str">
            <v>INGENIERO COMERCIAL</v>
          </cell>
          <cell r="Q361" t="str">
            <v>COLCHAGUA</v>
          </cell>
          <cell r="R361" t="str">
            <v>DIRECCIÓN DE SEDE SANTA CRUZ</v>
          </cell>
          <cell r="S361" t="str">
            <v>DIRECCIÓN DE SEDE SANTA CRUZ</v>
          </cell>
        </row>
        <row r="362">
          <cell r="A362">
            <v>12370218</v>
          </cell>
          <cell r="B362" t="str">
            <v>12370218</v>
          </cell>
          <cell r="C362" t="str">
            <v>2</v>
          </cell>
          <cell r="D362" t="str">
            <v>RAHMER BASS RICARDO ANTONIO</v>
          </cell>
          <cell r="E362" t="str">
            <v>VGE400006</v>
          </cell>
          <cell r="F362">
            <v>44</v>
          </cell>
          <cell r="G362">
            <v>30</v>
          </cell>
          <cell r="H362" t="str">
            <v>RRAHMER@UTALCA.CL</v>
          </cell>
          <cell r="I362">
            <v>36836</v>
          </cell>
          <cell r="J362">
            <v>2958465</v>
          </cell>
          <cell r="K362" t="str">
            <v>PLANTA</v>
          </cell>
          <cell r="L362" t="str">
            <v>PROFESIONAL</v>
          </cell>
          <cell r="M362" t="str">
            <v>PROFESIONAL</v>
          </cell>
          <cell r="N362" t="str">
            <v>GRADO I.17</v>
          </cell>
          <cell r="O362" t="str">
            <v>MAGISTER</v>
          </cell>
          <cell r="P362" t="str">
            <v>MAGISTER EN ADMINISTRACIÓN DE EMPRESAS</v>
          </cell>
          <cell r="Q362" t="str">
            <v>TALCA</v>
          </cell>
          <cell r="R362" t="str">
            <v>VIC. GESTIÓN ECONÓMICA Y ADMINISTRACIÓN</v>
          </cell>
          <cell r="S362" t="str">
            <v>BIENESTAR DEL PERSONAL</v>
          </cell>
        </row>
        <row r="363">
          <cell r="A363">
            <v>12370955</v>
          </cell>
          <cell r="B363" t="str">
            <v>12370955</v>
          </cell>
          <cell r="C363" t="str">
            <v>1</v>
          </cell>
          <cell r="D363" t="str">
            <v>GUERRA GUERRERO FERNANDO PATRI</v>
          </cell>
          <cell r="E363" t="str">
            <v>ICB300001</v>
          </cell>
          <cell r="F363">
            <v>44</v>
          </cell>
          <cell r="G363">
            <v>30</v>
          </cell>
          <cell r="H363" t="str">
            <v>FGUERRA@UTALCA.CL</v>
          </cell>
          <cell r="I363">
            <v>40969</v>
          </cell>
          <cell r="J363">
            <v>2958465</v>
          </cell>
          <cell r="K363" t="str">
            <v>PLANTA</v>
          </cell>
          <cell r="L363" t="str">
            <v>CA ORDINARIA</v>
          </cell>
          <cell r="M363" t="str">
            <v>PROFESOR ASOCIADO</v>
          </cell>
          <cell r="N363" t="str">
            <v>GRADO B</v>
          </cell>
          <cell r="O363" t="str">
            <v>DOCTORADO</v>
          </cell>
          <cell r="P363" t="str">
            <v>DOCTOR EN CIENCIAS CON MENCION INGENIERIA GEN</v>
          </cell>
          <cell r="Q363" t="str">
            <v>TALCA</v>
          </cell>
          <cell r="R363" t="str">
            <v>INSTITUTO DE CIENCIAS BIOLÓGICAS</v>
          </cell>
          <cell r="S363" t="str">
            <v>INSTITUTO DE CIENCIAS BIOLÓGICAS</v>
          </cell>
        </row>
        <row r="364">
          <cell r="A364">
            <v>12371126</v>
          </cell>
          <cell r="B364" t="str">
            <v>12371126</v>
          </cell>
          <cell r="C364" t="str">
            <v>2</v>
          </cell>
          <cell r="D364" t="str">
            <v>REYES ALBORNOZ LUIS ALEJANDRO</v>
          </cell>
          <cell r="E364" t="str">
            <v>ADC024006</v>
          </cell>
          <cell r="F364">
            <v>44</v>
          </cell>
          <cell r="G364">
            <v>30</v>
          </cell>
          <cell r="H364" t="str">
            <v>LUREYES@UTALCA.CL</v>
          </cell>
          <cell r="I364">
            <v>36281</v>
          </cell>
          <cell r="J364">
            <v>46387</v>
          </cell>
          <cell r="K364" t="str">
            <v>CONTRATA</v>
          </cell>
          <cell r="L364" t="str">
            <v>CONFERENCIANTE</v>
          </cell>
          <cell r="M364" t="str">
            <v>ADMINISTRATIVO</v>
          </cell>
          <cell r="N364" t="str">
            <v>GRADO I.21</v>
          </cell>
          <cell r="O364" t="str">
            <v>TÉC. NIVEL MEDIO</v>
          </cell>
          <cell r="P364" t="str">
            <v>TECNICO AGRICOLA</v>
          </cell>
          <cell r="Q364" t="str">
            <v>TALCA</v>
          </cell>
          <cell r="R364" t="str">
            <v>DRCCIÓN. GNAL. VINCULACIÓN CON EL MEDIO</v>
          </cell>
          <cell r="S364" t="str">
            <v>UND. JARDÍN BOTÁNICO Y ARBORETUM</v>
          </cell>
        </row>
        <row r="365">
          <cell r="A365">
            <v>12373209</v>
          </cell>
          <cell r="B365" t="str">
            <v>12373209</v>
          </cell>
          <cell r="C365" t="str">
            <v>K</v>
          </cell>
          <cell r="D365" t="str">
            <v>JACQUES BRAVO JAIME ANDRES</v>
          </cell>
          <cell r="E365" t="str">
            <v>FOD320002</v>
          </cell>
          <cell r="F365">
            <v>22</v>
          </cell>
          <cell r="G365">
            <v>30</v>
          </cell>
          <cell r="H365" t="str">
            <v>JJACQUES@UTALCA.CL</v>
          </cell>
          <cell r="I365">
            <v>42478</v>
          </cell>
          <cell r="J365">
            <v>46446</v>
          </cell>
          <cell r="K365" t="str">
            <v>CONTRATA</v>
          </cell>
          <cell r="L365" t="str">
            <v>CA DOCENTE</v>
          </cell>
          <cell r="M365" t="str">
            <v>PROFESOR ASISTENTE</v>
          </cell>
          <cell r="N365" t="str">
            <v>GRADO C</v>
          </cell>
          <cell r="O365" t="str">
            <v>DOCTORADO</v>
          </cell>
          <cell r="P365" t="str">
            <v>DOCTORAT DE BIOLOGIE CELLULAIRE</v>
          </cell>
          <cell r="Q365" t="str">
            <v>TALCA</v>
          </cell>
          <cell r="R365" t="str">
            <v>FACULTAD DE ODONTOLOGÍA</v>
          </cell>
          <cell r="S365" t="str">
            <v>DEPARTAMENTO DE ESTOMATOLOGÍA</v>
          </cell>
        </row>
        <row r="366">
          <cell r="A366">
            <v>12376597</v>
          </cell>
          <cell r="B366" t="str">
            <v>12376597</v>
          </cell>
          <cell r="C366" t="str">
            <v>4</v>
          </cell>
          <cell r="D366" t="str">
            <v>AGUILERA PEREZ MIRNA CAROLA  I</v>
          </cell>
          <cell r="E366" t="str">
            <v>VAC400001</v>
          </cell>
          <cell r="F366">
            <v>44</v>
          </cell>
          <cell r="G366">
            <v>30</v>
          </cell>
          <cell r="H366" t="str">
            <v>MAGUILERA@UTALCA.CL</v>
          </cell>
          <cell r="I366">
            <v>43466</v>
          </cell>
          <cell r="J366">
            <v>46387</v>
          </cell>
          <cell r="K366" t="str">
            <v>CONTRATA</v>
          </cell>
          <cell r="L366" t="str">
            <v>ADMINISTRATIVO</v>
          </cell>
          <cell r="M366" t="str">
            <v>ADMINISTRATIVO</v>
          </cell>
          <cell r="N366" t="str">
            <v>GRADO I.21</v>
          </cell>
          <cell r="O366" t="str">
            <v>TÍTULO PROFESIONAL</v>
          </cell>
          <cell r="P366" t="str">
            <v>EGRESADA DE LA CARRERA DE DERECHO</v>
          </cell>
          <cell r="Q366" t="str">
            <v>TALCA</v>
          </cell>
          <cell r="R366" t="str">
            <v>VICERRECTORÍA ACADÉMICA</v>
          </cell>
          <cell r="S366" t="str">
            <v>DIRECCIÓN DE BIBLIOTECAS</v>
          </cell>
        </row>
        <row r="367">
          <cell r="A367">
            <v>12413387</v>
          </cell>
          <cell r="B367" t="str">
            <v>12413387</v>
          </cell>
          <cell r="C367" t="str">
            <v>4</v>
          </cell>
          <cell r="D367" t="str">
            <v>DONOSO TORRES WENDY KARINA</v>
          </cell>
          <cell r="E367" t="str">
            <v>FCS320001</v>
          </cell>
          <cell r="F367">
            <v>33</v>
          </cell>
          <cell r="G367">
            <v>30</v>
          </cell>
          <cell r="H367" t="str">
            <v>WDONOSO@UTALCA.CL</v>
          </cell>
          <cell r="I367">
            <v>37956</v>
          </cell>
          <cell r="J367">
            <v>46446</v>
          </cell>
          <cell r="K367" t="str">
            <v>CONTRATA</v>
          </cell>
          <cell r="L367" t="str">
            <v>CA DOCENTE</v>
          </cell>
          <cell r="M367" t="str">
            <v>PROFESOR ASISTENTE</v>
          </cell>
          <cell r="N367" t="str">
            <v>GRADO C</v>
          </cell>
          <cell r="O367" t="str">
            <v>DOCTORADO</v>
          </cell>
          <cell r="P367" t="str">
            <v>DOCTOR EN CIENCIAS CON MENCIÓN EN INVEST Y DE</v>
          </cell>
          <cell r="Q367" t="str">
            <v>TALCA</v>
          </cell>
          <cell r="R367" t="str">
            <v>FACULTAD DE CIENCIAS DE LA SALUD</v>
          </cell>
          <cell r="S367" t="str">
            <v>DPTO. BIOQUÍM. CLÍN. E INMUNOHEMATOLOGÍA</v>
          </cell>
        </row>
        <row r="368">
          <cell r="A368">
            <v>12456200</v>
          </cell>
          <cell r="B368" t="str">
            <v>12456200</v>
          </cell>
          <cell r="C368" t="str">
            <v>7</v>
          </cell>
          <cell r="D368" t="str">
            <v>HERRERA TASCON RICARDO ANTONIO</v>
          </cell>
          <cell r="E368" t="str">
            <v/>
          </cell>
          <cell r="F368">
            <v>44</v>
          </cell>
          <cell r="G368">
            <v>30</v>
          </cell>
          <cell r="H368" t="str">
            <v>RIHERRERA@UTALCA.CL</v>
          </cell>
          <cell r="I368">
            <v>38443</v>
          </cell>
          <cell r="J368">
            <v>46387</v>
          </cell>
          <cell r="K368" t="str">
            <v>CONTRATA</v>
          </cell>
          <cell r="L368" t="str">
            <v>INVESTIGADOR ASISTENTE</v>
          </cell>
          <cell r="M368" t="str">
            <v>PROFESIONAL</v>
          </cell>
          <cell r="N368" t="str">
            <v>GRADO I.17</v>
          </cell>
          <cell r="O368" t="str">
            <v>MAGISTER</v>
          </cell>
          <cell r="P368" t="str">
            <v>MAGÍSTER EN HORTICULTURA</v>
          </cell>
          <cell r="Q368" t="str">
            <v>TALCA</v>
          </cell>
          <cell r="R368" t="str">
            <v>FACULTAD DE CIENCIAS AGRARIAS</v>
          </cell>
          <cell r="S368" t="str">
            <v>CENTRO TECNOLÓGICO DE SUELOS Y CULTIVOS</v>
          </cell>
        </row>
        <row r="369">
          <cell r="A369">
            <v>12474466</v>
          </cell>
          <cell r="B369" t="str">
            <v>12474466</v>
          </cell>
          <cell r="C369" t="str">
            <v>0</v>
          </cell>
          <cell r="D369" t="str">
            <v>CONTRERAS BARRA MARICEL ANTONI</v>
          </cell>
          <cell r="E369" t="str">
            <v>ADC021006</v>
          </cell>
          <cell r="F369">
            <v>44</v>
          </cell>
          <cell r="G369">
            <v>30</v>
          </cell>
          <cell r="H369" t="str">
            <v>MARICELCONTRERAS@UTALCA.CL</v>
          </cell>
          <cell r="I369">
            <v>43101</v>
          </cell>
          <cell r="J369">
            <v>46387</v>
          </cell>
          <cell r="K369" t="str">
            <v>CONTRATA</v>
          </cell>
          <cell r="L369" t="str">
            <v>PROFESIONAL</v>
          </cell>
          <cell r="M369" t="str">
            <v>PROFESIONAL</v>
          </cell>
          <cell r="N369" t="str">
            <v>GRADO I.17</v>
          </cell>
          <cell r="O369" t="str">
            <v>TÍTULO PROFESIONAL</v>
          </cell>
          <cell r="P369" t="str">
            <v>PERIODISTA</v>
          </cell>
          <cell r="Q369" t="str">
            <v>TALCA</v>
          </cell>
          <cell r="R369" t="str">
            <v>DIRECCIÓN DE COMUNICACIONES CORPORATIVAS</v>
          </cell>
          <cell r="S369" t="str">
            <v>DEPARTAMENTO DE COMUNICACIÓN INTERNA</v>
          </cell>
        </row>
        <row r="370">
          <cell r="A370">
            <v>12486894</v>
          </cell>
          <cell r="B370" t="str">
            <v>12486894</v>
          </cell>
          <cell r="C370" t="str">
            <v>7</v>
          </cell>
          <cell r="D370" t="str">
            <v>HIDALGO RIVAS JOSE ALEJANDRO</v>
          </cell>
          <cell r="E370" t="str">
            <v>FOD320002</v>
          </cell>
          <cell r="F370">
            <v>44</v>
          </cell>
          <cell r="G370">
            <v>30</v>
          </cell>
          <cell r="H370" t="str">
            <v>AHIDALGO@UTALCA.CL</v>
          </cell>
          <cell r="I370">
            <v>39083</v>
          </cell>
          <cell r="J370">
            <v>2958465</v>
          </cell>
          <cell r="K370" t="str">
            <v>PLANTA</v>
          </cell>
          <cell r="L370" t="str">
            <v>CA ORDINARIA</v>
          </cell>
          <cell r="M370" t="str">
            <v>PROFESOR ASOCIADO</v>
          </cell>
          <cell r="N370" t="str">
            <v>GRADO B</v>
          </cell>
          <cell r="O370" t="str">
            <v>DOCTORADO</v>
          </cell>
          <cell r="P370" t="str">
            <v>DOCTOR OF PHILOSOPHY</v>
          </cell>
          <cell r="Q370" t="str">
            <v>TALCA</v>
          </cell>
          <cell r="R370" t="str">
            <v>FACULTAD DE ODONTOLOGÍA</v>
          </cell>
          <cell r="S370" t="str">
            <v>DEPARTAMENTO DE ESTOMATOLOGÍA</v>
          </cell>
        </row>
        <row r="371">
          <cell r="A371">
            <v>12489176</v>
          </cell>
          <cell r="B371" t="str">
            <v>12489176</v>
          </cell>
          <cell r="C371" t="str">
            <v>0</v>
          </cell>
          <cell r="D371" t="str">
            <v>ARANEDA GALLARDO PATRICIO ALEJ</v>
          </cell>
          <cell r="E371" t="str">
            <v>VAC400001</v>
          </cell>
          <cell r="F371">
            <v>44</v>
          </cell>
          <cell r="G371">
            <v>30</v>
          </cell>
          <cell r="H371" t="str">
            <v>PATRICIO.ARANEDAG@UTALCA.CL</v>
          </cell>
          <cell r="I371">
            <v>45523</v>
          </cell>
          <cell r="J371">
            <v>46387</v>
          </cell>
          <cell r="K371" t="str">
            <v>CONTRATA</v>
          </cell>
          <cell r="L371" t="str">
            <v>PROFESIONAL</v>
          </cell>
          <cell r="M371" t="str">
            <v>PROFESIONAL</v>
          </cell>
          <cell r="N371" t="str">
            <v>GRADO I.17</v>
          </cell>
          <cell r="O371" t="str">
            <v>TÍTULO PROFESIONAL</v>
          </cell>
          <cell r="P371" t="str">
            <v>BIBLIOTECARIO</v>
          </cell>
          <cell r="Q371" t="str">
            <v>SANTIAGO</v>
          </cell>
          <cell r="R371" t="str">
            <v>VICERRECTORÍA ACADÉMICA</v>
          </cell>
          <cell r="S371" t="str">
            <v>DIRECCIÓN DE BIBLIOTECAS</v>
          </cell>
        </row>
        <row r="372">
          <cell r="A372">
            <v>12497597</v>
          </cell>
          <cell r="B372" t="str">
            <v>12497597</v>
          </cell>
          <cell r="C372" t="str">
            <v>2</v>
          </cell>
          <cell r="D372" t="str">
            <v>RODRIGUEZ SALFATE GUSTAVO ANDR</v>
          </cell>
          <cell r="E372" t="str">
            <v>IAM320001</v>
          </cell>
          <cell r="F372">
            <v>44</v>
          </cell>
          <cell r="G372">
            <v>30</v>
          </cell>
          <cell r="H372" t="str">
            <v>GUSTAVO.RODRIGUEZ@UTALCA.CL</v>
          </cell>
          <cell r="I372">
            <v>44927</v>
          </cell>
          <cell r="J372">
            <v>46387</v>
          </cell>
          <cell r="K372" t="str">
            <v>CONTRATA</v>
          </cell>
          <cell r="L372" t="str">
            <v>ADMINISTRATIVO</v>
          </cell>
          <cell r="M372" t="str">
            <v>ADMINISTRATIVO</v>
          </cell>
          <cell r="N372" t="str">
            <v>GRADO I.21</v>
          </cell>
          <cell r="O372" t="str">
            <v>ESCOLARIDAD CIENT HU</v>
          </cell>
          <cell r="P372" t="str">
            <v>LICENCIA ENSEÑANZA MEDIA</v>
          </cell>
          <cell r="Q372" t="str">
            <v>TALCA</v>
          </cell>
          <cell r="R372" t="str">
            <v>INST. ESTUDIOS HUMANÍSTICOS ABATE J.I.M.</v>
          </cell>
          <cell r="S372" t="str">
            <v>CENTRO DE DOCUMENTACIÓN PATRIMONIAL</v>
          </cell>
        </row>
        <row r="373">
          <cell r="A373">
            <v>12507146</v>
          </cell>
          <cell r="B373" t="str">
            <v>12507146</v>
          </cell>
          <cell r="C373" t="str">
            <v>5</v>
          </cell>
          <cell r="D373" t="str">
            <v>VELIZ CAMPOS MAURICIO ENRIQUE</v>
          </cell>
          <cell r="E373" t="str">
            <v>FED310002</v>
          </cell>
          <cell r="F373">
            <v>44</v>
          </cell>
          <cell r="G373">
            <v>30</v>
          </cell>
          <cell r="H373" t="str">
            <v>MAURICIO.VELIZ@UTALCA.CL</v>
          </cell>
          <cell r="I373">
            <v>43525</v>
          </cell>
          <cell r="J373">
            <v>2958465</v>
          </cell>
          <cell r="K373" t="str">
            <v>PLANTA</v>
          </cell>
          <cell r="L373" t="str">
            <v>CA ORDINARIA</v>
          </cell>
          <cell r="M373" t="str">
            <v>PROFESOR ASOCIADO</v>
          </cell>
          <cell r="N373" t="str">
            <v>GRADO B</v>
          </cell>
          <cell r="O373" t="str">
            <v>DOCTORADO</v>
          </cell>
          <cell r="P373" t="str">
            <v>DOCTOR OF EDUCATION</v>
          </cell>
          <cell r="Q373" t="str">
            <v>LINARES</v>
          </cell>
          <cell r="R373" t="str">
            <v>FACULTAD DE CIENCIAS DE LA EDUCACIÓN</v>
          </cell>
          <cell r="S373" t="str">
            <v>ESCUELA DE PEDAGOGÍA EN INGLÉS</v>
          </cell>
        </row>
        <row r="374">
          <cell r="A374">
            <v>12513135</v>
          </cell>
          <cell r="B374" t="str">
            <v>12513135</v>
          </cell>
          <cell r="C374" t="str">
            <v>2</v>
          </cell>
          <cell r="D374" t="str">
            <v>ORREGO CASTILLO ROXANA ISABEL</v>
          </cell>
          <cell r="E374" t="str">
            <v>FCS320001</v>
          </cell>
          <cell r="F374">
            <v>44</v>
          </cell>
          <cell r="G374">
            <v>30</v>
          </cell>
          <cell r="H374" t="str">
            <v>RORREGO@UTALCA.CL</v>
          </cell>
          <cell r="I374">
            <v>36739</v>
          </cell>
          <cell r="J374">
            <v>46446</v>
          </cell>
          <cell r="K374" t="str">
            <v>CONTRATA</v>
          </cell>
          <cell r="L374" t="str">
            <v>CA DOCENTE</v>
          </cell>
          <cell r="M374" t="str">
            <v>INSTRUCTOR</v>
          </cell>
          <cell r="N374" t="str">
            <v>GRADO D</v>
          </cell>
          <cell r="O374" t="str">
            <v>MAGISTER</v>
          </cell>
          <cell r="P374" t="str">
            <v>MAGISTER EN CIENCIAS BIOMÉDICAS MENCION: BIOQ</v>
          </cell>
          <cell r="Q374" t="str">
            <v>TALCA</v>
          </cell>
          <cell r="R374" t="str">
            <v>FACULTAD DE CIENCIAS DE LA SALUD</v>
          </cell>
          <cell r="S374" t="str">
            <v>DPTO. BIOQUÍM. CLÍN. E INMUNOHEMATOLOGÍA</v>
          </cell>
        </row>
        <row r="375">
          <cell r="A375">
            <v>12520028</v>
          </cell>
          <cell r="B375" t="str">
            <v>12520028</v>
          </cell>
          <cell r="C375" t="str">
            <v>1</v>
          </cell>
          <cell r="D375" t="str">
            <v>ARENAS CONCHA SAMUEL EDUARDO</v>
          </cell>
          <cell r="E375" t="str">
            <v>FAD310004</v>
          </cell>
          <cell r="F375">
            <v>44</v>
          </cell>
          <cell r="G375">
            <v>30</v>
          </cell>
          <cell r="H375" t="str">
            <v>SAARENAS@UTALCA.CL</v>
          </cell>
          <cell r="I375">
            <v>43466</v>
          </cell>
          <cell r="J375">
            <v>46387</v>
          </cell>
          <cell r="K375" t="str">
            <v>CONTRATA</v>
          </cell>
          <cell r="L375" t="str">
            <v>PROFESIONAL</v>
          </cell>
          <cell r="M375" t="str">
            <v>PROFESIONAL</v>
          </cell>
          <cell r="N375" t="str">
            <v>GRADO I.17</v>
          </cell>
          <cell r="O375" t="str">
            <v>LICENCIADO</v>
          </cell>
          <cell r="P375" t="str">
            <v>LICENCIADO EN ARTES, CON MENCIÓN EN INTERPRET</v>
          </cell>
          <cell r="Q375" t="str">
            <v>TALCA</v>
          </cell>
          <cell r="R375" t="str">
            <v>FACULTAD DE ARQUITECTUR, MÚSICA Y DISEÑO</v>
          </cell>
          <cell r="S375" t="str">
            <v>ESCUELA DE MÚSICA</v>
          </cell>
        </row>
        <row r="376">
          <cell r="A376">
            <v>12520805</v>
          </cell>
          <cell r="B376" t="str">
            <v>12520805</v>
          </cell>
          <cell r="C376" t="str">
            <v>3</v>
          </cell>
          <cell r="D376" t="str">
            <v>POZO OLMEDO CECILIA ALEJANDRA</v>
          </cell>
          <cell r="E376" t="str">
            <v>VGE400020</v>
          </cell>
          <cell r="F376">
            <v>44</v>
          </cell>
          <cell r="G376">
            <v>30</v>
          </cell>
          <cell r="H376" t="str">
            <v>CPOZO@UTALCA.CL</v>
          </cell>
          <cell r="I376">
            <v>34090</v>
          </cell>
          <cell r="J376">
            <v>2958465</v>
          </cell>
          <cell r="K376" t="str">
            <v>PLANTA</v>
          </cell>
          <cell r="L376" t="str">
            <v>ADMINISTRATIVO</v>
          </cell>
          <cell r="M376" t="str">
            <v>ADMINISTRATIVO</v>
          </cell>
          <cell r="N376" t="str">
            <v>GRADO I.20</v>
          </cell>
          <cell r="O376" t="str">
            <v>TÉC. NIVEL MEDIO</v>
          </cell>
          <cell r="P376" t="str">
            <v>CONTADOR</v>
          </cell>
          <cell r="Q376" t="str">
            <v>TALCA</v>
          </cell>
          <cell r="R376" t="str">
            <v>VIC. GESTIÓN ECONÓMICA Y ADMINISTRACIÓN</v>
          </cell>
          <cell r="S376" t="str">
            <v>DEPARTAMENTO DE TESORERÍA</v>
          </cell>
        </row>
        <row r="377">
          <cell r="A377">
            <v>12520838</v>
          </cell>
          <cell r="B377" t="str">
            <v>12520838</v>
          </cell>
          <cell r="C377" t="str">
            <v>K</v>
          </cell>
          <cell r="D377" t="str">
            <v>ESPINOZA ALBORNOZ JESSICA IVON</v>
          </cell>
          <cell r="E377" t="str">
            <v>VAC400001</v>
          </cell>
          <cell r="F377">
            <v>44</v>
          </cell>
          <cell r="G377">
            <v>30</v>
          </cell>
          <cell r="H377" t="str">
            <v>JESSICA.ESPINOZA@UTALCA.CL</v>
          </cell>
          <cell r="I377">
            <v>44197</v>
          </cell>
          <cell r="J377">
            <v>46387</v>
          </cell>
          <cell r="K377" t="str">
            <v>CONTRATA</v>
          </cell>
          <cell r="L377" t="str">
            <v>TÉCNICO</v>
          </cell>
          <cell r="M377" t="str">
            <v>TÉCNICO</v>
          </cell>
          <cell r="N377" t="str">
            <v>GRADO I.21</v>
          </cell>
          <cell r="O377" t="str">
            <v>TÍTULO PROFESIONAL</v>
          </cell>
          <cell r="P377" t="str">
            <v>PROFESORA DE EDUCACIÓN GENERAL BÁSICA</v>
          </cell>
          <cell r="Q377" t="str">
            <v>TALCA</v>
          </cell>
          <cell r="R377" t="str">
            <v>VICERRECTORÍA ACADÉMICA</v>
          </cell>
          <cell r="S377" t="str">
            <v>DIRECCIÓN DE BIBLIOTECAS</v>
          </cell>
        </row>
        <row r="378">
          <cell r="A378">
            <v>12520855</v>
          </cell>
          <cell r="B378" t="str">
            <v>12520855</v>
          </cell>
          <cell r="C378" t="str">
            <v>K</v>
          </cell>
          <cell r="D378" t="str">
            <v>TRONCOSO TIRAPEGUI JUAN JOSE</v>
          </cell>
          <cell r="E378" t="str">
            <v>FCI320002</v>
          </cell>
          <cell r="F378">
            <v>22</v>
          </cell>
          <cell r="G378">
            <v>30</v>
          </cell>
          <cell r="H378" t="str">
            <v>JTRONCOSO@UTALCA.CL</v>
          </cell>
          <cell r="I378">
            <v>41699</v>
          </cell>
          <cell r="J378">
            <v>46446</v>
          </cell>
          <cell r="K378" t="str">
            <v>CONTRATA</v>
          </cell>
          <cell r="L378" t="str">
            <v>CA DOCENTE</v>
          </cell>
          <cell r="M378" t="str">
            <v>PROFESOR ASISTENTE</v>
          </cell>
          <cell r="N378" t="str">
            <v>GRADO C</v>
          </cell>
          <cell r="O378" t="str">
            <v>DOCTORADO</v>
          </cell>
          <cell r="P378" t="str">
            <v>DOCTOR EN SISTEMAS DE INGENIERÍA</v>
          </cell>
          <cell r="Q378" t="str">
            <v>TALCA</v>
          </cell>
          <cell r="R378" t="str">
            <v>FACULTAD DE INGENIERÍA</v>
          </cell>
          <cell r="S378" t="str">
            <v>DEPARTAMENTO DE INGENIERÍA INDUSTRIAL</v>
          </cell>
        </row>
        <row r="379">
          <cell r="A379">
            <v>12521219</v>
          </cell>
          <cell r="B379" t="str">
            <v>12521219</v>
          </cell>
          <cell r="C379" t="str">
            <v>0</v>
          </cell>
          <cell r="D379" t="str">
            <v>GAJARDO AMIGO MONICA IRIS</v>
          </cell>
          <cell r="E379" t="str">
            <v>IQR300001</v>
          </cell>
          <cell r="F379">
            <v>44</v>
          </cell>
          <cell r="G379">
            <v>30</v>
          </cell>
          <cell r="H379" t="str">
            <v>MONICA.GAJARDO@UTALCA.CL</v>
          </cell>
          <cell r="I379">
            <v>44927</v>
          </cell>
          <cell r="J379">
            <v>46387</v>
          </cell>
          <cell r="K379" t="str">
            <v>CONTRATA</v>
          </cell>
          <cell r="L379" t="str">
            <v>TÉCNICO</v>
          </cell>
          <cell r="M379" t="str">
            <v>TÉCNICO</v>
          </cell>
          <cell r="N379" t="str">
            <v>GRADO I.23</v>
          </cell>
          <cell r="O379" t="str">
            <v>TÉC. NIVEL SUPERIOR</v>
          </cell>
          <cell r="P379" t="str">
            <v>TECNICO LABORATORISTA QUIMICO INDUSTRIAL</v>
          </cell>
          <cell r="Q379" t="str">
            <v>TALCA</v>
          </cell>
          <cell r="R379" t="str">
            <v>INSTITUTO QUÍMICA DE RECURSOS NATURALES</v>
          </cell>
          <cell r="S379" t="str">
            <v>INSTITUTO QUÍMICA DE RECURSOS NATURALES</v>
          </cell>
        </row>
        <row r="380">
          <cell r="A380">
            <v>12521543</v>
          </cell>
          <cell r="B380" t="str">
            <v>12521543</v>
          </cell>
          <cell r="C380" t="str">
            <v>2</v>
          </cell>
          <cell r="D380" t="str">
            <v>GONZALEZ DONOSO LUZ MARIA GRAC</v>
          </cell>
          <cell r="E380" t="str">
            <v>FAD320003</v>
          </cell>
          <cell r="F380">
            <v>44</v>
          </cell>
          <cell r="G380">
            <v>30</v>
          </cell>
          <cell r="H380" t="str">
            <v>LGONZALEZ@UTALCA.CL</v>
          </cell>
          <cell r="I380">
            <v>39142</v>
          </cell>
          <cell r="J380">
            <v>46446</v>
          </cell>
          <cell r="K380" t="str">
            <v>CONTRATA</v>
          </cell>
          <cell r="L380" t="str">
            <v>CA DOCENTE</v>
          </cell>
          <cell r="M380" t="str">
            <v>PROFESOR ASOCIADO</v>
          </cell>
          <cell r="N380" t="str">
            <v>GRADO B</v>
          </cell>
          <cell r="O380" t="str">
            <v>MAGISTER</v>
          </cell>
          <cell r="P380" t="str">
            <v>MAGISTER EN INTELIGENCIA EMOCIONAL</v>
          </cell>
          <cell r="Q380" t="str">
            <v>TALCA</v>
          </cell>
          <cell r="R380" t="str">
            <v>FACULTAD DE ARQUITECTUR, MÚSICA Y DISEÑO</v>
          </cell>
          <cell r="S380" t="str">
            <v>DEPARTAMENTO DE DISEÑO</v>
          </cell>
        </row>
        <row r="381">
          <cell r="A381">
            <v>12521924</v>
          </cell>
          <cell r="B381" t="str">
            <v>12521924</v>
          </cell>
          <cell r="C381" t="str">
            <v>1</v>
          </cell>
          <cell r="D381" t="str">
            <v>MUÑOZ ALBORNOZ CLAUDIA ALEJAND</v>
          </cell>
          <cell r="E381" t="str">
            <v>ADC030184</v>
          </cell>
          <cell r="F381">
            <v>44</v>
          </cell>
          <cell r="G381">
            <v>30</v>
          </cell>
          <cell r="H381" t="str">
            <v>CLMUNOZ@UTALCA.CL</v>
          </cell>
          <cell r="I381">
            <v>43466</v>
          </cell>
          <cell r="J381">
            <v>46387</v>
          </cell>
          <cell r="K381" t="str">
            <v>CONTRATA</v>
          </cell>
          <cell r="L381" t="str">
            <v>PROFESIONAL</v>
          </cell>
          <cell r="M381" t="str">
            <v>PROFESIONAL</v>
          </cell>
          <cell r="N381" t="str">
            <v>GRADO I.17</v>
          </cell>
          <cell r="O381" t="str">
            <v>TÍTULO PROFESIONAL</v>
          </cell>
          <cell r="P381" t="str">
            <v>INGENIERO COMERCIAL MENCIÓN INFORMÁTICA</v>
          </cell>
          <cell r="Q381" t="str">
            <v>TALCA</v>
          </cell>
          <cell r="R381" t="str">
            <v>DIRECCIÓN DE ASEGURAMIENTO DE LA CALIDAD</v>
          </cell>
          <cell r="S381" t="str">
            <v>UNIDAD DE ACREDITACIÓN DE PREGRADO</v>
          </cell>
        </row>
        <row r="382">
          <cell r="A382">
            <v>12522141</v>
          </cell>
          <cell r="B382" t="str">
            <v>12522141</v>
          </cell>
          <cell r="C382" t="str">
            <v>6</v>
          </cell>
          <cell r="D382" t="str">
            <v>LOBOS VALLADARES MARIA LUISA</v>
          </cell>
          <cell r="E382" t="str">
            <v>VRF400043</v>
          </cell>
          <cell r="F382">
            <v>44</v>
          </cell>
          <cell r="G382">
            <v>30</v>
          </cell>
          <cell r="H382" t="str">
            <v>MLOBOS@UTALCA.CL</v>
          </cell>
          <cell r="I382">
            <v>42095</v>
          </cell>
          <cell r="J382">
            <v>2958465</v>
          </cell>
          <cell r="K382" t="str">
            <v>PLANTA</v>
          </cell>
          <cell r="L382" t="str">
            <v>ADMINISTRATIVO</v>
          </cell>
          <cell r="M382" t="str">
            <v>ADMINISTRATIVO</v>
          </cell>
          <cell r="N382" t="str">
            <v>GRADO I.18</v>
          </cell>
          <cell r="O382" t="str">
            <v>TÍTULO PROFESIONAL</v>
          </cell>
          <cell r="P382" t="str">
            <v>ADMINISTRADOR UNIVERSITARIO DE EMPRESAS</v>
          </cell>
          <cell r="Q382" t="str">
            <v>TALCA</v>
          </cell>
          <cell r="R382" t="str">
            <v>VICERRECTORÍA DE FORMACIÓN</v>
          </cell>
          <cell r="S382" t="str">
            <v>DPTO. DE GESTIÓN DE INFORM. ESTUDIANTIL</v>
          </cell>
        </row>
        <row r="383">
          <cell r="A383">
            <v>12523100</v>
          </cell>
          <cell r="B383" t="str">
            <v>12523100</v>
          </cell>
          <cell r="C383" t="str">
            <v>4</v>
          </cell>
          <cell r="D383" t="str">
            <v>RAMIREZ VERGARA MARIA INES</v>
          </cell>
          <cell r="E383" t="str">
            <v>FCS320012</v>
          </cell>
          <cell r="F383">
            <v>44</v>
          </cell>
          <cell r="G383">
            <v>30</v>
          </cell>
          <cell r="H383" t="str">
            <v>MARRAMIREZ@UTALCA.CL</v>
          </cell>
          <cell r="I383">
            <v>41330</v>
          </cell>
          <cell r="J383">
            <v>46752</v>
          </cell>
          <cell r="K383" t="str">
            <v>CONTRATA</v>
          </cell>
          <cell r="L383" t="str">
            <v>CA DOCENTE</v>
          </cell>
          <cell r="M383" t="str">
            <v>INSTRUCTOR</v>
          </cell>
          <cell r="N383" t="str">
            <v>GRADO D</v>
          </cell>
          <cell r="O383" t="str">
            <v>MAGISTER</v>
          </cell>
          <cell r="P383" t="str">
            <v>MAGÍSTER EN DOCENCIA Y GESTIÓN PARA LA EDUCAC</v>
          </cell>
          <cell r="Q383" t="str">
            <v>TALCA</v>
          </cell>
          <cell r="R383" t="str">
            <v>FACULTAD DE CIENCIAS DE LA SALUD</v>
          </cell>
          <cell r="S383" t="str">
            <v>DEPTO. CIENCIAS DEL CUIDADO EN ENFERM.</v>
          </cell>
        </row>
        <row r="384">
          <cell r="A384">
            <v>12558686</v>
          </cell>
          <cell r="B384" t="str">
            <v>12558686</v>
          </cell>
          <cell r="C384" t="str">
            <v>4</v>
          </cell>
          <cell r="D384" t="str">
            <v>SEPULVEDA BARRERA PAOLA ANDREA</v>
          </cell>
          <cell r="E384" t="str">
            <v>FAM200001</v>
          </cell>
          <cell r="F384">
            <v>44</v>
          </cell>
          <cell r="G384">
            <v>30</v>
          </cell>
          <cell r="H384" t="str">
            <v>PAOLA.SEPULVEDA@UTALCA.CL</v>
          </cell>
          <cell r="I384">
            <v>44893</v>
          </cell>
          <cell r="J384">
            <v>46387</v>
          </cell>
          <cell r="K384" t="str">
            <v>CONTRATA</v>
          </cell>
          <cell r="L384" t="str">
            <v>PROFESIONAL</v>
          </cell>
          <cell r="M384" t="str">
            <v>PROFESIONAL</v>
          </cell>
          <cell r="N384" t="str">
            <v>GRADO I.17</v>
          </cell>
          <cell r="O384" t="str">
            <v>TÍTULO PROFESIONAL</v>
          </cell>
          <cell r="P384" t="str">
            <v>NUTRICIONISTA</v>
          </cell>
          <cell r="Q384" t="str">
            <v>TALCA</v>
          </cell>
          <cell r="R384" t="str">
            <v>FACULTAD DE MEDICINA</v>
          </cell>
          <cell r="S384" t="str">
            <v>ESCUELA DE MEDICINA</v>
          </cell>
        </row>
        <row r="385">
          <cell r="A385">
            <v>12581656</v>
          </cell>
          <cell r="B385" t="str">
            <v>12581656</v>
          </cell>
          <cell r="C385" t="str">
            <v>8</v>
          </cell>
          <cell r="D385" t="str">
            <v>FIGUEROA GONZALEZ CESAR ALEJAN</v>
          </cell>
          <cell r="E385" t="str">
            <v/>
          </cell>
          <cell r="F385">
            <v>44</v>
          </cell>
          <cell r="G385">
            <v>30</v>
          </cell>
          <cell r="H385" t="str">
            <v/>
          </cell>
          <cell r="I385">
            <v>45839</v>
          </cell>
          <cell r="J385">
            <v>46387</v>
          </cell>
          <cell r="K385" t="str">
            <v>CONTRATA</v>
          </cell>
          <cell r="L385" t="str">
            <v>TÉCNICO</v>
          </cell>
          <cell r="M385" t="str">
            <v>TÉCNICO</v>
          </cell>
          <cell r="N385" t="str">
            <v>GRADO I.23</v>
          </cell>
          <cell r="O385" t="str">
            <v>TÉC. NIVEL SUPERIOR</v>
          </cell>
          <cell r="P385" t="str">
            <v>TÉCNICO DE NIVEL SUPERIOR AGRÍCOLA Y GANADERO</v>
          </cell>
          <cell r="Q385" t="str">
            <v>TALCA</v>
          </cell>
          <cell r="R385" t="str">
            <v>FACULTAD DE CIENCIAS AGRARIAS</v>
          </cell>
          <cell r="S385" t="str">
            <v>CENTRO DE INOCUIDAD ALIMENTARIA</v>
          </cell>
        </row>
        <row r="386">
          <cell r="A386">
            <v>12584643</v>
          </cell>
          <cell r="B386" t="str">
            <v>12584643</v>
          </cell>
          <cell r="C386" t="str">
            <v>2</v>
          </cell>
          <cell r="D386" t="str">
            <v>SANHUEZA VASQUEZ CARLOS RODRIG</v>
          </cell>
          <cell r="E386" t="str">
            <v>VAC400082</v>
          </cell>
          <cell r="F386">
            <v>44</v>
          </cell>
          <cell r="G386">
            <v>30</v>
          </cell>
          <cell r="H386" t="str">
            <v>CSANHUEZ@UTALCA.CL</v>
          </cell>
          <cell r="I386">
            <v>43678</v>
          </cell>
          <cell r="J386">
            <v>46387</v>
          </cell>
          <cell r="K386" t="str">
            <v>CONTRATA</v>
          </cell>
          <cell r="L386" t="str">
            <v>PROFESIONAL</v>
          </cell>
          <cell r="M386" t="str">
            <v>PROFESIONAL</v>
          </cell>
          <cell r="N386" t="str">
            <v>GRADO I.17</v>
          </cell>
          <cell r="O386" t="str">
            <v>MAGISTER</v>
          </cell>
          <cell r="P386" t="str">
            <v>MÁSTER OF ENVIRONMENTAL BUSINESS ADMINISTRATI</v>
          </cell>
          <cell r="Q386" t="str">
            <v>TALCA</v>
          </cell>
          <cell r="R386" t="str">
            <v>VICERRECTORÍA ACADÉMICA</v>
          </cell>
          <cell r="S386" t="str">
            <v>UN. DE GESTIÓN DE LA INNOVACIÓN Y EMPTO.</v>
          </cell>
        </row>
        <row r="387">
          <cell r="A387">
            <v>12587965</v>
          </cell>
          <cell r="B387" t="str">
            <v>12587965</v>
          </cell>
          <cell r="C387" t="str">
            <v>9</v>
          </cell>
          <cell r="D387" t="str">
            <v>RAMOS ZARATE ROXANA DEL PILAR</v>
          </cell>
          <cell r="E387" t="str">
            <v>VDE400009</v>
          </cell>
          <cell r="F387">
            <v>44</v>
          </cell>
          <cell r="G387">
            <v>30</v>
          </cell>
          <cell r="H387" t="str">
            <v>RORAMOS@UTALCA.CL</v>
          </cell>
          <cell r="I387">
            <v>43831</v>
          </cell>
          <cell r="J387">
            <v>46387</v>
          </cell>
          <cell r="K387" t="str">
            <v>CONTRATA</v>
          </cell>
          <cell r="L387" t="str">
            <v>ADMINISTRATIVO</v>
          </cell>
          <cell r="M387" t="str">
            <v>ADMINISTRATIVO</v>
          </cell>
          <cell r="N387" t="str">
            <v>GRADO I.21</v>
          </cell>
          <cell r="O387" t="str">
            <v>TÉC. NIVEL SUPERIOR</v>
          </cell>
          <cell r="P387" t="str">
            <v>SECRETARIA EJECUTIVA</v>
          </cell>
          <cell r="Q387" t="str">
            <v>TALCA</v>
          </cell>
          <cell r="R387" t="str">
            <v>VICERRECTORÍA DE DESARROLLO ESTUDIANTIL</v>
          </cell>
          <cell r="S387" t="str">
            <v>DIRECCIÓN DE SALUD ESTUDIANTIL</v>
          </cell>
        </row>
        <row r="388">
          <cell r="A388">
            <v>12588466</v>
          </cell>
          <cell r="B388" t="str">
            <v>12588466</v>
          </cell>
          <cell r="C388" t="str">
            <v>0</v>
          </cell>
          <cell r="D388" t="str">
            <v>SAN MARTIN FARIAS XIMENA ALEJA</v>
          </cell>
          <cell r="E388" t="str">
            <v>ADC014001</v>
          </cell>
          <cell r="F388">
            <v>44</v>
          </cell>
          <cell r="G388">
            <v>30</v>
          </cell>
          <cell r="H388" t="str">
            <v>XSANMART@UTALCA.CL</v>
          </cell>
          <cell r="I388">
            <v>35614</v>
          </cell>
          <cell r="J388">
            <v>2958465</v>
          </cell>
          <cell r="K388" t="str">
            <v>PLANTA</v>
          </cell>
          <cell r="L388" t="str">
            <v>ADMINISTRATIVO</v>
          </cell>
          <cell r="M388" t="str">
            <v>ADMINISTRATIVO</v>
          </cell>
          <cell r="N388" t="str">
            <v>GRADO I.19</v>
          </cell>
          <cell r="O388" t="str">
            <v>TÉC. NIVEL MEDIO</v>
          </cell>
          <cell r="P388" t="str">
            <v>SECRETARIA ADMINISTRATIVA</v>
          </cell>
          <cell r="Q388" t="str">
            <v>TALCA</v>
          </cell>
          <cell r="R388" t="str">
            <v>SECRETARÍA GENERAL</v>
          </cell>
          <cell r="S388" t="str">
            <v>SECRETARÍA GENERAL</v>
          </cell>
        </row>
        <row r="389">
          <cell r="A389">
            <v>12588877</v>
          </cell>
          <cell r="B389" t="str">
            <v>12588877</v>
          </cell>
          <cell r="C389" t="str">
            <v>1</v>
          </cell>
          <cell r="D389" t="str">
            <v>BARRIENTOS NEIRA CRISTIAN RENA</v>
          </cell>
          <cell r="E389" t="str">
            <v>FEN200001</v>
          </cell>
          <cell r="F389">
            <v>44</v>
          </cell>
          <cell r="G389">
            <v>30</v>
          </cell>
          <cell r="H389" t="str">
            <v>CRISTIAN.BARRIENTOS@UTALCA.CL</v>
          </cell>
          <cell r="I389">
            <v>43466</v>
          </cell>
          <cell r="J389">
            <v>46387</v>
          </cell>
          <cell r="K389" t="str">
            <v>CONTRATA</v>
          </cell>
          <cell r="L389" t="str">
            <v>AUXILIAR</v>
          </cell>
          <cell r="M389" t="str">
            <v>AUXILIAR</v>
          </cell>
          <cell r="N389" t="str">
            <v>GRADO I.24</v>
          </cell>
          <cell r="O389" t="str">
            <v>TÉC. NIVEL MEDIO</v>
          </cell>
          <cell r="P389" t="str">
            <v>EDUCACION MEDIA MODALIDAD TECNICO PROFESIONAL</v>
          </cell>
          <cell r="Q389" t="str">
            <v>TALCA</v>
          </cell>
          <cell r="R389" t="str">
            <v>FACULTAD DE ECONOMÍA Y NEGOCIOS</v>
          </cell>
          <cell r="S389" t="str">
            <v>FACULTAD DE ECONOMÍA Y NEGOCIOS</v>
          </cell>
        </row>
        <row r="390">
          <cell r="A390">
            <v>12589370</v>
          </cell>
          <cell r="B390" t="str">
            <v>12589370</v>
          </cell>
          <cell r="C390" t="str">
            <v>8</v>
          </cell>
          <cell r="D390" t="str">
            <v>VASQUEZ VENEGAS EDUARDO ANTONI</v>
          </cell>
          <cell r="E390" t="str">
            <v>VGE100002</v>
          </cell>
          <cell r="F390">
            <v>44</v>
          </cell>
          <cell r="G390">
            <v>30</v>
          </cell>
          <cell r="H390" t="str">
            <v>EDVASQUEZ@UTALCA.CL</v>
          </cell>
          <cell r="I390">
            <v>43466</v>
          </cell>
          <cell r="J390">
            <v>46387</v>
          </cell>
          <cell r="K390" t="str">
            <v>CONTRATA</v>
          </cell>
          <cell r="L390" t="str">
            <v>ADMINISTRATIVO</v>
          </cell>
          <cell r="M390" t="str">
            <v>ADMINISTRATIVO</v>
          </cell>
          <cell r="N390" t="str">
            <v>GRADO I.21</v>
          </cell>
          <cell r="O390" t="str">
            <v>TÉC. NIVEL SUPERIOR</v>
          </cell>
          <cell r="P390" t="str">
            <v>TECNICO EN ADMINISTRACIÓN DE EMPRESAS CON MEN</v>
          </cell>
          <cell r="Q390" t="str">
            <v>TALCA</v>
          </cell>
          <cell r="R390" t="str">
            <v>VIC. GESTIÓN ECONÓMICA Y ADMINISTRACIÓN</v>
          </cell>
          <cell r="S390" t="str">
            <v>OFICINA DE SEGURIDAD DIGITAL</v>
          </cell>
        </row>
        <row r="391">
          <cell r="A391">
            <v>12589497</v>
          </cell>
          <cell r="B391" t="str">
            <v>12589497</v>
          </cell>
          <cell r="C391" t="str">
            <v>6</v>
          </cell>
          <cell r="D391" t="str">
            <v>HILLMER GATICA VANIA DEL CARME</v>
          </cell>
          <cell r="E391" t="str">
            <v>FCS320003</v>
          </cell>
          <cell r="F391">
            <v>44</v>
          </cell>
          <cell r="G391">
            <v>30</v>
          </cell>
          <cell r="H391" t="str">
            <v>VHILLMER@UTALCA.CL</v>
          </cell>
          <cell r="I391">
            <v>43101</v>
          </cell>
          <cell r="J391">
            <v>46387</v>
          </cell>
          <cell r="K391" t="str">
            <v>CONTRATA</v>
          </cell>
          <cell r="L391" t="str">
            <v>ADMINISTRATIVO</v>
          </cell>
          <cell r="M391" t="str">
            <v>ADMINISTRATIVO</v>
          </cell>
          <cell r="N391" t="str">
            <v>GRADO I.21</v>
          </cell>
          <cell r="O391" t="str">
            <v>TÉC. NIVEL SUPERIOR</v>
          </cell>
          <cell r="P391" t="str">
            <v>SECRETARIA EJECUTIVA EN CASTELLANO</v>
          </cell>
          <cell r="Q391" t="str">
            <v>TALCA</v>
          </cell>
          <cell r="R391" t="str">
            <v>FACULTAD DE CIENCIAS DE LA SALUD</v>
          </cell>
          <cell r="S391" t="str">
            <v>DEPARTAMENTO DE SALUD PÚBLICA</v>
          </cell>
        </row>
        <row r="392">
          <cell r="A392">
            <v>12589524</v>
          </cell>
          <cell r="B392" t="str">
            <v>12589524</v>
          </cell>
          <cell r="C392" t="str">
            <v>7</v>
          </cell>
          <cell r="D392" t="str">
            <v>SAN MARTIN MENDOZA ANA LUCIA</v>
          </cell>
          <cell r="E392" t="str">
            <v>ADC014002</v>
          </cell>
          <cell r="F392">
            <v>44</v>
          </cell>
          <cell r="G392">
            <v>30</v>
          </cell>
          <cell r="H392" t="str">
            <v>ASANMART@UTALCA.CL</v>
          </cell>
          <cell r="I392">
            <v>37043</v>
          </cell>
          <cell r="J392">
            <v>2958465</v>
          </cell>
          <cell r="K392" t="str">
            <v>PLANTA</v>
          </cell>
          <cell r="L392" t="str">
            <v>PROFESIONAL</v>
          </cell>
          <cell r="M392" t="str">
            <v>DIR EXCLU. CONFIANZA</v>
          </cell>
          <cell r="N392" t="str">
            <v>GRADO I.6</v>
          </cell>
          <cell r="O392" t="str">
            <v>TÍTULO PROFESIONAL</v>
          </cell>
          <cell r="P392" t="str">
            <v>CONTADOR PUBLICO Y AUDITOR</v>
          </cell>
          <cell r="Q392" t="str">
            <v>TALCA</v>
          </cell>
          <cell r="R392" t="str">
            <v>SECRETARÍA GENERAL</v>
          </cell>
          <cell r="S392" t="str">
            <v>DEPARTAMENTO DE REGISTRO ACADÉMICO</v>
          </cell>
        </row>
        <row r="393">
          <cell r="A393">
            <v>12589966</v>
          </cell>
          <cell r="B393" t="str">
            <v>12589966</v>
          </cell>
          <cell r="C393" t="str">
            <v>8</v>
          </cell>
          <cell r="D393" t="str">
            <v>ROJAS ROJAS ROSA ANDREA</v>
          </cell>
          <cell r="E393" t="str">
            <v>ADC014002</v>
          </cell>
          <cell r="F393">
            <v>44</v>
          </cell>
          <cell r="G393">
            <v>30</v>
          </cell>
          <cell r="H393" t="str">
            <v>RROJASR@UTALCA.CL</v>
          </cell>
          <cell r="I393">
            <v>43101</v>
          </cell>
          <cell r="J393">
            <v>46387</v>
          </cell>
          <cell r="K393" t="str">
            <v>CONTRATA</v>
          </cell>
          <cell r="L393" t="str">
            <v>ADMINISTRATIVO</v>
          </cell>
          <cell r="M393" t="str">
            <v>ADMINISTRATIVO</v>
          </cell>
          <cell r="N393" t="str">
            <v>GRADO I.21</v>
          </cell>
          <cell r="O393" t="str">
            <v>TÉC. NIVEL SUPERIOR</v>
          </cell>
          <cell r="P393" t="str">
            <v>TECNICO DE NIVEL SUPERIOR EN CONTABILIDAD</v>
          </cell>
          <cell r="Q393" t="str">
            <v>TALCA</v>
          </cell>
          <cell r="R393" t="str">
            <v>SECRETARÍA GENERAL</v>
          </cell>
          <cell r="S393" t="str">
            <v>DEPARTAMENTO DE REGISTRO ACADÉMICO</v>
          </cell>
        </row>
        <row r="394">
          <cell r="A394">
            <v>12592691</v>
          </cell>
          <cell r="B394" t="str">
            <v>12592691</v>
          </cell>
          <cell r="C394" t="str">
            <v>6</v>
          </cell>
          <cell r="D394" t="str">
            <v>HINOSTROZA PAREDES YENNY ALEJA</v>
          </cell>
          <cell r="E394" t="str">
            <v>FED310002</v>
          </cell>
          <cell r="F394">
            <v>44</v>
          </cell>
          <cell r="G394">
            <v>30</v>
          </cell>
          <cell r="H394" t="str">
            <v>YENNY.HINOSTROZA@UTALCA.CL</v>
          </cell>
          <cell r="I394">
            <v>44986</v>
          </cell>
          <cell r="J394">
            <v>46446</v>
          </cell>
          <cell r="K394" t="str">
            <v>CONTRATA</v>
          </cell>
          <cell r="L394" t="str">
            <v>CA DOCENTE</v>
          </cell>
          <cell r="M394" t="str">
            <v>PROFESOR ASISTENTE</v>
          </cell>
          <cell r="N394" t="str">
            <v>GRADO C</v>
          </cell>
          <cell r="O394" t="str">
            <v>DOCTORADO</v>
          </cell>
          <cell r="P394" t="str">
            <v>DOCTOR OF PHILOSOPHY</v>
          </cell>
          <cell r="Q394" t="str">
            <v>LINARES</v>
          </cell>
          <cell r="R394" t="str">
            <v>FACULTAD DE CIENCIAS DE LA EDUCACIÓN</v>
          </cell>
          <cell r="S394" t="str">
            <v>ESCUELA DE PEDAGOGÍA EN INGLÉS</v>
          </cell>
        </row>
        <row r="395">
          <cell r="A395">
            <v>12606451</v>
          </cell>
          <cell r="B395" t="str">
            <v>12606451</v>
          </cell>
          <cell r="C395" t="str">
            <v>9</v>
          </cell>
          <cell r="D395" t="str">
            <v>ORMAZABAL ROJAS YONY MAURICIO</v>
          </cell>
          <cell r="E395" t="str">
            <v>FEN310002</v>
          </cell>
          <cell r="F395">
            <v>22</v>
          </cell>
          <cell r="G395">
            <v>30</v>
          </cell>
          <cell r="H395" t="str">
            <v>YORMAZABAL@UTALCA.CL</v>
          </cell>
          <cell r="I395">
            <v>38899</v>
          </cell>
          <cell r="J395">
            <v>46446</v>
          </cell>
          <cell r="K395" t="str">
            <v>CONTRATA</v>
          </cell>
          <cell r="L395" t="str">
            <v>CA DOCENTE</v>
          </cell>
          <cell r="M395" t="str">
            <v>PROFESOR ASISTENTE</v>
          </cell>
          <cell r="N395" t="str">
            <v>GRADO C</v>
          </cell>
          <cell r="O395" t="str">
            <v>MAGISTER</v>
          </cell>
          <cell r="P395" t="str">
            <v>MASTER IN GEO-INFOR. SC. AND EARTH OBSERVATIO</v>
          </cell>
          <cell r="Q395" t="str">
            <v>TALCA</v>
          </cell>
          <cell r="R395" t="str">
            <v>FACULTAD DE ECONOMÍA Y NEGOCIOS</v>
          </cell>
          <cell r="S395" t="str">
            <v>ESC. DE ING. INFORMÁTICA EMPRESARIAL</v>
          </cell>
        </row>
        <row r="396">
          <cell r="A396">
            <v>12633490</v>
          </cell>
          <cell r="B396" t="str">
            <v>12633490</v>
          </cell>
          <cell r="C396" t="str">
            <v>7</v>
          </cell>
          <cell r="D396" t="str">
            <v>GUTIERREZ BRAVO SANDRA LORENA</v>
          </cell>
          <cell r="E396" t="str">
            <v>VRF400041</v>
          </cell>
          <cell r="F396">
            <v>44</v>
          </cell>
          <cell r="G396">
            <v>30</v>
          </cell>
          <cell r="H396" t="str">
            <v>SGUTIERR@UTALCA.CL</v>
          </cell>
          <cell r="I396">
            <v>36278</v>
          </cell>
          <cell r="J396">
            <v>2958465</v>
          </cell>
          <cell r="K396" t="str">
            <v>PLANTA</v>
          </cell>
          <cell r="L396" t="str">
            <v>ADMINISTRATIVO</v>
          </cell>
          <cell r="M396" t="str">
            <v>ADMINISTRATIVO</v>
          </cell>
          <cell r="N396" t="str">
            <v>GRADO I.17</v>
          </cell>
          <cell r="O396" t="str">
            <v>MAGISTER</v>
          </cell>
          <cell r="P396" t="str">
            <v>MAGISTER EN ORIENTACIÓN EDUCACIONAL Y VOCACIO</v>
          </cell>
          <cell r="Q396" t="str">
            <v>TALCA</v>
          </cell>
          <cell r="R396" t="str">
            <v>VICERRECTORÍA DE FORMACIÓN</v>
          </cell>
          <cell r="S396" t="str">
            <v>UN. DE VINCULACIÓN CON EL SISTM. ESCOLAR</v>
          </cell>
        </row>
        <row r="397">
          <cell r="A397">
            <v>12642886</v>
          </cell>
          <cell r="B397" t="str">
            <v>12642886</v>
          </cell>
          <cell r="C397" t="str">
            <v>3</v>
          </cell>
          <cell r="D397" t="str">
            <v>DURAN JARA ANDRES ANTONIO</v>
          </cell>
          <cell r="E397" t="str">
            <v>FPS310002</v>
          </cell>
          <cell r="F397">
            <v>44</v>
          </cell>
          <cell r="G397">
            <v>30</v>
          </cell>
          <cell r="H397" t="str">
            <v>ANDRES.DURAN@UTALCA.CL</v>
          </cell>
          <cell r="I397">
            <v>45048</v>
          </cell>
          <cell r="J397">
            <v>47299</v>
          </cell>
          <cell r="K397" t="str">
            <v>CONTRATA</v>
          </cell>
          <cell r="L397" t="str">
            <v>CA DOCENTE</v>
          </cell>
          <cell r="M397" t="str">
            <v>INSTRUCTOR</v>
          </cell>
          <cell r="N397" t="str">
            <v>GRADO D</v>
          </cell>
          <cell r="O397" t="str">
            <v>MAGISTER</v>
          </cell>
          <cell r="P397" t="str">
            <v>MASTER EN GERONTOLOGIA</v>
          </cell>
          <cell r="Q397" t="str">
            <v>TALCA</v>
          </cell>
          <cell r="R397" t="str">
            <v>FACULTAD DE PSICOLOGÍA</v>
          </cell>
          <cell r="S397" t="str">
            <v>ESCUELA DE TERAPIA OCUPACIONAL</v>
          </cell>
        </row>
        <row r="398">
          <cell r="A398">
            <v>12646371</v>
          </cell>
          <cell r="B398" t="str">
            <v>12646371</v>
          </cell>
          <cell r="C398" t="str">
            <v>5</v>
          </cell>
          <cell r="D398" t="str">
            <v>AGUIRRE LEON EDUARDO ALBERTO</v>
          </cell>
          <cell r="E398" t="str">
            <v>FAD310001</v>
          </cell>
          <cell r="F398">
            <v>44</v>
          </cell>
          <cell r="G398">
            <v>30</v>
          </cell>
          <cell r="H398" t="str">
            <v>EAGUIRRE@UTALCA.CL</v>
          </cell>
          <cell r="I398">
            <v>37316</v>
          </cell>
          <cell r="J398">
            <v>2958465</v>
          </cell>
          <cell r="K398" t="str">
            <v>PLANTA</v>
          </cell>
          <cell r="L398" t="str">
            <v>CA ORDINARIA</v>
          </cell>
          <cell r="M398" t="str">
            <v>PROFESOR ASISTENTE</v>
          </cell>
          <cell r="N398" t="str">
            <v>GRADO C</v>
          </cell>
          <cell r="O398" t="str">
            <v>MAGISTER</v>
          </cell>
          <cell r="P398" t="str">
            <v>MASTER OF SCIENCE ACHITECTURE, URBANISM AND B</v>
          </cell>
          <cell r="Q398" t="str">
            <v>TALCA</v>
          </cell>
          <cell r="R398" t="str">
            <v>FACULTAD DE ARQUITECTUR, MÚSICA Y DISEÑO</v>
          </cell>
          <cell r="S398" t="str">
            <v>ESCUELA DE ARQUITECTURA</v>
          </cell>
        </row>
        <row r="399">
          <cell r="A399">
            <v>12671962</v>
          </cell>
          <cell r="B399" t="str">
            <v>12671962</v>
          </cell>
          <cell r="C399" t="str">
            <v>0</v>
          </cell>
          <cell r="D399" t="str">
            <v>SOTO MOGOLLONES CECILIA ANDREA</v>
          </cell>
          <cell r="E399" t="str">
            <v>FED310003</v>
          </cell>
          <cell r="F399">
            <v>35</v>
          </cell>
          <cell r="G399">
            <v>30</v>
          </cell>
          <cell r="H399" t="str">
            <v>CESOTO@UTALCA.CL</v>
          </cell>
          <cell r="I399">
            <v>42795</v>
          </cell>
          <cell r="J399">
            <v>46446</v>
          </cell>
          <cell r="K399" t="str">
            <v>CONTRATA</v>
          </cell>
          <cell r="L399" t="str">
            <v>CA DOCENTE</v>
          </cell>
          <cell r="M399" t="str">
            <v>INSTRUCTOR</v>
          </cell>
          <cell r="N399" t="str">
            <v>GRADO D</v>
          </cell>
          <cell r="O399" t="str">
            <v>MAGISTER</v>
          </cell>
          <cell r="P399" t="str">
            <v>MAGISTER EN INNOVACION CURRICULAR Y EVALUACIO</v>
          </cell>
          <cell r="Q399" t="str">
            <v>SANTIAGO</v>
          </cell>
          <cell r="R399" t="str">
            <v>FACULTAD DE CIENCIAS DE LA EDUCACIÓN</v>
          </cell>
          <cell r="S399" t="str">
            <v>ESCUELA DE PEDAGOGÍA EN ALEMÁN</v>
          </cell>
        </row>
        <row r="400">
          <cell r="A400">
            <v>12684156</v>
          </cell>
          <cell r="B400" t="str">
            <v>12684156</v>
          </cell>
          <cell r="C400" t="str">
            <v>6</v>
          </cell>
          <cell r="D400" t="str">
            <v>VARGAS GARRIDO HECTOR ANDRES</v>
          </cell>
          <cell r="E400" t="str">
            <v>FPS200001</v>
          </cell>
          <cell r="F400">
            <v>33</v>
          </cell>
          <cell r="G400">
            <v>30</v>
          </cell>
          <cell r="H400" t="str">
            <v>HVARGAS@UTALCA.CL</v>
          </cell>
          <cell r="I400">
            <v>41852</v>
          </cell>
          <cell r="J400">
            <v>46446</v>
          </cell>
          <cell r="K400" t="str">
            <v>CONTRATA</v>
          </cell>
          <cell r="L400" t="str">
            <v>CA DOCENTE</v>
          </cell>
          <cell r="M400" t="str">
            <v>PROFESOR ASISTENTE</v>
          </cell>
          <cell r="N400" t="str">
            <v>GRADO C</v>
          </cell>
          <cell r="O400" t="str">
            <v>DOCTORADO</v>
          </cell>
          <cell r="P400" t="str">
            <v>DOCTOR EN COMPORTAMIENTO SOCIAL Y ORGANIZACIO</v>
          </cell>
          <cell r="Q400" t="str">
            <v>TALCA</v>
          </cell>
          <cell r="R400" t="str">
            <v>FACULTAD DE PSICOLOGÍA</v>
          </cell>
          <cell r="S400" t="str">
            <v>FACULTAD DE PSICOLOGÍA</v>
          </cell>
        </row>
        <row r="401">
          <cell r="A401">
            <v>12699461</v>
          </cell>
          <cell r="B401" t="str">
            <v>12699461</v>
          </cell>
          <cell r="C401" t="str">
            <v>3</v>
          </cell>
          <cell r="D401" t="str">
            <v>VALLEJOS HERNANDEZ ALVARO JOAQ</v>
          </cell>
          <cell r="E401" t="str">
            <v>ADC030114</v>
          </cell>
          <cell r="F401">
            <v>44</v>
          </cell>
          <cell r="G401">
            <v>30</v>
          </cell>
          <cell r="H401" t="str">
            <v/>
          </cell>
          <cell r="I401">
            <v>46082</v>
          </cell>
          <cell r="J401">
            <v>46387</v>
          </cell>
          <cell r="K401" t="str">
            <v>CONTRATA</v>
          </cell>
          <cell r="L401" t="str">
            <v>PROFESIONAL</v>
          </cell>
          <cell r="M401" t="str">
            <v>PROFESIONAL</v>
          </cell>
          <cell r="N401" t="str">
            <v>GRADO I.17</v>
          </cell>
          <cell r="O401" t="str">
            <v>TÍTULO PROFESIONAL</v>
          </cell>
          <cell r="P401" t="str">
            <v>CONSTRUCTOR CIVIL</v>
          </cell>
          <cell r="Q401" t="str">
            <v>TALCA</v>
          </cell>
          <cell r="R401" t="str">
            <v>DIRECCIÓN DE ASEGURAMIENTO DE LA CALIDAD</v>
          </cell>
          <cell r="S401" t="str">
            <v>DPTO. DE DESARROLLO DE INFRAESTRUCTURA</v>
          </cell>
        </row>
        <row r="402">
          <cell r="A402">
            <v>12712310</v>
          </cell>
          <cell r="B402" t="str">
            <v>12712310</v>
          </cell>
          <cell r="C402" t="str">
            <v>1</v>
          </cell>
          <cell r="D402" t="str">
            <v>CELIS DANZINGER GABRIEL  ENRIQ</v>
          </cell>
          <cell r="E402" t="str">
            <v>FCJ320003</v>
          </cell>
          <cell r="F402">
            <v>44</v>
          </cell>
          <cell r="G402">
            <v>30</v>
          </cell>
          <cell r="H402" t="str">
            <v>GCELIS@UTALCA.CL</v>
          </cell>
          <cell r="I402">
            <v>45017</v>
          </cell>
          <cell r="J402">
            <v>46446</v>
          </cell>
          <cell r="K402" t="str">
            <v>CONTRATA</v>
          </cell>
          <cell r="L402" t="str">
            <v>CA DOCENTE</v>
          </cell>
          <cell r="M402" t="str">
            <v>PROFESOR ASISTENTE</v>
          </cell>
          <cell r="N402" t="str">
            <v>GRADO C</v>
          </cell>
          <cell r="O402" t="str">
            <v>DOCTORADO</v>
          </cell>
          <cell r="P402" t="str">
            <v>DOCTOR EN DERECHO</v>
          </cell>
          <cell r="Q402" t="str">
            <v>TALCA</v>
          </cell>
          <cell r="R402" t="str">
            <v>FACULTAD CIENCIAS JURÍDICAS Y SOCIALES</v>
          </cell>
          <cell r="S402" t="str">
            <v>DEPARTAMENTO DE DERECHO PÚBLICO</v>
          </cell>
        </row>
        <row r="403">
          <cell r="A403">
            <v>12721498</v>
          </cell>
          <cell r="B403" t="str">
            <v>12721498</v>
          </cell>
          <cell r="C403" t="str">
            <v>0</v>
          </cell>
          <cell r="D403" t="str">
            <v>CARDENAS CASTRO JOSE MANUEL</v>
          </cell>
          <cell r="E403" t="str">
            <v>FPS200001</v>
          </cell>
          <cell r="F403">
            <v>44</v>
          </cell>
          <cell r="G403">
            <v>30</v>
          </cell>
          <cell r="H403" t="str">
            <v>JOSE.CARDENAS@UTALCA.CL</v>
          </cell>
          <cell r="I403">
            <v>43845</v>
          </cell>
          <cell r="J403">
            <v>2958465</v>
          </cell>
          <cell r="K403" t="str">
            <v>PLANTA</v>
          </cell>
          <cell r="L403" t="str">
            <v>CA ORDINARIA</v>
          </cell>
          <cell r="M403" t="str">
            <v>PROFESOR TITULAR</v>
          </cell>
          <cell r="N403" t="str">
            <v>GRADO A</v>
          </cell>
          <cell r="O403" t="str">
            <v>DOCTORADO</v>
          </cell>
          <cell r="P403" t="str">
            <v>EN COMPOR. SOCIAL Y ORG.: INVEST., DESARROLLO</v>
          </cell>
          <cell r="Q403" t="str">
            <v>TALCA</v>
          </cell>
          <cell r="R403" t="str">
            <v>FACULTAD DE PSICOLOGÍA</v>
          </cell>
          <cell r="S403" t="str">
            <v>FACULTAD DE PSICOLOGÍA</v>
          </cell>
        </row>
        <row r="404">
          <cell r="A404">
            <v>12722727</v>
          </cell>
          <cell r="B404" t="str">
            <v>12722727</v>
          </cell>
          <cell r="C404" t="str">
            <v>6</v>
          </cell>
          <cell r="D404" t="str">
            <v>GARRIDO SALGADO STEPHANIE ANDR</v>
          </cell>
          <cell r="E404" t="str">
            <v/>
          </cell>
          <cell r="F404">
            <v>44</v>
          </cell>
          <cell r="G404">
            <v>30</v>
          </cell>
          <cell r="H404" t="str">
            <v>STGARRIDO@UTALCA.CL</v>
          </cell>
          <cell r="I404">
            <v>45717</v>
          </cell>
          <cell r="J404">
            <v>46387</v>
          </cell>
          <cell r="K404" t="str">
            <v>CONTRATA</v>
          </cell>
          <cell r="L404" t="str">
            <v>PROFESIONAL</v>
          </cell>
          <cell r="M404" t="str">
            <v>PROFESIONAL</v>
          </cell>
          <cell r="N404" t="str">
            <v>GRADO I.17</v>
          </cell>
          <cell r="O404" t="str">
            <v>TÍTULO PROFESIONAL</v>
          </cell>
          <cell r="P404" t="str">
            <v>QUIMICO</v>
          </cell>
          <cell r="Q404" t="str">
            <v>TALCA</v>
          </cell>
          <cell r="R404" t="str">
            <v>VICERRECTORÍA DE FORMACIÓN</v>
          </cell>
          <cell r="S404" t="str">
            <v>UN. DE ACOMPAÑAMIENTO ESTUDIANTIL (CIMA)</v>
          </cell>
        </row>
        <row r="405">
          <cell r="A405">
            <v>12728100</v>
          </cell>
          <cell r="B405" t="str">
            <v>12728100</v>
          </cell>
          <cell r="C405" t="str">
            <v>9</v>
          </cell>
          <cell r="D405" t="str">
            <v>GARRIDO AVENDAÑO ALEJANDRA IVO</v>
          </cell>
          <cell r="E405" t="str">
            <v>VAC400001</v>
          </cell>
          <cell r="F405">
            <v>44</v>
          </cell>
          <cell r="G405">
            <v>30</v>
          </cell>
          <cell r="H405" t="str">
            <v>AGARRIDO@UTALCA.CL</v>
          </cell>
          <cell r="I405">
            <v>36281</v>
          </cell>
          <cell r="J405">
            <v>46387</v>
          </cell>
          <cell r="K405" t="str">
            <v>CONTRATA</v>
          </cell>
          <cell r="L405" t="str">
            <v>PROFESIONAL</v>
          </cell>
          <cell r="M405" t="str">
            <v>PROFESIONAL</v>
          </cell>
          <cell r="N405" t="str">
            <v>GRADO I.17</v>
          </cell>
          <cell r="O405" t="str">
            <v>TÍTULO PROFESIONAL</v>
          </cell>
          <cell r="P405" t="str">
            <v>BIBLIOTECOLOGA M/ANALIS.DE SISTEMAS</v>
          </cell>
          <cell r="Q405" t="str">
            <v>CURICO</v>
          </cell>
          <cell r="R405" t="str">
            <v>VICERRECTORÍA ACADÉMICA</v>
          </cell>
          <cell r="S405" t="str">
            <v>DIRECCIÓN DE BIBLIOTECAS</v>
          </cell>
        </row>
        <row r="406">
          <cell r="A406">
            <v>12783487</v>
          </cell>
          <cell r="B406" t="str">
            <v>12783487</v>
          </cell>
          <cell r="C406" t="str">
            <v>3</v>
          </cell>
          <cell r="D406" t="str">
            <v>PALOMO VELEZ DIEGO IVAN</v>
          </cell>
          <cell r="E406" t="str">
            <v>FCJ320001</v>
          </cell>
          <cell r="F406">
            <v>44</v>
          </cell>
          <cell r="G406">
            <v>30</v>
          </cell>
          <cell r="H406" t="str">
            <v>DPALOMO@UTALCA.CL</v>
          </cell>
          <cell r="I406">
            <v>37135</v>
          </cell>
          <cell r="J406">
            <v>2958465</v>
          </cell>
          <cell r="K406" t="str">
            <v>PLANTA</v>
          </cell>
          <cell r="L406" t="str">
            <v>CA ORDINARIA</v>
          </cell>
          <cell r="M406" t="str">
            <v>PROFESOR TITULAR</v>
          </cell>
          <cell r="N406" t="str">
            <v>GRADO A</v>
          </cell>
          <cell r="O406" t="str">
            <v>DOCTORADO</v>
          </cell>
          <cell r="P406" t="str">
            <v>DOCTOR EN DERECHO PROCESAL</v>
          </cell>
          <cell r="Q406" t="str">
            <v>TALCA</v>
          </cell>
          <cell r="R406" t="str">
            <v>FACULTAD CIENCIAS JURÍDICAS Y SOCIALES</v>
          </cell>
          <cell r="S406" t="str">
            <v>DPTO. DERECHO PENAL PROCESAL Y  TRABAJO</v>
          </cell>
        </row>
        <row r="407">
          <cell r="A407">
            <v>12785101</v>
          </cell>
          <cell r="B407" t="str">
            <v>12785101</v>
          </cell>
          <cell r="C407" t="str">
            <v>8</v>
          </cell>
          <cell r="D407" t="str">
            <v>LEIVA CACERES CLAUDIA SOFIA</v>
          </cell>
          <cell r="E407" t="str">
            <v>ADC022001</v>
          </cell>
          <cell r="F407">
            <v>44</v>
          </cell>
          <cell r="G407">
            <v>30</v>
          </cell>
          <cell r="H407" t="str">
            <v>CLAUDIA.LEIVA@UTALCA.CL</v>
          </cell>
          <cell r="I407">
            <v>44927</v>
          </cell>
          <cell r="J407">
            <v>46387</v>
          </cell>
          <cell r="K407" t="str">
            <v>CONTRATA</v>
          </cell>
          <cell r="L407" t="str">
            <v>PROFESIONAL</v>
          </cell>
          <cell r="M407" t="str">
            <v>PROFESIONAL</v>
          </cell>
          <cell r="N407" t="str">
            <v>GRADO I.17</v>
          </cell>
          <cell r="O407" t="str">
            <v>TÍTULO PROFESIONAL</v>
          </cell>
          <cell r="P407" t="str">
            <v>PERIODISTA</v>
          </cell>
          <cell r="Q407" t="str">
            <v>TALCA</v>
          </cell>
          <cell r="R407" t="str">
            <v>DIRECCIÓN DE EXTENSIÓN</v>
          </cell>
          <cell r="S407" t="str">
            <v>DIRECCIÓN DE EXTENSIÓN</v>
          </cell>
        </row>
        <row r="408">
          <cell r="A408">
            <v>12785453</v>
          </cell>
          <cell r="B408" t="str">
            <v>12785453</v>
          </cell>
          <cell r="C408" t="str">
            <v>K</v>
          </cell>
          <cell r="D408" t="str">
            <v>FUENTEALBA CORDERO CAROLINA EL</v>
          </cell>
          <cell r="E408" t="str">
            <v>VRF400009</v>
          </cell>
          <cell r="F408">
            <v>44</v>
          </cell>
          <cell r="G408">
            <v>30</v>
          </cell>
          <cell r="H408" t="str">
            <v>CAROLINA.FUENTEALBA@UTALCA.CL</v>
          </cell>
          <cell r="I408">
            <v>44197</v>
          </cell>
          <cell r="J408">
            <v>46446</v>
          </cell>
          <cell r="K408" t="str">
            <v>CONTRATA</v>
          </cell>
          <cell r="L408" t="str">
            <v>CA DOCENTE</v>
          </cell>
          <cell r="M408" t="str">
            <v>INSTRUCTOR</v>
          </cell>
          <cell r="N408" t="str">
            <v>GRADO D</v>
          </cell>
          <cell r="O408" t="str">
            <v>MAGISTER</v>
          </cell>
          <cell r="P408" t="str">
            <v>MG. EN POLÍTICAS SOCIALES Y GESTIÓN LOCAL</v>
          </cell>
          <cell r="Q408" t="str">
            <v>TALCA</v>
          </cell>
          <cell r="R408" t="str">
            <v>DIRECCIÓN DE PREGRADO</v>
          </cell>
          <cell r="S408" t="str">
            <v>PROGRAMA DE FORMACIÓN FUNDAMENTAL</v>
          </cell>
        </row>
        <row r="409">
          <cell r="A409">
            <v>12790825</v>
          </cell>
          <cell r="B409" t="str">
            <v>12790825</v>
          </cell>
          <cell r="C409" t="str">
            <v>7</v>
          </cell>
          <cell r="D409" t="str">
            <v>FUENTEALBA OLAVE YASNA AURORA</v>
          </cell>
          <cell r="E409" t="str">
            <v>VRF400007</v>
          </cell>
          <cell r="F409">
            <v>44</v>
          </cell>
          <cell r="G409">
            <v>30</v>
          </cell>
          <cell r="H409" t="str">
            <v>YASNA.FUENTEALBA@UTALCA.CL</v>
          </cell>
          <cell r="I409">
            <v>44986</v>
          </cell>
          <cell r="J409">
            <v>46387</v>
          </cell>
          <cell r="K409" t="str">
            <v>CONTRATA</v>
          </cell>
          <cell r="L409" t="str">
            <v>AUXILIAR</v>
          </cell>
          <cell r="M409" t="str">
            <v>AUXILIAR</v>
          </cell>
          <cell r="N409" t="str">
            <v>GRADO I.24</v>
          </cell>
          <cell r="O409" t="str">
            <v>ESCOLARIDAD CIENT HU</v>
          </cell>
          <cell r="P409" t="str">
            <v>LICENCIA ENSEÑANZA MEDIA</v>
          </cell>
          <cell r="Q409" t="str">
            <v>LINARES</v>
          </cell>
          <cell r="R409" t="str">
            <v>VICERRECTORÍA DE FORMACIÓN</v>
          </cell>
          <cell r="S409" t="str">
            <v>PROGRAMA DE DEPORTES</v>
          </cell>
        </row>
        <row r="410">
          <cell r="A410">
            <v>12791140</v>
          </cell>
          <cell r="B410" t="str">
            <v>12791140</v>
          </cell>
          <cell r="C410" t="str">
            <v>1</v>
          </cell>
          <cell r="D410" t="str">
            <v>BASOALTO RIVEROS JULY ANDREA</v>
          </cell>
          <cell r="E410" t="str">
            <v>FEN360001</v>
          </cell>
          <cell r="F410">
            <v>44</v>
          </cell>
          <cell r="G410">
            <v>30</v>
          </cell>
          <cell r="H410" t="str">
            <v>JBASOALTO@UTALCA.CL</v>
          </cell>
          <cell r="I410">
            <v>43101</v>
          </cell>
          <cell r="J410">
            <v>46387</v>
          </cell>
          <cell r="K410" t="str">
            <v>CONTRATA</v>
          </cell>
          <cell r="L410" t="str">
            <v>ADMINISTRATIVO</v>
          </cell>
          <cell r="M410" t="str">
            <v>ADMINISTRATIVO</v>
          </cell>
          <cell r="N410" t="str">
            <v>GRADO I.21</v>
          </cell>
          <cell r="O410" t="str">
            <v>TÉC. NIVEL SUPERIOR</v>
          </cell>
          <cell r="P410" t="str">
            <v>SECRETARIADO EJECUTIVO COMPUTACIONAL</v>
          </cell>
          <cell r="Q410" t="str">
            <v>TALCA</v>
          </cell>
          <cell r="R410" t="str">
            <v>FACULTAD DE ECONOMÍA Y NEGOCIOS</v>
          </cell>
          <cell r="S410" t="str">
            <v>ESCUELA DE POSTGRADO FEN.</v>
          </cell>
        </row>
        <row r="411">
          <cell r="A411">
            <v>12832845</v>
          </cell>
          <cell r="B411" t="str">
            <v>12832845</v>
          </cell>
          <cell r="C411" t="str">
            <v>9</v>
          </cell>
          <cell r="D411" t="str">
            <v>VILLAR MIRANDA MAGALY CAROLINA</v>
          </cell>
          <cell r="E411" t="str">
            <v>FCA200001</v>
          </cell>
          <cell r="F411">
            <v>37</v>
          </cell>
          <cell r="G411">
            <v>30</v>
          </cell>
          <cell r="H411" t="str">
            <v>MAVILLAR@UTALCA.CL</v>
          </cell>
          <cell r="I411">
            <v>45017</v>
          </cell>
          <cell r="J411">
            <v>46387</v>
          </cell>
          <cell r="K411" t="str">
            <v>CONTRATA</v>
          </cell>
          <cell r="L411" t="str">
            <v>TÉCNICO</v>
          </cell>
          <cell r="M411" t="str">
            <v>TÉCNICO</v>
          </cell>
          <cell r="N411" t="str">
            <v>GRADO I.23</v>
          </cell>
          <cell r="O411" t="str">
            <v>TÉC. NIVEL SUPERIOR</v>
          </cell>
          <cell r="P411" t="str">
            <v>TECNICO EN ADMINISTRACION DE EMPRESAS</v>
          </cell>
          <cell r="Q411" t="str">
            <v>TALCA</v>
          </cell>
          <cell r="R411" t="str">
            <v>FACULTAD DE CIENCIAS AGRARIAS</v>
          </cell>
          <cell r="S411" t="str">
            <v>CENTRO TECNOLÓGICO DE SUELOS Y CULTIVOS</v>
          </cell>
        </row>
        <row r="412">
          <cell r="A412">
            <v>12839966</v>
          </cell>
          <cell r="B412" t="str">
            <v>12839966</v>
          </cell>
          <cell r="C412" t="str">
            <v>6</v>
          </cell>
          <cell r="D412" t="str">
            <v>BORQUEZ AVILA MARIA CRISTINA</v>
          </cell>
          <cell r="E412" t="str">
            <v>VAC100002</v>
          </cell>
          <cell r="F412">
            <v>44</v>
          </cell>
          <cell r="G412">
            <v>30</v>
          </cell>
          <cell r="H412" t="str">
            <v>MBORQUEZ@UTALCA.CL</v>
          </cell>
          <cell r="I412">
            <v>45536</v>
          </cell>
          <cell r="J412">
            <v>46387</v>
          </cell>
          <cell r="K412" t="str">
            <v>CONTRATA</v>
          </cell>
          <cell r="L412" t="str">
            <v>PROFESIONAL</v>
          </cell>
          <cell r="M412" t="str">
            <v>PROFESIONAL</v>
          </cell>
          <cell r="N412" t="str">
            <v>GRADO I.17</v>
          </cell>
          <cell r="O412" t="str">
            <v>TÍTULO PROFESIONAL</v>
          </cell>
          <cell r="P412" t="str">
            <v>INGENIERO COMERCIAL, MENCION INFORMATICA</v>
          </cell>
          <cell r="Q412" t="str">
            <v>TALCA</v>
          </cell>
          <cell r="R412" t="str">
            <v>VICERRECTORÍA ACADÉMICA</v>
          </cell>
          <cell r="S412" t="str">
            <v>UNIDAD DE GESTIÓN DE PROYECTOS TRANSVERS</v>
          </cell>
        </row>
        <row r="413">
          <cell r="A413">
            <v>12846900</v>
          </cell>
          <cell r="B413" t="str">
            <v>12846900</v>
          </cell>
          <cell r="C413" t="str">
            <v>1</v>
          </cell>
          <cell r="D413" t="str">
            <v>CARRIZO CAMPOS SANDRA ANDREA</v>
          </cell>
          <cell r="E413" t="str">
            <v>VAC400001</v>
          </cell>
          <cell r="F413">
            <v>44</v>
          </cell>
          <cell r="G413">
            <v>30</v>
          </cell>
          <cell r="H413" t="str">
            <v>SCARRIZO@UTALCA.CL</v>
          </cell>
          <cell r="I413">
            <v>37987</v>
          </cell>
          <cell r="J413">
            <v>2958465</v>
          </cell>
          <cell r="K413" t="str">
            <v>PLANTA</v>
          </cell>
          <cell r="L413" t="str">
            <v>PROFESIONAL</v>
          </cell>
          <cell r="M413" t="str">
            <v>PROFESIONAL</v>
          </cell>
          <cell r="N413" t="str">
            <v>GRADO I.17</v>
          </cell>
          <cell r="O413" t="str">
            <v>MAGISTER</v>
          </cell>
          <cell r="P413" t="str">
            <v>MAGÍSTER EN EDUCACIÓN</v>
          </cell>
          <cell r="Q413" t="str">
            <v>TALCA</v>
          </cell>
          <cell r="R413" t="str">
            <v>VICERRECTORÍA ACADÉMICA</v>
          </cell>
          <cell r="S413" t="str">
            <v>DIRECCIÓN DE BIBLIOTECAS</v>
          </cell>
        </row>
        <row r="414">
          <cell r="A414">
            <v>12862275</v>
          </cell>
          <cell r="B414" t="str">
            <v>12862275</v>
          </cell>
          <cell r="C414" t="str">
            <v>6</v>
          </cell>
          <cell r="D414" t="str">
            <v>CUEVAS ALCAYAGA PAMELA LORENA</v>
          </cell>
          <cell r="E414" t="str">
            <v>FCS320003</v>
          </cell>
          <cell r="F414">
            <v>44</v>
          </cell>
          <cell r="G414">
            <v>30</v>
          </cell>
          <cell r="H414" t="str">
            <v>PAMELA.CUEVAS@UTALCA.CL</v>
          </cell>
          <cell r="I414">
            <v>45505</v>
          </cell>
          <cell r="J414">
            <v>46446</v>
          </cell>
          <cell r="K414" t="str">
            <v>CONTRATA</v>
          </cell>
          <cell r="L414" t="str">
            <v>CA DOCENTE</v>
          </cell>
          <cell r="M414" t="str">
            <v>INSTRUCTOR</v>
          </cell>
          <cell r="N414" t="str">
            <v>GRADO D</v>
          </cell>
          <cell r="O414" t="str">
            <v>MAGISTER</v>
          </cell>
          <cell r="P414" t="str">
            <v>MAGÍSTER EN SALUD PÚBLICA MENCIÓN EPIDEMIOLOG</v>
          </cell>
          <cell r="Q414" t="str">
            <v>TALCA</v>
          </cell>
          <cell r="R414" t="str">
            <v>FACULTAD DE CIENCIAS DE LA SALUD</v>
          </cell>
          <cell r="S414" t="str">
            <v>DEPARTAMENTO DE SALUD PÚBLICA</v>
          </cell>
        </row>
        <row r="415">
          <cell r="A415">
            <v>12873187</v>
          </cell>
          <cell r="B415" t="str">
            <v>12873187</v>
          </cell>
          <cell r="C415" t="str">
            <v>3</v>
          </cell>
          <cell r="D415" t="str">
            <v>MORALES QUIROGA MAURICIO JOSE</v>
          </cell>
          <cell r="E415" t="str">
            <v>FCJ320004</v>
          </cell>
          <cell r="F415">
            <v>44</v>
          </cell>
          <cell r="G415">
            <v>30</v>
          </cell>
          <cell r="H415" t="str">
            <v>MMORALESQ@UTALCA.CL</v>
          </cell>
          <cell r="I415">
            <v>42795</v>
          </cell>
          <cell r="J415">
            <v>2958465</v>
          </cell>
          <cell r="K415" t="str">
            <v>PLANTA</v>
          </cell>
          <cell r="L415" t="str">
            <v>CA ORDINARIA</v>
          </cell>
          <cell r="M415" t="str">
            <v>PROFESOR TITULAR</v>
          </cell>
          <cell r="N415" t="str">
            <v>GRADO A</v>
          </cell>
          <cell r="O415" t="str">
            <v>DOCTORADO</v>
          </cell>
          <cell r="P415" t="str">
            <v>DOCTOR EN CIENCIA POLÍTICA</v>
          </cell>
          <cell r="Q415" t="str">
            <v>SANTIAGO</v>
          </cell>
          <cell r="R415" t="str">
            <v>FACULTAD CIENCIAS JURÍDICAS Y SOCIALES</v>
          </cell>
          <cell r="S415" t="str">
            <v>DPTO. CNCIA. POLÍTICA Y ADMÓN. PÚBLICA</v>
          </cell>
        </row>
        <row r="416">
          <cell r="A416">
            <v>12873198</v>
          </cell>
          <cell r="B416" t="str">
            <v>12873198</v>
          </cell>
          <cell r="C416" t="str">
            <v>9</v>
          </cell>
          <cell r="D416" t="str">
            <v>TORO VALENCIA VICTOR HUGO</v>
          </cell>
          <cell r="E416" t="str">
            <v>FAD320005</v>
          </cell>
          <cell r="F416">
            <v>44</v>
          </cell>
          <cell r="G416">
            <v>30</v>
          </cell>
          <cell r="H416" t="str">
            <v>VICTOR.TORO@UTALCA.CL</v>
          </cell>
          <cell r="I416">
            <v>45383</v>
          </cell>
          <cell r="J416">
            <v>46446</v>
          </cell>
          <cell r="K416" t="str">
            <v>CONTRATA</v>
          </cell>
          <cell r="L416" t="str">
            <v>CA DE LA PROFESIÓN</v>
          </cell>
          <cell r="M416" t="str">
            <v>PROFESOR ASOCIADO</v>
          </cell>
          <cell r="N416" t="str">
            <v>GRADO B</v>
          </cell>
          <cell r="O416" t="str">
            <v>TÍTULO PROFESIONAL</v>
          </cell>
          <cell r="P416" t="str">
            <v>ARTES CON MENCIÓN TEORIA DE LA MUSICA</v>
          </cell>
          <cell r="Q416" t="str">
            <v>TALCA</v>
          </cell>
          <cell r="R416" t="str">
            <v>FACULTAD DE ARQUITECTUR, MÚSICA Y DISEÑO</v>
          </cell>
          <cell r="S416" t="str">
            <v>DEPTO. DE INTERP. Y FORM. MUSICAL ESPEC.</v>
          </cell>
        </row>
        <row r="417">
          <cell r="A417">
            <v>12874481</v>
          </cell>
          <cell r="B417" t="str">
            <v>12874481</v>
          </cell>
          <cell r="C417" t="str">
            <v>9</v>
          </cell>
          <cell r="D417" t="str">
            <v>LOPEZ INOSTROZA CLARA NATHALIE</v>
          </cell>
          <cell r="E417" t="str">
            <v>VRF400008</v>
          </cell>
          <cell r="F417">
            <v>44</v>
          </cell>
          <cell r="G417">
            <v>30</v>
          </cell>
          <cell r="H417" t="str">
            <v>CLOPEZI@UTALCA.CL</v>
          </cell>
          <cell r="I417">
            <v>42217</v>
          </cell>
          <cell r="J417">
            <v>46446</v>
          </cell>
          <cell r="K417" t="str">
            <v>CONTRATA</v>
          </cell>
          <cell r="L417" t="str">
            <v>CA DOCENTE</v>
          </cell>
          <cell r="M417" t="str">
            <v>INSTRUCTOR</v>
          </cell>
          <cell r="N417" t="str">
            <v>GRADO D</v>
          </cell>
          <cell r="O417" t="str">
            <v>TÍTULO PROFESIONAL</v>
          </cell>
          <cell r="P417" t="str">
            <v>PROFESOR DE INGLÉS</v>
          </cell>
          <cell r="Q417" t="str">
            <v>TALCA</v>
          </cell>
          <cell r="R417" t="str">
            <v>DIRECCIÓN DE PREGRADO</v>
          </cell>
          <cell r="S417" t="str">
            <v>PROGRAMA DE IDIOMAS</v>
          </cell>
        </row>
        <row r="418">
          <cell r="A418">
            <v>12882372</v>
          </cell>
          <cell r="B418" t="str">
            <v>12882372</v>
          </cell>
          <cell r="C418" t="str">
            <v>7</v>
          </cell>
          <cell r="D418" t="str">
            <v>COYDAN TAPIA IVAN RODOLFO</v>
          </cell>
          <cell r="E418" t="str">
            <v>FEN310001</v>
          </cell>
          <cell r="F418">
            <v>44</v>
          </cell>
          <cell r="G418">
            <v>30</v>
          </cell>
          <cell r="H418" t="str">
            <v>IVANCOYDAN@UTALCA.CL</v>
          </cell>
          <cell r="I418">
            <v>37681</v>
          </cell>
          <cell r="J418">
            <v>46446</v>
          </cell>
          <cell r="K418" t="str">
            <v>CONTRATA</v>
          </cell>
          <cell r="L418" t="str">
            <v>CA DOCENTE</v>
          </cell>
          <cell r="M418" t="str">
            <v>PROFESOR ASOCIADO</v>
          </cell>
          <cell r="N418" t="str">
            <v>GRADO B</v>
          </cell>
          <cell r="O418" t="str">
            <v>DOCTORADO</v>
          </cell>
          <cell r="P418" t="str">
            <v>PHILOSOPHIAE DOCTOR (PH.D.)</v>
          </cell>
          <cell r="Q418" t="str">
            <v>TALCA</v>
          </cell>
          <cell r="R418" t="str">
            <v>FACULTAD DE ECONOMÍA Y NEGOCIOS</v>
          </cell>
          <cell r="S418" t="str">
            <v>ESCUELA DE INGENIERÍA COMERCIAL DE TALCA</v>
          </cell>
        </row>
        <row r="419">
          <cell r="A419">
            <v>12884508</v>
          </cell>
          <cell r="B419" t="str">
            <v>12884508</v>
          </cell>
          <cell r="C419" t="str">
            <v>9</v>
          </cell>
          <cell r="D419" t="str">
            <v>FIGUEROA LAMAS CARLOS RODRIGO</v>
          </cell>
          <cell r="E419" t="str">
            <v>ICB300001</v>
          </cell>
          <cell r="F419">
            <v>44</v>
          </cell>
          <cell r="G419">
            <v>30</v>
          </cell>
          <cell r="H419" t="str">
            <v>CFIGUEROA@UTALCA.CL</v>
          </cell>
          <cell r="I419">
            <v>42125</v>
          </cell>
          <cell r="J419">
            <v>2958465</v>
          </cell>
          <cell r="K419" t="str">
            <v>PLANTA</v>
          </cell>
          <cell r="L419" t="str">
            <v>CA ORDINARIA</v>
          </cell>
          <cell r="M419" t="str">
            <v>PROFESOR TITULAR</v>
          </cell>
          <cell r="N419" t="str">
            <v>GRADO A</v>
          </cell>
          <cell r="O419" t="str">
            <v>DOCTORADO</v>
          </cell>
          <cell r="P419" t="str">
            <v>DOCTOR EN CIENCIAS CON MENCIÓN INGENIERÍA GEN</v>
          </cell>
          <cell r="Q419" t="str">
            <v>TALCA</v>
          </cell>
          <cell r="R419" t="str">
            <v>INSTITUTO DE CIENCIAS BIOLÓGICAS</v>
          </cell>
          <cell r="S419" t="str">
            <v>INSTITUTO DE CIENCIAS BIOLÓGICAS</v>
          </cell>
        </row>
        <row r="420">
          <cell r="A420">
            <v>12899066</v>
          </cell>
          <cell r="B420" t="str">
            <v>12899066</v>
          </cell>
          <cell r="C420" t="str">
            <v>6</v>
          </cell>
          <cell r="D420" t="str">
            <v>MALLEA MUÑOZ HUGO JOSE</v>
          </cell>
          <cell r="E420" t="str">
            <v>VRF400009</v>
          </cell>
          <cell r="F420">
            <v>33</v>
          </cell>
          <cell r="G420">
            <v>30</v>
          </cell>
          <cell r="H420" t="str">
            <v>HMALLEA@UTALCA.CL</v>
          </cell>
          <cell r="I420">
            <v>39448</v>
          </cell>
          <cell r="J420">
            <v>46446</v>
          </cell>
          <cell r="K420" t="str">
            <v>CONTRATA</v>
          </cell>
          <cell r="L420" t="str">
            <v>CA DOCENTE</v>
          </cell>
          <cell r="M420" t="str">
            <v>INSTRUCTOR</v>
          </cell>
          <cell r="N420" t="str">
            <v>GRADO D</v>
          </cell>
          <cell r="O420" t="str">
            <v>MAGISTER</v>
          </cell>
          <cell r="P420" t="str">
            <v>MAGÍSTER EN PSICOLOGÍA SOCIAL APLICADA</v>
          </cell>
          <cell r="Q420" t="str">
            <v>TALCA</v>
          </cell>
          <cell r="R420" t="str">
            <v>DIRECCIÓN DE PREGRADO</v>
          </cell>
          <cell r="S420" t="str">
            <v>PROGRAMA DE FORMACIÓN FUNDAMENTAL</v>
          </cell>
        </row>
        <row r="421">
          <cell r="A421">
            <v>12913849</v>
          </cell>
          <cell r="B421" t="str">
            <v>12913849</v>
          </cell>
          <cell r="C421" t="str">
            <v>1</v>
          </cell>
          <cell r="D421" t="str">
            <v>CABEZA PEREZ RICARDO ALFONSO</v>
          </cell>
          <cell r="E421" t="str">
            <v>FCA320003</v>
          </cell>
          <cell r="F421">
            <v>44</v>
          </cell>
          <cell r="G421">
            <v>30</v>
          </cell>
          <cell r="H421" t="str">
            <v>RCABEZA@UTALCA.CL</v>
          </cell>
          <cell r="I421">
            <v>42597</v>
          </cell>
          <cell r="J421">
            <v>2958465</v>
          </cell>
          <cell r="K421" t="str">
            <v>PLANTA</v>
          </cell>
          <cell r="L421" t="str">
            <v>CA ORDINARIA</v>
          </cell>
          <cell r="M421" t="str">
            <v>PROFESOR ASOCIADO</v>
          </cell>
          <cell r="N421" t="str">
            <v>GRADO B</v>
          </cell>
          <cell r="O421" t="str">
            <v>DOCTORADO</v>
          </cell>
          <cell r="P421" t="str">
            <v>DOCTOR OF PHILOSOPHY</v>
          </cell>
          <cell r="Q421" t="str">
            <v>TALCA</v>
          </cell>
          <cell r="R421" t="str">
            <v>FACULTAD DE CIENCIAS AGRARIAS</v>
          </cell>
          <cell r="S421" t="str">
            <v>DEPARTAMENTO DE PRODUCCIÓN AGRÍCOLA</v>
          </cell>
        </row>
        <row r="422">
          <cell r="A422">
            <v>12916503</v>
          </cell>
          <cell r="B422" t="str">
            <v>12916503</v>
          </cell>
          <cell r="C422" t="str">
            <v>0</v>
          </cell>
          <cell r="D422" t="str">
            <v>ROJAS HENRIQUEZ GREGORIO MAURI</v>
          </cell>
          <cell r="E422" t="str">
            <v>VGE400056</v>
          </cell>
          <cell r="F422">
            <v>44</v>
          </cell>
          <cell r="G422">
            <v>30</v>
          </cell>
          <cell r="H422" t="str">
            <v>GREROJAS@UTALCA.CL</v>
          </cell>
          <cell r="I422">
            <v>43831</v>
          </cell>
          <cell r="J422">
            <v>46387</v>
          </cell>
          <cell r="K422" t="str">
            <v>CONTRATA</v>
          </cell>
          <cell r="L422" t="str">
            <v>PROFESIONAL</v>
          </cell>
          <cell r="M422" t="str">
            <v>PROFESIONAL</v>
          </cell>
          <cell r="N422" t="str">
            <v>GRADO I.17</v>
          </cell>
          <cell r="O422" t="str">
            <v>TÍTULO PROFESIONAL</v>
          </cell>
          <cell r="P422" t="str">
            <v>INGENIERO DE EJECUCIÓN EN COMPUTACIÓN E INFOR</v>
          </cell>
          <cell r="Q422" t="str">
            <v>TALCA</v>
          </cell>
          <cell r="R422" t="str">
            <v>VIC. GESTIÓN ECONÓMICA Y ADMINISTRACIÓN</v>
          </cell>
          <cell r="S422" t="str">
            <v>DEPARTAMENTO DE SISTEMAS</v>
          </cell>
        </row>
        <row r="423">
          <cell r="A423">
            <v>12916564</v>
          </cell>
          <cell r="B423" t="str">
            <v>12916564</v>
          </cell>
          <cell r="C423" t="str">
            <v>2</v>
          </cell>
          <cell r="D423" t="str">
            <v>HERNANDEZ FERNANDEZ ISABEL NOE</v>
          </cell>
          <cell r="E423" t="str">
            <v>ADC014001</v>
          </cell>
          <cell r="F423">
            <v>44</v>
          </cell>
          <cell r="G423">
            <v>30</v>
          </cell>
          <cell r="H423" t="str">
            <v>I.HERNANDEZ@UTALCA.CL</v>
          </cell>
          <cell r="I423">
            <v>42948</v>
          </cell>
          <cell r="J423">
            <v>2958465</v>
          </cell>
          <cell r="K423" t="str">
            <v>PLANTA</v>
          </cell>
          <cell r="L423" t="str">
            <v>DIR EXCLU. CONFIANZA</v>
          </cell>
          <cell r="M423" t="str">
            <v>DIR NORMAS PROPIAS</v>
          </cell>
          <cell r="N423" t="str">
            <v>GRADO I.2</v>
          </cell>
          <cell r="O423" t="str">
            <v>MAGISTER</v>
          </cell>
          <cell r="P423" t="str">
            <v>MAGÍSTER EN DERECHO CON MENCIÓN EN DERECHO PE</v>
          </cell>
          <cell r="Q423" t="str">
            <v>TALCA</v>
          </cell>
          <cell r="R423" t="str">
            <v>SECRETARÍA GENERAL</v>
          </cell>
          <cell r="S423" t="str">
            <v>SECRETARÍA GENERAL</v>
          </cell>
        </row>
        <row r="424">
          <cell r="A424">
            <v>12916620</v>
          </cell>
          <cell r="B424" t="str">
            <v>12916620</v>
          </cell>
          <cell r="C424" t="str">
            <v>7</v>
          </cell>
          <cell r="D424" t="str">
            <v>VERDUGO AVILA ROXANA PAOLA</v>
          </cell>
          <cell r="E424" t="str">
            <v>VDE400001</v>
          </cell>
          <cell r="F424">
            <v>44</v>
          </cell>
          <cell r="G424">
            <v>30</v>
          </cell>
          <cell r="H424" t="str">
            <v>RVERDUGO@UTALCA.CL</v>
          </cell>
          <cell r="I424">
            <v>40179</v>
          </cell>
          <cell r="J424">
            <v>46387</v>
          </cell>
          <cell r="K424" t="str">
            <v>CONTRATA</v>
          </cell>
          <cell r="L424" t="str">
            <v>PROFESIONAL</v>
          </cell>
          <cell r="M424" t="str">
            <v>PROFESIONAL</v>
          </cell>
          <cell r="N424" t="str">
            <v>GRADO I.17</v>
          </cell>
          <cell r="O424" t="str">
            <v>TÍTULO PROFESIONAL</v>
          </cell>
          <cell r="P424" t="str">
            <v>ASISTENTE SOCIAL</v>
          </cell>
          <cell r="Q424" t="str">
            <v>TALCA</v>
          </cell>
          <cell r="R424" t="str">
            <v>VICERRECTORÍA DE DESARROLLO ESTUDIANTIL</v>
          </cell>
          <cell r="S424" t="str">
            <v>DIRECCIÓN DE BIENESTAR ESTUDIANTIL</v>
          </cell>
        </row>
        <row r="425">
          <cell r="A425">
            <v>12920799</v>
          </cell>
          <cell r="B425" t="str">
            <v>12920799</v>
          </cell>
          <cell r="C425" t="str">
            <v>K</v>
          </cell>
          <cell r="D425" t="str">
            <v>SAAVEDRA GOMEZ CECILIA PAOLA</v>
          </cell>
          <cell r="E425" t="str">
            <v>FOD310001</v>
          </cell>
          <cell r="F425">
            <v>25</v>
          </cell>
          <cell r="G425">
            <v>30</v>
          </cell>
          <cell r="H425" t="str">
            <v>CESAAVEDRA@UTALCA.CL</v>
          </cell>
          <cell r="I425">
            <v>44713</v>
          </cell>
          <cell r="J425">
            <v>46446</v>
          </cell>
          <cell r="K425" t="str">
            <v>CONTRATA</v>
          </cell>
          <cell r="L425" t="str">
            <v>CA DOCENTE</v>
          </cell>
          <cell r="M425" t="str">
            <v>INSTRUCTOR</v>
          </cell>
          <cell r="N425" t="str">
            <v>GRADO D</v>
          </cell>
          <cell r="O425" t="str">
            <v>ESPECIAL. ODONTOLÓG.</v>
          </cell>
          <cell r="P425" t="str">
            <v>ESPECIALISTA EN REHABILITACION ORAL</v>
          </cell>
          <cell r="Q425" t="str">
            <v>TALCA</v>
          </cell>
          <cell r="R425" t="str">
            <v>FACULTAD DE ODONTOLOGÍA</v>
          </cell>
          <cell r="S425" t="str">
            <v>ESCUELA DE ODONTOLOGÍA</v>
          </cell>
        </row>
        <row r="426">
          <cell r="A426">
            <v>12932634</v>
          </cell>
          <cell r="B426" t="str">
            <v>12932634</v>
          </cell>
          <cell r="C426" t="str">
            <v>4</v>
          </cell>
          <cell r="D426" t="str">
            <v>MONTOYA MACIAS MAGLENY ANDREA</v>
          </cell>
          <cell r="E426" t="str">
            <v>ADC021005</v>
          </cell>
          <cell r="F426">
            <v>44</v>
          </cell>
          <cell r="G426">
            <v>30</v>
          </cell>
          <cell r="H426" t="str">
            <v>AMONTOYA@UTALCA.CL</v>
          </cell>
          <cell r="I426">
            <v>43101</v>
          </cell>
          <cell r="J426">
            <v>46387</v>
          </cell>
          <cell r="K426" t="str">
            <v>CONTRATA</v>
          </cell>
          <cell r="L426" t="str">
            <v>PROFESIONAL</v>
          </cell>
          <cell r="M426" t="str">
            <v>PROFESIONAL</v>
          </cell>
          <cell r="N426" t="str">
            <v>GRADO I.17</v>
          </cell>
          <cell r="O426" t="str">
            <v>TÍTULO PROFESIONAL</v>
          </cell>
          <cell r="P426" t="str">
            <v>PERIODISTA</v>
          </cell>
          <cell r="Q426" t="str">
            <v>TALCA</v>
          </cell>
          <cell r="R426" t="str">
            <v>DIRECCIÓN DE COMUNICACIONES CORPORATIVAS</v>
          </cell>
          <cell r="S426" t="str">
            <v>DPTO. DE COMUNICACIÓN EXTERNA Y MEDIOS</v>
          </cell>
        </row>
        <row r="427">
          <cell r="A427">
            <v>12936609</v>
          </cell>
          <cell r="B427" t="str">
            <v>12936609</v>
          </cell>
          <cell r="C427" t="str">
            <v>5</v>
          </cell>
          <cell r="D427" t="str">
            <v>RIOS SALAS NICOLAS FELIPE</v>
          </cell>
          <cell r="E427" t="str">
            <v>FOD320001</v>
          </cell>
          <cell r="F427">
            <v>18</v>
          </cell>
          <cell r="G427">
            <v>30</v>
          </cell>
          <cell r="H427" t="str">
            <v>NIRIOS@UTALCA.CL</v>
          </cell>
          <cell r="I427">
            <v>44713</v>
          </cell>
          <cell r="J427">
            <v>46446</v>
          </cell>
          <cell r="K427" t="str">
            <v>CONTRATA</v>
          </cell>
          <cell r="L427" t="str">
            <v>CA DOCENTE</v>
          </cell>
          <cell r="M427" t="str">
            <v>INSTRUCTOR</v>
          </cell>
          <cell r="N427" t="str">
            <v>GRADO D</v>
          </cell>
          <cell r="O427" t="str">
            <v>TÍTULO PROFESIONAL</v>
          </cell>
          <cell r="P427" t="str">
            <v>CIRUJANO DENTISTA</v>
          </cell>
          <cell r="Q427" t="str">
            <v>TALCA</v>
          </cell>
          <cell r="R427" t="str">
            <v>FACULTAD DE ODONTOLOGÍA</v>
          </cell>
          <cell r="S427" t="str">
            <v>DPTO. REHABILITACIÓN BUCO-MAXILOFACIAL</v>
          </cell>
        </row>
        <row r="428">
          <cell r="A428">
            <v>12962362</v>
          </cell>
          <cell r="B428" t="str">
            <v>12962362</v>
          </cell>
          <cell r="C428" t="str">
            <v>4</v>
          </cell>
          <cell r="D428" t="str">
            <v>REBOLLEDO ORTEGA MARÍA YEANNET</v>
          </cell>
          <cell r="E428" t="str">
            <v>ADC013001</v>
          </cell>
          <cell r="F428">
            <v>44</v>
          </cell>
          <cell r="G428">
            <v>30</v>
          </cell>
          <cell r="H428" t="str">
            <v>MARIA.REBOLLEDO@UTALCA.CL</v>
          </cell>
          <cell r="I428">
            <v>44847</v>
          </cell>
          <cell r="J428">
            <v>46387</v>
          </cell>
          <cell r="K428" t="str">
            <v>CONTRATA</v>
          </cell>
          <cell r="L428" t="str">
            <v>PROFESIONAL</v>
          </cell>
          <cell r="M428" t="str">
            <v>PROFESIONAL</v>
          </cell>
          <cell r="N428" t="str">
            <v>GRADO I.17</v>
          </cell>
          <cell r="O428" t="str">
            <v>TÍTULO PROFESIONAL</v>
          </cell>
          <cell r="P428" t="str">
            <v>CONTADOR AUDITOR</v>
          </cell>
          <cell r="Q428" t="str">
            <v>TALCA</v>
          </cell>
          <cell r="R428" t="str">
            <v>CONTRALORÍA UNIVERSITARIA</v>
          </cell>
          <cell r="S428" t="str">
            <v>DEPARTAMENTO DE AUDITORÍA INTERNA</v>
          </cell>
        </row>
        <row r="429">
          <cell r="A429">
            <v>12963021</v>
          </cell>
          <cell r="B429" t="str">
            <v>12963021</v>
          </cell>
          <cell r="C429" t="str">
            <v>3</v>
          </cell>
          <cell r="D429" t="str">
            <v>RAMOS CAMPOS PATRICIO EUGENIO</v>
          </cell>
          <cell r="E429" t="str">
            <v>ICB300001</v>
          </cell>
          <cell r="F429">
            <v>44</v>
          </cell>
          <cell r="G429">
            <v>30</v>
          </cell>
          <cell r="H429" t="str">
            <v>PRAMOS@UTALCA.CL</v>
          </cell>
          <cell r="I429">
            <v>44986</v>
          </cell>
          <cell r="J429">
            <v>2958465</v>
          </cell>
          <cell r="K429" t="str">
            <v>PLANTA</v>
          </cell>
          <cell r="L429" t="str">
            <v>CA ORDINARIA</v>
          </cell>
          <cell r="M429" t="str">
            <v>PROFESOR ASOCIADO</v>
          </cell>
          <cell r="N429" t="str">
            <v>GRADO B</v>
          </cell>
          <cell r="O429" t="str">
            <v>DOCTORADO</v>
          </cell>
          <cell r="P429" t="str">
            <v>DOCTOR EN CIENCIAS: MENCION INGENIERIA GENETI</v>
          </cell>
          <cell r="Q429" t="str">
            <v>TALCA</v>
          </cell>
          <cell r="R429" t="str">
            <v>INSTITUTO DE CIENCIAS BIOLÓGICAS</v>
          </cell>
          <cell r="S429" t="str">
            <v>INSTITUTO DE CIENCIAS BIOLÓGICAS</v>
          </cell>
        </row>
        <row r="430">
          <cell r="A430">
            <v>12963119</v>
          </cell>
          <cell r="B430" t="str">
            <v>12963119</v>
          </cell>
          <cell r="C430" t="str">
            <v>8</v>
          </cell>
          <cell r="D430" t="str">
            <v>OROSTICA DORADO XIMENA FRANCIS</v>
          </cell>
          <cell r="E430" t="str">
            <v>ADC022001</v>
          </cell>
          <cell r="F430">
            <v>44</v>
          </cell>
          <cell r="G430">
            <v>30</v>
          </cell>
          <cell r="H430" t="str">
            <v>FOROSTICA@UTALCA.CL</v>
          </cell>
          <cell r="I430">
            <v>43101</v>
          </cell>
          <cell r="J430">
            <v>46387</v>
          </cell>
          <cell r="K430" t="str">
            <v>CONTRATA</v>
          </cell>
          <cell r="L430" t="str">
            <v>PROFESIONAL</v>
          </cell>
          <cell r="M430" t="str">
            <v>PROFESIONAL</v>
          </cell>
          <cell r="N430" t="str">
            <v>GRADO I.17</v>
          </cell>
          <cell r="O430" t="str">
            <v>MAGISTER</v>
          </cell>
          <cell r="P430" t="str">
            <v>MAGISTER EN GESTIÓN CULTURAL APLICADA: POLÍTI</v>
          </cell>
          <cell r="Q430" t="str">
            <v>TALCA</v>
          </cell>
          <cell r="R430" t="str">
            <v>DIRECCIÓN DE EXTENSIÓN</v>
          </cell>
          <cell r="S430" t="str">
            <v>DIRECCIÓN DE EXTENSIÓN</v>
          </cell>
        </row>
        <row r="431">
          <cell r="A431">
            <v>12963124</v>
          </cell>
          <cell r="B431" t="str">
            <v>12963124</v>
          </cell>
          <cell r="C431" t="str">
            <v>4</v>
          </cell>
          <cell r="D431" t="str">
            <v>RETAMAL CASTILLO CAMILA ROSA</v>
          </cell>
          <cell r="E431" t="str">
            <v>FED310008</v>
          </cell>
          <cell r="F431">
            <v>44</v>
          </cell>
          <cell r="G431">
            <v>30</v>
          </cell>
          <cell r="H431" t="str">
            <v>CAMILA.RETAMAL@UTALCA.CL</v>
          </cell>
          <cell r="I431">
            <v>44927</v>
          </cell>
          <cell r="J431">
            <v>46387</v>
          </cell>
          <cell r="K431" t="str">
            <v>CONTRATA</v>
          </cell>
          <cell r="L431" t="str">
            <v>ADMINISTRATIVO</v>
          </cell>
          <cell r="M431" t="str">
            <v>ADMINISTRATIVO</v>
          </cell>
          <cell r="N431" t="str">
            <v>GRADO I.21</v>
          </cell>
          <cell r="O431" t="str">
            <v>TÉC. NIVEL MEDIO</v>
          </cell>
          <cell r="P431" t="str">
            <v>SECRETARIA EJECUTIVA MENCION COMPUTACION E IN</v>
          </cell>
          <cell r="Q431" t="str">
            <v>LINARES</v>
          </cell>
          <cell r="R431" t="str">
            <v>FACULTAD DE CIENCIAS DE LA EDUCACIÓN</v>
          </cell>
          <cell r="S431" t="str">
            <v>ESC. PDG.CIENCIAS NATURALES Y EXACTAS</v>
          </cell>
        </row>
        <row r="432">
          <cell r="A432">
            <v>12963495</v>
          </cell>
          <cell r="B432" t="str">
            <v>12963495</v>
          </cell>
          <cell r="C432" t="str">
            <v>2</v>
          </cell>
          <cell r="D432" t="str">
            <v>ARAVENA CASTILLO ELIAS PHILLIP</v>
          </cell>
          <cell r="E432" t="str">
            <v>FCA200001</v>
          </cell>
          <cell r="F432">
            <v>44</v>
          </cell>
          <cell r="G432">
            <v>30</v>
          </cell>
          <cell r="H432" t="str">
            <v>EARAVENA@UTALCA.CL</v>
          </cell>
          <cell r="I432">
            <v>36892</v>
          </cell>
          <cell r="J432">
            <v>2958465</v>
          </cell>
          <cell r="K432" t="str">
            <v>PLANTA</v>
          </cell>
          <cell r="L432" t="str">
            <v>TÉCNICO</v>
          </cell>
          <cell r="M432" t="str">
            <v>TÉCNICO</v>
          </cell>
          <cell r="N432" t="str">
            <v>GRADO I.23</v>
          </cell>
          <cell r="O432" t="str">
            <v>TÍTULO PROFESIONAL</v>
          </cell>
          <cell r="P432" t="str">
            <v>AGRONOMO</v>
          </cell>
          <cell r="Q432" t="str">
            <v>TALCA</v>
          </cell>
          <cell r="R432" t="str">
            <v>FACULTAD DE CIENCIAS AGRARIAS</v>
          </cell>
          <cell r="S432" t="str">
            <v>CENTRO TECNOLÓGICO DE LA VID Y EL VINO</v>
          </cell>
        </row>
        <row r="433">
          <cell r="A433">
            <v>12963815</v>
          </cell>
          <cell r="B433" t="str">
            <v>12963815</v>
          </cell>
          <cell r="C433" t="str">
            <v>K</v>
          </cell>
          <cell r="D433" t="str">
            <v>VASQUEZ PALMA MARIA FERNANDA</v>
          </cell>
          <cell r="E433" t="str">
            <v>FCJ320002</v>
          </cell>
          <cell r="F433">
            <v>44</v>
          </cell>
          <cell r="G433">
            <v>30</v>
          </cell>
          <cell r="H433" t="str">
            <v>MFVASQUEZ@UTALCA.CL</v>
          </cell>
          <cell r="I433">
            <v>38047</v>
          </cell>
          <cell r="J433">
            <v>2958465</v>
          </cell>
          <cell r="K433" t="str">
            <v>PLANTA</v>
          </cell>
          <cell r="L433" t="str">
            <v>CA ORDINARIA</v>
          </cell>
          <cell r="M433" t="str">
            <v>PROFESOR TITULAR</v>
          </cell>
          <cell r="N433" t="str">
            <v>GRADO A</v>
          </cell>
          <cell r="O433" t="str">
            <v>DOCTORADO</v>
          </cell>
          <cell r="P433" t="str">
            <v>DOCTOR EN DERECHO</v>
          </cell>
          <cell r="Q433" t="str">
            <v>SANTIAGO</v>
          </cell>
          <cell r="R433" t="str">
            <v>FACULTAD CIENCIAS JURÍDICAS Y SOCIALES</v>
          </cell>
          <cell r="S433" t="str">
            <v>DPTO. DERECHO PRIVADO Y CNCIAS. DERECHO</v>
          </cell>
        </row>
        <row r="434">
          <cell r="A434">
            <v>12966566</v>
          </cell>
          <cell r="B434" t="str">
            <v>12966566</v>
          </cell>
          <cell r="C434" t="str">
            <v>1</v>
          </cell>
          <cell r="D434" t="str">
            <v>DURAN BUSTAMANTE ARMANDO ISAIA</v>
          </cell>
          <cell r="E434" t="str">
            <v>FCI320005</v>
          </cell>
          <cell r="F434">
            <v>44</v>
          </cell>
          <cell r="G434">
            <v>30</v>
          </cell>
          <cell r="H434" t="str">
            <v>ADURAN@UTALCA.CL</v>
          </cell>
          <cell r="I434">
            <v>41852</v>
          </cell>
          <cell r="J434">
            <v>46446</v>
          </cell>
          <cell r="K434" t="str">
            <v>CONTRATA</v>
          </cell>
          <cell r="L434" t="str">
            <v>CA DOCENTE</v>
          </cell>
          <cell r="M434" t="str">
            <v>INSTRUCTOR</v>
          </cell>
          <cell r="N434" t="str">
            <v>GRADO D</v>
          </cell>
          <cell r="O434" t="str">
            <v>MAGISTER</v>
          </cell>
          <cell r="P434" t="str">
            <v>MAGISTER EN DIRECCION Y ADMINISTRACION DE PRO</v>
          </cell>
          <cell r="Q434" t="str">
            <v>CURICO</v>
          </cell>
          <cell r="R434" t="str">
            <v>FACULTAD DE INGENIERÍA</v>
          </cell>
          <cell r="S434" t="str">
            <v>DPTO. ING. Y GESTIÓN DE LA CONSTRUCCIÓN</v>
          </cell>
        </row>
        <row r="435">
          <cell r="A435">
            <v>12968261</v>
          </cell>
          <cell r="B435" t="str">
            <v>12968261</v>
          </cell>
          <cell r="C435" t="str">
            <v>2</v>
          </cell>
          <cell r="D435" t="str">
            <v>FICA GALLARDO JUAN HUMBERTO</v>
          </cell>
          <cell r="E435" t="str">
            <v>VGE100003</v>
          </cell>
          <cell r="F435">
            <v>44</v>
          </cell>
          <cell r="G435">
            <v>30</v>
          </cell>
          <cell r="H435" t="str">
            <v>JFICA@UTALCA.CL</v>
          </cell>
          <cell r="I435">
            <v>40179</v>
          </cell>
          <cell r="J435">
            <v>2958465</v>
          </cell>
          <cell r="K435" t="str">
            <v>PLANTA</v>
          </cell>
          <cell r="L435" t="str">
            <v>PROFESIONAL</v>
          </cell>
          <cell r="M435" t="str">
            <v>PROFESIONAL</v>
          </cell>
          <cell r="N435" t="str">
            <v>GRADO I.17</v>
          </cell>
          <cell r="O435" t="str">
            <v>TÍTULO PROFESIONAL</v>
          </cell>
          <cell r="P435" t="str">
            <v>ING DE EJEC EN COMPUTACIÓN E INFORMÁTICA</v>
          </cell>
          <cell r="Q435" t="str">
            <v>TALCA</v>
          </cell>
          <cell r="R435" t="str">
            <v>VIC. GESTIÓN ECONÓMICA Y ADMINISTRACIÓN</v>
          </cell>
          <cell r="S435" t="str">
            <v>OF. TRANSFORMACIÓN DIGITAL ADMINISTRATIV</v>
          </cell>
        </row>
        <row r="436">
          <cell r="A436">
            <v>12968360</v>
          </cell>
          <cell r="B436" t="str">
            <v>12968360</v>
          </cell>
          <cell r="C436" t="str">
            <v>0</v>
          </cell>
          <cell r="D436" t="str">
            <v>BUSTOS BUSTOS JORGE EDUARDO</v>
          </cell>
          <cell r="E436" t="str">
            <v>VGE400055</v>
          </cell>
          <cell r="F436">
            <v>44</v>
          </cell>
          <cell r="G436">
            <v>30</v>
          </cell>
          <cell r="H436" t="str">
            <v>JBUSTOS@UTALCA.CL</v>
          </cell>
          <cell r="I436">
            <v>37257</v>
          </cell>
          <cell r="J436">
            <v>2958465</v>
          </cell>
          <cell r="K436" t="str">
            <v>PLANTA</v>
          </cell>
          <cell r="L436" t="str">
            <v>PROFESIONAL</v>
          </cell>
          <cell r="M436" t="str">
            <v>PROFESIONAL</v>
          </cell>
          <cell r="N436" t="str">
            <v>GRADO I.17</v>
          </cell>
          <cell r="O436" t="str">
            <v>TÍTULO PROFESIONAL</v>
          </cell>
          <cell r="P436" t="str">
            <v>INGENIERO DE EJECUCIÓN EN COMPUTACIÓN E INFOR</v>
          </cell>
          <cell r="Q436" t="str">
            <v>TALCA</v>
          </cell>
          <cell r="R436" t="str">
            <v>VIC. GESTIÓN ECONÓMICA Y ADMINISTRACIÓN</v>
          </cell>
          <cell r="S436" t="str">
            <v>DEPARTAMENTO DE PLATAFORMAS TI</v>
          </cell>
        </row>
        <row r="437">
          <cell r="A437">
            <v>12984932</v>
          </cell>
          <cell r="B437" t="str">
            <v>12984932</v>
          </cell>
          <cell r="C437" t="str">
            <v>0</v>
          </cell>
          <cell r="D437" t="str">
            <v>PEZO VALENCIA CARLA IVETT</v>
          </cell>
          <cell r="E437" t="str">
            <v>VGE400020</v>
          </cell>
          <cell r="F437">
            <v>44</v>
          </cell>
          <cell r="G437">
            <v>30</v>
          </cell>
          <cell r="H437" t="str">
            <v>CPEZO@UTALCA.CL</v>
          </cell>
          <cell r="I437">
            <v>43466</v>
          </cell>
          <cell r="J437">
            <v>46387</v>
          </cell>
          <cell r="K437" t="str">
            <v>CONTRATA</v>
          </cell>
          <cell r="L437" t="str">
            <v>PROFESIONAL</v>
          </cell>
          <cell r="M437" t="str">
            <v>PROFESIONAL</v>
          </cell>
          <cell r="N437" t="str">
            <v>GRADO I.17</v>
          </cell>
          <cell r="O437" t="str">
            <v>TÍTULO PROFESIONAL</v>
          </cell>
          <cell r="P437" t="str">
            <v>INGENIERO COMERCIAL</v>
          </cell>
          <cell r="Q437" t="str">
            <v>TALCA</v>
          </cell>
          <cell r="R437" t="str">
            <v>VIC. GESTIÓN ECONÓMICA Y ADMINISTRACIÓN</v>
          </cell>
          <cell r="S437" t="str">
            <v>DEPARTAMENTO DE TESORERÍA</v>
          </cell>
        </row>
        <row r="438">
          <cell r="A438">
            <v>13001148</v>
          </cell>
          <cell r="B438" t="str">
            <v>13001148</v>
          </cell>
          <cell r="C438" t="str">
            <v>9</v>
          </cell>
          <cell r="D438" t="str">
            <v>TORRES FUCHSLOCHER CARLOS FERN</v>
          </cell>
          <cell r="E438" t="str">
            <v>FCI320002</v>
          </cell>
          <cell r="F438">
            <v>44</v>
          </cell>
          <cell r="G438">
            <v>30</v>
          </cell>
          <cell r="H438" t="str">
            <v>CTORRES@UTALCA.CL</v>
          </cell>
          <cell r="I438">
            <v>38936</v>
          </cell>
          <cell r="J438">
            <v>2958465</v>
          </cell>
          <cell r="K438" t="str">
            <v>PLANTA</v>
          </cell>
          <cell r="L438" t="str">
            <v>CA ORDINARIA</v>
          </cell>
          <cell r="M438" t="str">
            <v>PROFESOR ASOCIADO</v>
          </cell>
          <cell r="N438" t="str">
            <v>GRADO B</v>
          </cell>
          <cell r="O438" t="str">
            <v>DOCTORADO</v>
          </cell>
          <cell r="P438" t="str">
            <v>DOCTOR PHILOSOPHIAE</v>
          </cell>
          <cell r="Q438" t="str">
            <v>TALCA</v>
          </cell>
          <cell r="R438" t="str">
            <v>FACULTAD DE INGENIERÍA</v>
          </cell>
          <cell r="S438" t="str">
            <v>DEPARTAMENTO DE INGENIERÍA INDUSTRIAL</v>
          </cell>
        </row>
        <row r="439">
          <cell r="A439">
            <v>13019884</v>
          </cell>
          <cell r="B439" t="str">
            <v>13019884</v>
          </cell>
          <cell r="C439" t="str">
            <v>8</v>
          </cell>
          <cell r="D439" t="str">
            <v>ALLESCH PEÑAILILLO JOHANN STEF</v>
          </cell>
          <cell r="E439" t="str">
            <v>ADC013001</v>
          </cell>
          <cell r="F439">
            <v>44</v>
          </cell>
          <cell r="G439">
            <v>30</v>
          </cell>
          <cell r="H439" t="str">
            <v>JALLESCH@UTALCA.CL</v>
          </cell>
          <cell r="I439">
            <v>37690</v>
          </cell>
          <cell r="J439">
            <v>2958465</v>
          </cell>
          <cell r="K439" t="str">
            <v>PLANTA</v>
          </cell>
          <cell r="L439" t="str">
            <v>CONFERENCIANTE</v>
          </cell>
          <cell r="M439" t="str">
            <v>DIR NORMAS PROPIAS</v>
          </cell>
          <cell r="N439" t="str">
            <v>GRADO I.2</v>
          </cell>
          <cell r="O439" t="str">
            <v>MAGISTER</v>
          </cell>
          <cell r="P439" t="str">
            <v>MAGISTER EN DERECHO</v>
          </cell>
          <cell r="Q439" t="str">
            <v>TALCA</v>
          </cell>
          <cell r="R439" t="str">
            <v>CONTRALORÍA UNIVERSITARIA</v>
          </cell>
          <cell r="S439" t="str">
            <v>CONTRALORÍA UNIVERSITARIA</v>
          </cell>
        </row>
        <row r="440">
          <cell r="A440">
            <v>13028560</v>
          </cell>
          <cell r="B440" t="str">
            <v>13028560</v>
          </cell>
          <cell r="C440" t="str">
            <v>0</v>
          </cell>
          <cell r="D440" t="str">
            <v>ROCK FUENZALIDA RAFAEL ROBERTO</v>
          </cell>
          <cell r="E440" t="str">
            <v/>
          </cell>
          <cell r="F440">
            <v>44</v>
          </cell>
          <cell r="G440">
            <v>30</v>
          </cell>
          <cell r="H440" t="str">
            <v>RAROCK@UTALCA.CL</v>
          </cell>
          <cell r="I440">
            <v>45047</v>
          </cell>
          <cell r="J440">
            <v>46387</v>
          </cell>
          <cell r="K440" t="str">
            <v>CONTRATA</v>
          </cell>
          <cell r="L440" t="str">
            <v>PROFESIONAL</v>
          </cell>
          <cell r="M440" t="str">
            <v>PROFESIONAL</v>
          </cell>
          <cell r="N440" t="str">
            <v>GRADO I.17</v>
          </cell>
          <cell r="O440" t="str">
            <v>MAGISTER</v>
          </cell>
          <cell r="P440" t="str">
            <v>MASTER OF ENVIRONMENTAL BUSINESS ADMINISTRATI</v>
          </cell>
          <cell r="Q440" t="str">
            <v>TALCA</v>
          </cell>
          <cell r="R440" t="str">
            <v>VICERRECTORÍA ACADÉMICA</v>
          </cell>
          <cell r="S440" t="str">
            <v>UNIDAD DE GESTIÓN DE PROYECTOS TRANSVERS</v>
          </cell>
        </row>
        <row r="441">
          <cell r="A441">
            <v>13030683</v>
          </cell>
          <cell r="B441" t="str">
            <v>13030683</v>
          </cell>
          <cell r="C441" t="str">
            <v>7</v>
          </cell>
          <cell r="D441" t="str">
            <v>JIMENEZ PAVEZ JUAN PAULO</v>
          </cell>
          <cell r="E441" t="str">
            <v>FED310009</v>
          </cell>
          <cell r="F441">
            <v>44</v>
          </cell>
          <cell r="G441">
            <v>30</v>
          </cell>
          <cell r="H441" t="str">
            <v>JUAN.JIMENEZ@UTALCA.CL</v>
          </cell>
          <cell r="I441">
            <v>44835</v>
          </cell>
          <cell r="J441">
            <v>2958465</v>
          </cell>
          <cell r="K441" t="str">
            <v>PLANTA</v>
          </cell>
          <cell r="L441" t="str">
            <v>CA ORDINARIA</v>
          </cell>
          <cell r="M441" t="str">
            <v>PROFESOR ASISTENTE</v>
          </cell>
          <cell r="N441" t="str">
            <v>GRADO C</v>
          </cell>
          <cell r="O441" t="str">
            <v>DOCTORADO</v>
          </cell>
          <cell r="P441" t="str">
            <v>DOCTOR OF PHILOSOPHY IN SCIENCIE EDUCATION</v>
          </cell>
          <cell r="Q441" t="str">
            <v>LINARES</v>
          </cell>
          <cell r="R441" t="str">
            <v>FACULTAD DE CIENCIAS DE LA EDUCACIÓN</v>
          </cell>
          <cell r="S441" t="str">
            <v>ESC. PDG.CIENCIAS NATURALES Y EXACTAS</v>
          </cell>
        </row>
        <row r="442">
          <cell r="A442">
            <v>13033592</v>
          </cell>
          <cell r="B442" t="str">
            <v>13033592</v>
          </cell>
          <cell r="C442" t="str">
            <v>6</v>
          </cell>
          <cell r="D442" t="str">
            <v>RAMOS ALVARADO NADIA AMIRA</v>
          </cell>
          <cell r="E442" t="str">
            <v>FPS200001</v>
          </cell>
          <cell r="F442">
            <v>44</v>
          </cell>
          <cell r="G442">
            <v>30</v>
          </cell>
          <cell r="H442" t="str">
            <v>NRAMOS@UTALCA.CL</v>
          </cell>
          <cell r="I442">
            <v>38047</v>
          </cell>
          <cell r="J442">
            <v>2958465</v>
          </cell>
          <cell r="K442" t="str">
            <v>PLANTA</v>
          </cell>
          <cell r="L442" t="str">
            <v>CA DE LA PROFESIÓN</v>
          </cell>
          <cell r="M442" t="str">
            <v>PROFESOR ASOCIADO</v>
          </cell>
          <cell r="N442" t="str">
            <v>GRADO B</v>
          </cell>
          <cell r="O442" t="str">
            <v>DOCTORADO</v>
          </cell>
          <cell r="P442" t="str">
            <v>DOCTOR EN PSICOLOGIA APLICADA</v>
          </cell>
          <cell r="Q442" t="str">
            <v>TALCA</v>
          </cell>
          <cell r="R442" t="str">
            <v>FACULTAD DE PSICOLOGÍA</v>
          </cell>
          <cell r="S442" t="str">
            <v>FACULTAD DE PSICOLOGÍA</v>
          </cell>
        </row>
        <row r="443">
          <cell r="A443">
            <v>13048453</v>
          </cell>
          <cell r="B443" t="str">
            <v>13048453</v>
          </cell>
          <cell r="C443" t="str">
            <v>0</v>
          </cell>
          <cell r="D443" t="str">
            <v>ACOSTA ANTOGNONI HEDY CAROLINA</v>
          </cell>
          <cell r="E443" t="str">
            <v>FPS200001</v>
          </cell>
          <cell r="F443">
            <v>44</v>
          </cell>
          <cell r="G443">
            <v>30</v>
          </cell>
          <cell r="H443" t="str">
            <v>HACOSTA@UTALCA.CL</v>
          </cell>
          <cell r="I443">
            <v>43282</v>
          </cell>
          <cell r="J443">
            <v>2958465</v>
          </cell>
          <cell r="K443" t="str">
            <v>PLANTA</v>
          </cell>
          <cell r="L443" t="str">
            <v>CA ORDINARIA</v>
          </cell>
          <cell r="M443" t="str">
            <v>PROFESOR ASISTENTE</v>
          </cell>
          <cell r="N443" t="str">
            <v>GRADO C</v>
          </cell>
          <cell r="O443" t="str">
            <v>DOCTORADO</v>
          </cell>
          <cell r="P443" t="str">
            <v>DOCTORA EN PSICOLOGÍA DEL TRABAJO DE LAS ORGA</v>
          </cell>
          <cell r="Q443" t="str">
            <v>TALCA</v>
          </cell>
          <cell r="R443" t="str">
            <v>FACULTAD DE PSICOLOGÍA</v>
          </cell>
          <cell r="S443" t="str">
            <v>FACULTAD DE PSICOLOGÍA</v>
          </cell>
        </row>
        <row r="444">
          <cell r="A444">
            <v>13059096</v>
          </cell>
          <cell r="B444" t="str">
            <v>13059096</v>
          </cell>
          <cell r="C444" t="str">
            <v>9</v>
          </cell>
          <cell r="D444" t="str">
            <v>GAETE EASTMAN CARLOS FELIPE</v>
          </cell>
          <cell r="E444" t="str">
            <v>ICB300001</v>
          </cell>
          <cell r="F444">
            <v>44</v>
          </cell>
          <cell r="G444">
            <v>30</v>
          </cell>
          <cell r="H444" t="str">
            <v>CGAETE@UTALCA.CL</v>
          </cell>
          <cell r="I444">
            <v>40269</v>
          </cell>
          <cell r="J444">
            <v>46446</v>
          </cell>
          <cell r="K444" t="str">
            <v>CONTRATA</v>
          </cell>
          <cell r="L444" t="str">
            <v>CA DOCENTE</v>
          </cell>
          <cell r="M444" t="str">
            <v>PROFESOR ASISTENTE</v>
          </cell>
          <cell r="N444" t="str">
            <v>GRADO C</v>
          </cell>
          <cell r="O444" t="str">
            <v>DOCTORADO</v>
          </cell>
          <cell r="P444" t="str">
            <v>DOCTOR EN CIENCIA CON MENCION EN INGENIERIA V</v>
          </cell>
          <cell r="Q444" t="str">
            <v>TALCA</v>
          </cell>
          <cell r="R444" t="str">
            <v>INSTITUTO DE CIENCIAS BIOLÓGICAS</v>
          </cell>
          <cell r="S444" t="str">
            <v>INSTITUTO DE CIENCIAS BIOLÓGICAS</v>
          </cell>
        </row>
        <row r="445">
          <cell r="A445">
            <v>13069157</v>
          </cell>
          <cell r="B445" t="str">
            <v>13069157</v>
          </cell>
          <cell r="C445" t="str">
            <v>9</v>
          </cell>
          <cell r="D445" t="str">
            <v>REYES CORNEJO ANDRES DARIO</v>
          </cell>
          <cell r="E445" t="str">
            <v>VGE400056</v>
          </cell>
          <cell r="F445">
            <v>44</v>
          </cell>
          <cell r="G445">
            <v>30</v>
          </cell>
          <cell r="H445" t="str">
            <v>AREYES@UTALCA.CL</v>
          </cell>
          <cell r="I445">
            <v>38173</v>
          </cell>
          <cell r="J445">
            <v>2958465</v>
          </cell>
          <cell r="K445" t="str">
            <v>PLANTA</v>
          </cell>
          <cell r="L445" t="str">
            <v>PROFESIONAL</v>
          </cell>
          <cell r="M445" t="str">
            <v>PROFESIONAL</v>
          </cell>
          <cell r="N445" t="str">
            <v>GRADO I.17</v>
          </cell>
          <cell r="O445" t="str">
            <v>TÍTULO PROFESIONAL</v>
          </cell>
          <cell r="P445" t="str">
            <v>INGENIERO DE EJECUCIÓN EN COMPUTACIÓN E INFOR</v>
          </cell>
          <cell r="Q445" t="str">
            <v>TALCA</v>
          </cell>
          <cell r="R445" t="str">
            <v>VIC. GESTIÓN ECONÓMICA Y ADMINISTRACIÓN</v>
          </cell>
          <cell r="S445" t="str">
            <v>DEPARTAMENTO DE SISTEMAS</v>
          </cell>
        </row>
        <row r="446">
          <cell r="A446">
            <v>13077406</v>
          </cell>
          <cell r="B446" t="str">
            <v>13077406</v>
          </cell>
          <cell r="C446" t="str">
            <v>7</v>
          </cell>
          <cell r="D446" t="str">
            <v>ABACA CASTILLO ELSA PAULINA</v>
          </cell>
          <cell r="E446" t="str">
            <v>FCS320002</v>
          </cell>
          <cell r="F446">
            <v>44</v>
          </cell>
          <cell r="G446">
            <v>30</v>
          </cell>
          <cell r="H446" t="str">
            <v>PABACA@UTALCA.CL</v>
          </cell>
          <cell r="I446">
            <v>36586</v>
          </cell>
          <cell r="J446">
            <v>46446</v>
          </cell>
          <cell r="K446" t="str">
            <v>CONTRATA</v>
          </cell>
          <cell r="L446" t="str">
            <v>CA DOCENTE</v>
          </cell>
          <cell r="M446" t="str">
            <v>INSTRUCTOR</v>
          </cell>
          <cell r="N446" t="str">
            <v>GRADO D</v>
          </cell>
          <cell r="O446" t="str">
            <v>MAGISTER</v>
          </cell>
          <cell r="P446" t="str">
            <v>MAGÍSTER EN CIENCIAS DE LA NUTRICIÓN CON MENC</v>
          </cell>
          <cell r="Q446" t="str">
            <v>TALCA</v>
          </cell>
          <cell r="R446" t="str">
            <v>FACULTAD DE CIENCIAS DE LA SALUD</v>
          </cell>
          <cell r="S446" t="str">
            <v>DEPARTAMENTO DE MICROBIOLOGÍA</v>
          </cell>
        </row>
        <row r="447">
          <cell r="A447">
            <v>13089547</v>
          </cell>
          <cell r="B447" t="str">
            <v>13089547</v>
          </cell>
          <cell r="C447" t="str">
            <v>6</v>
          </cell>
          <cell r="D447" t="str">
            <v>ROJAS ROBLES MAURICIO ANDRES</v>
          </cell>
          <cell r="E447" t="str">
            <v>VRF400006</v>
          </cell>
          <cell r="F447">
            <v>44</v>
          </cell>
          <cell r="G447">
            <v>30</v>
          </cell>
          <cell r="H447" t="str">
            <v>MAURICIO.ROJASR@UTALCA.CL</v>
          </cell>
          <cell r="I447">
            <v>44986</v>
          </cell>
          <cell r="J447">
            <v>46387</v>
          </cell>
          <cell r="K447" t="str">
            <v>CONTRATA</v>
          </cell>
          <cell r="L447" t="str">
            <v>PROFESIONAL</v>
          </cell>
          <cell r="M447" t="str">
            <v>PROFESIONAL</v>
          </cell>
          <cell r="N447" t="str">
            <v>GRADO I.17</v>
          </cell>
          <cell r="O447" t="str">
            <v>TÍTULO PROFESIONAL</v>
          </cell>
          <cell r="P447" t="str">
            <v>PROFESOR DE EDUCACION FISICA</v>
          </cell>
          <cell r="Q447" t="str">
            <v>SANTIAGO</v>
          </cell>
          <cell r="R447" t="str">
            <v>VICERRECTORÍA DE FORMACIÓN</v>
          </cell>
          <cell r="S447" t="str">
            <v>PROGRAMA DE DEPORTES</v>
          </cell>
        </row>
        <row r="448">
          <cell r="A448">
            <v>13101242</v>
          </cell>
          <cell r="B448" t="str">
            <v>13101242</v>
          </cell>
          <cell r="C448" t="str">
            <v>K</v>
          </cell>
          <cell r="D448" t="str">
            <v>AVACA ROJAS CLAUDIA FRANCISCA</v>
          </cell>
          <cell r="E448" t="str">
            <v>ADC014002</v>
          </cell>
          <cell r="F448">
            <v>44</v>
          </cell>
          <cell r="G448">
            <v>30</v>
          </cell>
          <cell r="H448" t="str">
            <v>CAVACA@UTALCA.CL</v>
          </cell>
          <cell r="I448">
            <v>38818</v>
          </cell>
          <cell r="J448">
            <v>2958465</v>
          </cell>
          <cell r="K448" t="str">
            <v>PLANTA</v>
          </cell>
          <cell r="L448" t="str">
            <v>ADMINISTRATIVO</v>
          </cell>
          <cell r="M448" t="str">
            <v>ADMINISTRATIVO</v>
          </cell>
          <cell r="N448" t="str">
            <v>GRADO I.19</v>
          </cell>
          <cell r="O448" t="str">
            <v>TÉC. NIVEL MEDIO</v>
          </cell>
          <cell r="P448" t="str">
            <v>CONTADOR</v>
          </cell>
          <cell r="Q448" t="str">
            <v>TALCA</v>
          </cell>
          <cell r="R448" t="str">
            <v>SECRETARÍA GENERAL</v>
          </cell>
          <cell r="S448" t="str">
            <v>DEPARTAMENTO DE REGISTRO ACADÉMICO</v>
          </cell>
        </row>
        <row r="449">
          <cell r="A449">
            <v>13101304</v>
          </cell>
          <cell r="B449" t="str">
            <v>13101304</v>
          </cell>
          <cell r="C449" t="str">
            <v>3</v>
          </cell>
          <cell r="D449" t="str">
            <v>PEREZ HERRERA PATRICIA IVONNE</v>
          </cell>
          <cell r="E449" t="str">
            <v>FCJ200001</v>
          </cell>
          <cell r="F449">
            <v>44</v>
          </cell>
          <cell r="G449">
            <v>30</v>
          </cell>
          <cell r="H449" t="str">
            <v>PPEREZ@UTALCA.CL</v>
          </cell>
          <cell r="I449">
            <v>43466</v>
          </cell>
          <cell r="J449">
            <v>46387</v>
          </cell>
          <cell r="K449" t="str">
            <v>CONTRATA</v>
          </cell>
          <cell r="L449" t="str">
            <v>ADMINISTRATIVO</v>
          </cell>
          <cell r="M449" t="str">
            <v>ADMINISTRATIVO</v>
          </cell>
          <cell r="N449" t="str">
            <v>GRADO I.21</v>
          </cell>
          <cell r="O449" t="str">
            <v>TÉC. NIVEL SUPERIOR</v>
          </cell>
          <cell r="P449" t="str">
            <v>TÉCNICO EN ENFERMERÍA</v>
          </cell>
          <cell r="Q449" t="str">
            <v>TALCA</v>
          </cell>
          <cell r="R449" t="str">
            <v>FACULTAD CIENCIAS JURÍDICAS Y SOCIALES</v>
          </cell>
          <cell r="S449" t="str">
            <v>FACULTAD CIENCIAS JURÍDICAS Y SOCIALES</v>
          </cell>
        </row>
        <row r="450">
          <cell r="A450">
            <v>13101435</v>
          </cell>
          <cell r="B450" t="str">
            <v>13101435</v>
          </cell>
          <cell r="C450" t="str">
            <v>K</v>
          </cell>
          <cell r="D450" t="str">
            <v>MUÑOZ BECERRA JEANNETTE CRISTI</v>
          </cell>
          <cell r="E450" t="str">
            <v>VGE400020</v>
          </cell>
          <cell r="F450">
            <v>44</v>
          </cell>
          <cell r="G450">
            <v>30</v>
          </cell>
          <cell r="H450" t="str">
            <v>JEAMUNOZ@UTALCA.CL</v>
          </cell>
          <cell r="I450">
            <v>43466</v>
          </cell>
          <cell r="J450">
            <v>46387</v>
          </cell>
          <cell r="K450" t="str">
            <v>CONTRATA</v>
          </cell>
          <cell r="L450" t="str">
            <v>ADMINISTRATIVO</v>
          </cell>
          <cell r="M450" t="str">
            <v>ADMINISTRATIVO</v>
          </cell>
          <cell r="N450" t="str">
            <v>GRADO I.21</v>
          </cell>
          <cell r="O450" t="str">
            <v>TÉC. NIVEL SUPERIOR</v>
          </cell>
          <cell r="P450" t="str">
            <v>SECRETARIADO EJECUTIVO MENCIÓN CONTABILIDAD</v>
          </cell>
          <cell r="Q450" t="str">
            <v>TALCA</v>
          </cell>
          <cell r="R450" t="str">
            <v>VIC. GESTIÓN ECONÓMICA Y ADMINISTRACIÓN</v>
          </cell>
          <cell r="S450" t="str">
            <v>DEPARTAMENTO DE TESORERÍA</v>
          </cell>
        </row>
        <row r="451">
          <cell r="A451">
            <v>13101802</v>
          </cell>
          <cell r="B451" t="str">
            <v>13101802</v>
          </cell>
          <cell r="C451" t="str">
            <v>9</v>
          </cell>
          <cell r="D451" t="str">
            <v>OSORIO NEIRA GUSTAVO ANDRES</v>
          </cell>
          <cell r="E451" t="str">
            <v>VGE400009</v>
          </cell>
          <cell r="F451">
            <v>44</v>
          </cell>
          <cell r="G451">
            <v>30</v>
          </cell>
          <cell r="H451" t="str">
            <v>GOSORIO@UTALCA.CL</v>
          </cell>
          <cell r="I451">
            <v>45089</v>
          </cell>
          <cell r="J451">
            <v>2958465</v>
          </cell>
          <cell r="K451" t="str">
            <v>PLANTA</v>
          </cell>
          <cell r="L451" t="str">
            <v>DIR EXCLU. CONFIANZA</v>
          </cell>
          <cell r="M451" t="str">
            <v>DIR EXCLU. CONFIANZA</v>
          </cell>
          <cell r="N451" t="str">
            <v>GRADO I.5</v>
          </cell>
          <cell r="O451" t="str">
            <v>TÍTULO PROFESIONAL</v>
          </cell>
          <cell r="P451" t="str">
            <v>INGENIERO CIVIL INDUSTRIAL</v>
          </cell>
          <cell r="Q451" t="str">
            <v>TALCA</v>
          </cell>
          <cell r="R451" t="str">
            <v>VIC. GESTIÓN ECONÓMICA Y ADMINISTRACIÓN</v>
          </cell>
          <cell r="S451" t="str">
            <v>DRCCIÓN. TECNOLOGÍAS DE LA INFORMACIÓN</v>
          </cell>
        </row>
        <row r="452">
          <cell r="A452">
            <v>13122439</v>
          </cell>
          <cell r="B452" t="str">
            <v>13122439</v>
          </cell>
          <cell r="C452" t="str">
            <v>7</v>
          </cell>
          <cell r="D452" t="str">
            <v>GOMEZ ARISMENDI PATRICIO RODRI</v>
          </cell>
          <cell r="E452" t="str">
            <v>ADC040001</v>
          </cell>
          <cell r="F452">
            <v>44</v>
          </cell>
          <cell r="G452">
            <v>30</v>
          </cell>
          <cell r="H452" t="str">
            <v>PGOMEZ@UTALCA.CL</v>
          </cell>
          <cell r="I452">
            <v>38327</v>
          </cell>
          <cell r="J452">
            <v>2958465</v>
          </cell>
          <cell r="K452" t="str">
            <v>PLANTA</v>
          </cell>
          <cell r="L452" t="str">
            <v>CONFERENCIANTE</v>
          </cell>
          <cell r="M452" t="str">
            <v>DIR EXCLU. CONFIANZA</v>
          </cell>
          <cell r="N452" t="str">
            <v>GRADO I.5</v>
          </cell>
          <cell r="O452" t="str">
            <v>TÍTULO PROFESIONAL</v>
          </cell>
          <cell r="P452" t="str">
            <v>INGENIERO AGRONOMO</v>
          </cell>
          <cell r="Q452" t="str">
            <v>COLCHAGUA</v>
          </cell>
          <cell r="R452" t="str">
            <v>DIRECCIÓN DE SEDE SANTA CRUZ</v>
          </cell>
          <cell r="S452" t="str">
            <v>DIRECCIÓN DE SEDE SANTA CRUZ</v>
          </cell>
        </row>
        <row r="453">
          <cell r="A453">
            <v>13137660</v>
          </cell>
          <cell r="B453" t="str">
            <v>13137660</v>
          </cell>
          <cell r="C453" t="str">
            <v>K</v>
          </cell>
          <cell r="D453" t="str">
            <v>ASTUDILLO HERNANDEZ CESAR ALEJ</v>
          </cell>
          <cell r="E453" t="str">
            <v>FCI320003</v>
          </cell>
          <cell r="F453">
            <v>44</v>
          </cell>
          <cell r="G453">
            <v>30</v>
          </cell>
          <cell r="H453" t="str">
            <v>CASTUDILLO@UTALCA.CL</v>
          </cell>
          <cell r="I453">
            <v>37622</v>
          </cell>
          <cell r="J453">
            <v>2958465</v>
          </cell>
          <cell r="K453" t="str">
            <v>PLANTA</v>
          </cell>
          <cell r="L453" t="str">
            <v>CA ORDINARIA</v>
          </cell>
          <cell r="M453" t="str">
            <v>PROFESOR ASISTENTE</v>
          </cell>
          <cell r="N453" t="str">
            <v>GRADO C</v>
          </cell>
          <cell r="O453" t="str">
            <v>DOCTORADO</v>
          </cell>
          <cell r="P453" t="str">
            <v>DOCTOR OF PHILOSOPHY COMPUTER SCIENCE</v>
          </cell>
          <cell r="Q453" t="str">
            <v>CURICO</v>
          </cell>
          <cell r="R453" t="str">
            <v>FACULTAD DE INGENIERÍA</v>
          </cell>
          <cell r="S453" t="str">
            <v>DPTO. DE CIENCIAS DE LA COMPUTACIÓN</v>
          </cell>
        </row>
        <row r="454">
          <cell r="A454">
            <v>13143572</v>
          </cell>
          <cell r="B454" t="str">
            <v>13143572</v>
          </cell>
          <cell r="C454" t="str">
            <v>K</v>
          </cell>
          <cell r="D454" t="str">
            <v>SANTOS SANTANA CRISTIAN ROBERT</v>
          </cell>
          <cell r="E454" t="str">
            <v>VRF400004</v>
          </cell>
          <cell r="F454">
            <v>44</v>
          </cell>
          <cell r="G454">
            <v>30</v>
          </cell>
          <cell r="H454" t="str">
            <v>CSANTOS@UTALCA.CL</v>
          </cell>
          <cell r="I454">
            <v>39083</v>
          </cell>
          <cell r="J454">
            <v>46446</v>
          </cell>
          <cell r="K454" t="str">
            <v>CONTRATA</v>
          </cell>
          <cell r="L454" t="str">
            <v>CA DOCENTE</v>
          </cell>
          <cell r="M454" t="str">
            <v>PROFESOR ASISTENTE</v>
          </cell>
          <cell r="N454" t="str">
            <v>GRADO C</v>
          </cell>
          <cell r="O454" t="str">
            <v>MAGISTER</v>
          </cell>
          <cell r="P454" t="str">
            <v>MAGÍSTER EN EDUCACIÓN FÍSICA CON MENCIÓN EN A</v>
          </cell>
          <cell r="Q454" t="str">
            <v>TALCA</v>
          </cell>
          <cell r="R454" t="str">
            <v>DIRECCIÓN DE PREGRADO</v>
          </cell>
          <cell r="S454" t="str">
            <v>PROGRAMA DE DEPORTES</v>
          </cell>
        </row>
        <row r="455">
          <cell r="A455">
            <v>13143626</v>
          </cell>
          <cell r="B455" t="str">
            <v>13143626</v>
          </cell>
          <cell r="C455" t="str">
            <v>2</v>
          </cell>
          <cell r="D455" t="str">
            <v>FLORES GARCIA MARCOS ALEXIS</v>
          </cell>
          <cell r="E455" t="str">
            <v>FCA320002</v>
          </cell>
          <cell r="F455">
            <v>44</v>
          </cell>
          <cell r="G455">
            <v>30</v>
          </cell>
          <cell r="H455" t="str">
            <v>MARCOS.FLORES@UTALCA.CL</v>
          </cell>
          <cell r="I455">
            <v>44986</v>
          </cell>
          <cell r="J455">
            <v>46137</v>
          </cell>
          <cell r="K455" t="str">
            <v>PLANTA</v>
          </cell>
          <cell r="L455" t="str">
            <v>CA ORDINARIA</v>
          </cell>
          <cell r="M455" t="str">
            <v>PROFESOR ASISTENTE</v>
          </cell>
          <cell r="N455" t="str">
            <v>GRADO C</v>
          </cell>
          <cell r="O455" t="str">
            <v>DOCTORADO</v>
          </cell>
          <cell r="P455" t="str">
            <v>DOCTOR EN CIENCIAS CON MENCION EN QUIMICA</v>
          </cell>
          <cell r="Q455" t="str">
            <v>TALCA</v>
          </cell>
          <cell r="R455" t="str">
            <v>FACULTAD DE CIENCIAS AGRARIAS</v>
          </cell>
          <cell r="S455" t="str">
            <v>DEPARTAMENTO DE HORTICULTURA</v>
          </cell>
        </row>
        <row r="456">
          <cell r="A456">
            <v>13151816</v>
          </cell>
          <cell r="B456" t="str">
            <v>13151816</v>
          </cell>
          <cell r="C456" t="str">
            <v>1</v>
          </cell>
          <cell r="D456" t="str">
            <v>SAN MARTIN MELLA ALEJANDRO ENR</v>
          </cell>
          <cell r="E456" t="str">
            <v>VRF400043</v>
          </cell>
          <cell r="F456">
            <v>44</v>
          </cell>
          <cell r="G456">
            <v>30</v>
          </cell>
          <cell r="H456" t="str">
            <v>ALSANMARTIN@UTALCA.CL</v>
          </cell>
          <cell r="I456">
            <v>39814</v>
          </cell>
          <cell r="J456">
            <v>46387</v>
          </cell>
          <cell r="K456" t="str">
            <v>CONTRATA</v>
          </cell>
          <cell r="L456" t="str">
            <v>TÉCNICO</v>
          </cell>
          <cell r="M456" t="str">
            <v>TÉCNICO</v>
          </cell>
          <cell r="N456" t="str">
            <v>GRADO I.21</v>
          </cell>
          <cell r="O456" t="str">
            <v>TÍTULO PROFESIONAL</v>
          </cell>
          <cell r="P456" t="str">
            <v>INGENIERO DE EJECUCIÓN EN INFORMÁTICA</v>
          </cell>
          <cell r="Q456" t="str">
            <v>TALCA</v>
          </cell>
          <cell r="R456" t="str">
            <v>VICERRECTORÍA DE FORMACIÓN</v>
          </cell>
          <cell r="S456" t="str">
            <v>DPTO. DE GESTIÓN DE INFORM. ESTUDIANTIL</v>
          </cell>
        </row>
        <row r="457">
          <cell r="A457">
            <v>13191306</v>
          </cell>
          <cell r="B457" t="str">
            <v>13191306</v>
          </cell>
          <cell r="C457" t="str">
            <v>0</v>
          </cell>
          <cell r="D457" t="str">
            <v>RIVEROS FERRADA CLAUDIO JAVIER</v>
          </cell>
          <cell r="E457" t="str">
            <v>FCJ310004</v>
          </cell>
          <cell r="F457">
            <v>44</v>
          </cell>
          <cell r="G457">
            <v>30</v>
          </cell>
          <cell r="H457" t="str">
            <v>CLRIVEROS@UTALCA.CL</v>
          </cell>
          <cell r="I457">
            <v>43160</v>
          </cell>
          <cell r="J457">
            <v>46446</v>
          </cell>
          <cell r="K457" t="str">
            <v>CONTRATA</v>
          </cell>
          <cell r="L457" t="str">
            <v>CA DOCENTE</v>
          </cell>
          <cell r="M457" t="str">
            <v>PROFESOR ASISTENTE</v>
          </cell>
          <cell r="N457" t="str">
            <v>GRADO C</v>
          </cell>
          <cell r="O457" t="str">
            <v>DOCTORADO</v>
          </cell>
          <cell r="P457" t="str">
            <v>DOCTOR EN SOCIOLOGIA</v>
          </cell>
          <cell r="Q457" t="str">
            <v>TALCA</v>
          </cell>
          <cell r="R457" t="str">
            <v>FACULTAD CIENCIAS JURÍDICAS Y SOCIALES</v>
          </cell>
          <cell r="S457" t="str">
            <v>ESC. CNCIA. POLÍTICA Y ADMÓN. PÚBLICA TA</v>
          </cell>
        </row>
        <row r="458">
          <cell r="A458">
            <v>13204962</v>
          </cell>
          <cell r="B458" t="str">
            <v>13204962</v>
          </cell>
          <cell r="C458" t="str">
            <v>9</v>
          </cell>
          <cell r="D458" t="str">
            <v>ROJAS ARROYO MARIBEL ANDREA</v>
          </cell>
          <cell r="E458" t="str">
            <v/>
          </cell>
          <cell r="F458">
            <v>44</v>
          </cell>
          <cell r="G458">
            <v>30</v>
          </cell>
          <cell r="H458" t="str">
            <v>MAROJAS@UTALCA.CL</v>
          </cell>
          <cell r="I458">
            <v>44927</v>
          </cell>
          <cell r="J458">
            <v>46387</v>
          </cell>
          <cell r="K458" t="str">
            <v>CONTRATA</v>
          </cell>
          <cell r="L458" t="str">
            <v>PROFESIONAL</v>
          </cell>
          <cell r="M458" t="str">
            <v>PROFESIONAL</v>
          </cell>
          <cell r="N458" t="str">
            <v>GRADO I.17</v>
          </cell>
          <cell r="O458" t="str">
            <v>TÍTULO PROFESIONAL</v>
          </cell>
          <cell r="P458" t="str">
            <v>INGENIERO AGRONOMO</v>
          </cell>
          <cell r="Q458" t="str">
            <v>TALCA</v>
          </cell>
          <cell r="R458" t="str">
            <v>FACULTAD DE CIENCIAS AGRARÍAS</v>
          </cell>
          <cell r="S458" t="str">
            <v>CENTRO TECNOLÓGICO DE LA VID Y EL VINO</v>
          </cell>
        </row>
        <row r="459">
          <cell r="A459">
            <v>13206803</v>
          </cell>
          <cell r="B459" t="str">
            <v>13206803</v>
          </cell>
          <cell r="C459" t="str">
            <v>8</v>
          </cell>
          <cell r="D459" t="str">
            <v>DOIZI SAN MARTIN BEATRIZ ALEJA</v>
          </cell>
          <cell r="E459" t="str">
            <v>VRF400009</v>
          </cell>
          <cell r="F459">
            <v>22</v>
          </cell>
          <cell r="G459">
            <v>30</v>
          </cell>
          <cell r="H459" t="str">
            <v>BDOIZI@UTALCA.CL</v>
          </cell>
          <cell r="I459">
            <v>44424</v>
          </cell>
          <cell r="J459">
            <v>46446</v>
          </cell>
          <cell r="K459" t="str">
            <v>CONTRATA</v>
          </cell>
          <cell r="L459" t="str">
            <v>CA DOCENTE</v>
          </cell>
          <cell r="M459" t="str">
            <v>INSTRUCTOR</v>
          </cell>
          <cell r="N459" t="str">
            <v>GRADO D</v>
          </cell>
          <cell r="O459" t="str">
            <v>MAGISTER</v>
          </cell>
          <cell r="P459" t="str">
            <v>MAGISTER EN ARTES</v>
          </cell>
          <cell r="Q459" t="str">
            <v>TALCA</v>
          </cell>
          <cell r="R459" t="str">
            <v>DIRECCIÓN DE PREGRADO</v>
          </cell>
          <cell r="S459" t="str">
            <v>PROGRAMA DE FORMACIÓN FUNDAMENTAL</v>
          </cell>
        </row>
        <row r="460">
          <cell r="A460">
            <v>13207851</v>
          </cell>
          <cell r="B460" t="str">
            <v>13207851</v>
          </cell>
          <cell r="C460" t="str">
            <v>3</v>
          </cell>
          <cell r="D460" t="str">
            <v>HERNANDEZ ESPINOZA DIOGENES AN</v>
          </cell>
          <cell r="E460" t="str">
            <v>FCI320004</v>
          </cell>
          <cell r="F460">
            <v>44</v>
          </cell>
          <cell r="G460">
            <v>30</v>
          </cell>
          <cell r="H460" t="str">
            <v>DHERNANDEZ@UTALCA.CL</v>
          </cell>
          <cell r="I460">
            <v>39176</v>
          </cell>
          <cell r="J460">
            <v>46776</v>
          </cell>
          <cell r="K460" t="str">
            <v>PLANTA</v>
          </cell>
          <cell r="L460" t="str">
            <v>CA ORDINARIA</v>
          </cell>
          <cell r="M460" t="str">
            <v>PROFESOR ASISTENTE</v>
          </cell>
          <cell r="N460" t="str">
            <v>GRADO C</v>
          </cell>
          <cell r="O460" t="str">
            <v>DOCTORADO</v>
          </cell>
          <cell r="P460" t="str">
            <v>DOCTOR EN CIENCIA Y TECNOLOGÍA AMBIENTALES</v>
          </cell>
          <cell r="Q460" t="str">
            <v>CURICO</v>
          </cell>
          <cell r="R460" t="str">
            <v>FACULTAD DE INGENIERÍA</v>
          </cell>
          <cell r="S460" t="str">
            <v>DEPARTAMENTO DE TECNOLOGÍA INDUSTRIALES</v>
          </cell>
        </row>
        <row r="461">
          <cell r="A461">
            <v>13227265</v>
          </cell>
          <cell r="B461" t="str">
            <v>13227265</v>
          </cell>
          <cell r="C461" t="str">
            <v>4</v>
          </cell>
          <cell r="D461" t="str">
            <v>GALLARDO CUADRA ISMAEL ENRIQUE</v>
          </cell>
          <cell r="E461" t="str">
            <v>FPS200001</v>
          </cell>
          <cell r="F461">
            <v>44</v>
          </cell>
          <cell r="G461">
            <v>30</v>
          </cell>
          <cell r="H461" t="str">
            <v>IGALLARDO@UTALCA.CL</v>
          </cell>
          <cell r="I461">
            <v>38873</v>
          </cell>
          <cell r="J461">
            <v>2958465</v>
          </cell>
          <cell r="K461" t="str">
            <v>PLANTA</v>
          </cell>
          <cell r="L461" t="str">
            <v>CA ORDINARIA</v>
          </cell>
          <cell r="M461" t="str">
            <v>PROFESOR TITULAR</v>
          </cell>
          <cell r="N461" t="str">
            <v>GRADO A</v>
          </cell>
          <cell r="O461" t="str">
            <v>DOCTORADO</v>
          </cell>
          <cell r="P461" t="str">
            <v>DOCTOR EN PSICOLOGÌA</v>
          </cell>
          <cell r="Q461" t="str">
            <v>TALCA</v>
          </cell>
          <cell r="R461" t="str">
            <v>FACULTAD DE PSICOLOGÍA</v>
          </cell>
          <cell r="S461" t="str">
            <v>FACULTAD DE PSICOLOGÍA</v>
          </cell>
        </row>
        <row r="462">
          <cell r="A462">
            <v>13235099</v>
          </cell>
          <cell r="B462" t="str">
            <v>13235099</v>
          </cell>
          <cell r="C462" t="str">
            <v>K</v>
          </cell>
          <cell r="D462" t="str">
            <v>CAMPOS URIBE VICTOR ANTONIO</v>
          </cell>
          <cell r="E462" t="str">
            <v>VRF400005</v>
          </cell>
          <cell r="F462">
            <v>44</v>
          </cell>
          <cell r="G462">
            <v>30</v>
          </cell>
          <cell r="H462" t="str">
            <v>VICAMPOS@UTALCA.CL</v>
          </cell>
          <cell r="I462">
            <v>42583</v>
          </cell>
          <cell r="J462">
            <v>46446</v>
          </cell>
          <cell r="K462" t="str">
            <v>CONTRATA</v>
          </cell>
          <cell r="L462" t="str">
            <v>CA DOCENTE</v>
          </cell>
          <cell r="M462" t="str">
            <v>PROFESOR ASISTENTE</v>
          </cell>
          <cell r="N462" t="str">
            <v>GRADO C</v>
          </cell>
          <cell r="O462" t="str">
            <v>MAGISTER</v>
          </cell>
          <cell r="P462" t="str">
            <v>MAGÍSTER EN CS. DE LA SALUD Y EL DEPORTE, M.</v>
          </cell>
          <cell r="Q462" t="str">
            <v>TALCA</v>
          </cell>
          <cell r="R462" t="str">
            <v>DIRECCIÓN DE PREGRADO</v>
          </cell>
          <cell r="S462" t="str">
            <v>PROGRAMA DE DEPORTES</v>
          </cell>
        </row>
        <row r="463">
          <cell r="A463">
            <v>13252480</v>
          </cell>
          <cell r="B463" t="str">
            <v>13252480</v>
          </cell>
          <cell r="C463" t="str">
            <v>7</v>
          </cell>
          <cell r="D463" t="str">
            <v>ZUÑIGA ALEGRIA BLANCA MARIA LU</v>
          </cell>
          <cell r="E463" t="str">
            <v>FAD310001</v>
          </cell>
          <cell r="F463">
            <v>44</v>
          </cell>
          <cell r="G463">
            <v>30</v>
          </cell>
          <cell r="H463" t="str">
            <v>BZUNIGA@UTALCA.CL</v>
          </cell>
          <cell r="I463">
            <v>36647</v>
          </cell>
          <cell r="J463">
            <v>2958465</v>
          </cell>
          <cell r="K463" t="str">
            <v>PLANTA</v>
          </cell>
          <cell r="L463" t="str">
            <v>CA ORDINARIA</v>
          </cell>
          <cell r="M463" t="str">
            <v>PROFESOR ASISTENTE</v>
          </cell>
          <cell r="N463" t="str">
            <v>GRADO C</v>
          </cell>
          <cell r="O463" t="str">
            <v>DOCTORADO</v>
          </cell>
          <cell r="P463" t="str">
            <v>DOCTORA EN CULTURA Y EDUACACIÓN EN AMERICA LA</v>
          </cell>
          <cell r="Q463" t="str">
            <v>TALCA</v>
          </cell>
          <cell r="R463" t="str">
            <v>FACULTAD DE ARQUITECTUR, MÚSICA Y DISEÑO</v>
          </cell>
          <cell r="S463" t="str">
            <v>ESCUELA DE ARQUITECTURA</v>
          </cell>
        </row>
        <row r="464">
          <cell r="A464">
            <v>13273034</v>
          </cell>
          <cell r="B464" t="str">
            <v>13273034</v>
          </cell>
          <cell r="C464" t="str">
            <v>2</v>
          </cell>
          <cell r="D464" t="str">
            <v>VALDIVIESO CLEN PEDRO PABLO</v>
          </cell>
          <cell r="E464" t="str">
            <v>ADC021001</v>
          </cell>
          <cell r="F464">
            <v>44</v>
          </cell>
          <cell r="G464">
            <v>30</v>
          </cell>
          <cell r="H464" t="str">
            <v>PVALDIVIESO@UTALCA.CL</v>
          </cell>
          <cell r="I464">
            <v>43466</v>
          </cell>
          <cell r="J464">
            <v>46387</v>
          </cell>
          <cell r="K464" t="str">
            <v>CONTRATA</v>
          </cell>
          <cell r="L464" t="str">
            <v>PROFESIONAL</v>
          </cell>
          <cell r="M464" t="str">
            <v>PROFESIONAL</v>
          </cell>
          <cell r="N464" t="str">
            <v>GRADO I.17</v>
          </cell>
          <cell r="O464" t="str">
            <v>TÍTULO PROFESIONAL</v>
          </cell>
          <cell r="P464" t="str">
            <v>ADMINISTRADOR</v>
          </cell>
          <cell r="Q464" t="str">
            <v>TALCA</v>
          </cell>
          <cell r="R464" t="str">
            <v>DIRECCIÓN DE COMUNICACIONES CORPORATIVAS</v>
          </cell>
          <cell r="S464" t="str">
            <v>DIRECCIÓN DE COMUNICACIONES CORPORATIVAS</v>
          </cell>
        </row>
        <row r="465">
          <cell r="A465">
            <v>13278731</v>
          </cell>
          <cell r="B465" t="str">
            <v>13278731</v>
          </cell>
          <cell r="C465" t="str">
            <v>K</v>
          </cell>
          <cell r="D465" t="str">
            <v>ROBLEROS MENESES CAROLINA ALEJ</v>
          </cell>
          <cell r="E465" t="str">
            <v>FAD320005</v>
          </cell>
          <cell r="F465">
            <v>44</v>
          </cell>
          <cell r="G465">
            <v>30</v>
          </cell>
          <cell r="H465" t="str">
            <v>CROBLEROS@UTALCA.CL</v>
          </cell>
          <cell r="I465">
            <v>43325</v>
          </cell>
          <cell r="J465">
            <v>46446</v>
          </cell>
          <cell r="K465" t="str">
            <v>CONTRATA</v>
          </cell>
          <cell r="L465" t="str">
            <v>CA DE LA PROFESIÓN</v>
          </cell>
          <cell r="M465" t="str">
            <v>PROFESOR ASOCIADO</v>
          </cell>
          <cell r="N465" t="str">
            <v>GRADO B</v>
          </cell>
          <cell r="O465" t="str">
            <v>MAGISTER</v>
          </cell>
          <cell r="P465" t="str">
            <v>MAGÍSTER EN PEDAGOGÍA UNIVERSITARIA</v>
          </cell>
          <cell r="Q465" t="str">
            <v>TALCA</v>
          </cell>
          <cell r="R465" t="str">
            <v>FACULTAD DE ARQUITECTUR, MÚSICA Y DISEÑO</v>
          </cell>
          <cell r="S465" t="str">
            <v>DEPTO. DE INTERP. Y FORM. MUSICAL ESPEC.</v>
          </cell>
        </row>
        <row r="466">
          <cell r="A466">
            <v>13289648</v>
          </cell>
          <cell r="B466" t="str">
            <v>13289648</v>
          </cell>
          <cell r="C466" t="str">
            <v>8</v>
          </cell>
          <cell r="D466" t="str">
            <v>BRIONES MARTINEZ LUCIA MAGDALE</v>
          </cell>
          <cell r="E466" t="str">
            <v>ICB300001</v>
          </cell>
          <cell r="F466">
            <v>44</v>
          </cell>
          <cell r="G466">
            <v>30</v>
          </cell>
          <cell r="H466" t="str">
            <v>LBRIONES@UTALCA.CL</v>
          </cell>
          <cell r="I466">
            <v>43101</v>
          </cell>
          <cell r="J466">
            <v>46387</v>
          </cell>
          <cell r="K466" t="str">
            <v>CONTRATA</v>
          </cell>
          <cell r="L466" t="str">
            <v>ADMINISTRATIVO</v>
          </cell>
          <cell r="M466" t="str">
            <v>ADMINISTRATIVO</v>
          </cell>
          <cell r="N466" t="str">
            <v>GRADO I.21</v>
          </cell>
          <cell r="O466" t="str">
            <v>TÉC. NIVEL SUPERIOR</v>
          </cell>
          <cell r="P466" t="str">
            <v>ADMINISTRACION DE PREDIOS AGRICOLAS MENCION F</v>
          </cell>
          <cell r="Q466" t="str">
            <v>TALCA</v>
          </cell>
          <cell r="R466" t="str">
            <v>INSTITUTO DE CIENCIAS BIOLÓGICAS</v>
          </cell>
          <cell r="S466" t="str">
            <v>INSTITUTO DE CIENCIAS BIOLÓGICAS</v>
          </cell>
        </row>
        <row r="467">
          <cell r="A467">
            <v>13304000</v>
          </cell>
          <cell r="B467" t="str">
            <v>13304000</v>
          </cell>
          <cell r="C467" t="str">
            <v>5</v>
          </cell>
          <cell r="D467" t="str">
            <v>LAGOS SALVATIERRA DIEGO EDUARD</v>
          </cell>
          <cell r="E467" t="str">
            <v>FCI320002</v>
          </cell>
          <cell r="F467">
            <v>44</v>
          </cell>
          <cell r="G467">
            <v>30</v>
          </cell>
          <cell r="H467" t="str">
            <v>DLAGOS@UTALCA.CL</v>
          </cell>
          <cell r="I467">
            <v>40238</v>
          </cell>
          <cell r="J467">
            <v>46446</v>
          </cell>
          <cell r="K467" t="str">
            <v>CONTRATA</v>
          </cell>
          <cell r="L467" t="str">
            <v>CA DOCENTE</v>
          </cell>
          <cell r="M467" t="str">
            <v>PROFESOR ASISTENTE</v>
          </cell>
          <cell r="N467" t="str">
            <v>GRADO C</v>
          </cell>
          <cell r="O467" t="str">
            <v>MAGISTER</v>
          </cell>
          <cell r="P467" t="str">
            <v>MAGISTER EN GESTIÓN EMPRESARIAL</v>
          </cell>
          <cell r="Q467" t="str">
            <v>CURICO</v>
          </cell>
          <cell r="R467" t="str">
            <v>FACULTAD DE INGENIERÍA</v>
          </cell>
          <cell r="S467" t="str">
            <v>DEPARTAMENTO DE INGENIERÍA INDUSTRIAL</v>
          </cell>
        </row>
        <row r="468">
          <cell r="A468">
            <v>13304478</v>
          </cell>
          <cell r="B468" t="str">
            <v>13304478</v>
          </cell>
          <cell r="C468" t="str">
            <v>7</v>
          </cell>
          <cell r="D468" t="str">
            <v>PAREDES MONTECINO DANIEL</v>
          </cell>
          <cell r="E468" t="str">
            <v>VGE400020</v>
          </cell>
          <cell r="F468">
            <v>44</v>
          </cell>
          <cell r="G468">
            <v>30</v>
          </cell>
          <cell r="H468" t="str">
            <v>DANIEL.PAREDES@UTALCA.CL</v>
          </cell>
          <cell r="I468">
            <v>44562</v>
          </cell>
          <cell r="J468">
            <v>46387</v>
          </cell>
          <cell r="K468" t="str">
            <v>CONTRATA</v>
          </cell>
          <cell r="L468" t="str">
            <v>PROFESIONAL</v>
          </cell>
          <cell r="M468" t="str">
            <v>PROFESIONAL</v>
          </cell>
          <cell r="N468" t="str">
            <v>GRADO I.17</v>
          </cell>
          <cell r="O468" t="str">
            <v>TÍTULO PROFESIONAL</v>
          </cell>
          <cell r="P468" t="str">
            <v>INGENIERO EN GESTIÓN INFORMÁTICA</v>
          </cell>
          <cell r="Q468" t="str">
            <v>TALCA</v>
          </cell>
          <cell r="R468" t="str">
            <v>VIC. GESTIÓN ECONÓMICA Y ADMINISTRACIÓN</v>
          </cell>
          <cell r="S468" t="str">
            <v>DEPARTAMENTO DE TESORERÍA</v>
          </cell>
        </row>
        <row r="469">
          <cell r="A469">
            <v>13304573</v>
          </cell>
          <cell r="B469" t="str">
            <v>13304573</v>
          </cell>
          <cell r="C469" t="str">
            <v>2</v>
          </cell>
          <cell r="D469" t="str">
            <v>ROJAS HERRERA JOSE MANUEL</v>
          </cell>
          <cell r="E469" t="str">
            <v>FCI320004</v>
          </cell>
          <cell r="F469">
            <v>44</v>
          </cell>
          <cell r="G469">
            <v>30</v>
          </cell>
          <cell r="H469" t="str">
            <v>JOROJAS@UTALCA.CL</v>
          </cell>
          <cell r="I469">
            <v>42795</v>
          </cell>
          <cell r="J469">
            <v>46446</v>
          </cell>
          <cell r="K469" t="str">
            <v>CONTRATA</v>
          </cell>
          <cell r="L469" t="str">
            <v>CA DOCENTE</v>
          </cell>
          <cell r="M469" t="str">
            <v>INSTRUCTOR</v>
          </cell>
          <cell r="N469" t="str">
            <v>GRADO D</v>
          </cell>
          <cell r="O469" t="str">
            <v>MAGISTER</v>
          </cell>
          <cell r="P469" t="str">
            <v>MAGISTER EN EDUCACION DE LAS CIENCIAS CON MEN</v>
          </cell>
          <cell r="Q469" t="str">
            <v>CURICO</v>
          </cell>
          <cell r="R469" t="str">
            <v>FACULTAD DE INGENIERÍA</v>
          </cell>
          <cell r="S469" t="str">
            <v>DEPARTAMENTO DE TECNOLOGÍA INDUSTRIALES</v>
          </cell>
        </row>
        <row r="470">
          <cell r="A470">
            <v>13304935</v>
          </cell>
          <cell r="B470" t="str">
            <v>13304935</v>
          </cell>
          <cell r="C470" t="str">
            <v>5</v>
          </cell>
          <cell r="D470" t="str">
            <v>CONTARDO JARA MARIA SUSANA</v>
          </cell>
          <cell r="E470" t="str">
            <v>FOD200001</v>
          </cell>
          <cell r="F470">
            <v>16</v>
          </cell>
          <cell r="G470">
            <v>30</v>
          </cell>
          <cell r="H470" t="str">
            <v>MCONTARDO@UTALCA.CL</v>
          </cell>
          <cell r="I470">
            <v>38777</v>
          </cell>
          <cell r="J470">
            <v>46387</v>
          </cell>
          <cell r="K470" t="str">
            <v>CONTRATA</v>
          </cell>
          <cell r="L470" t="str">
            <v>C ESPECIALES</v>
          </cell>
          <cell r="M470" t="str">
            <v>TUTOR(A) PRÁCTICA</v>
          </cell>
          <cell r="N470" t="str">
            <v>SIN GRADO</v>
          </cell>
          <cell r="O470" t="str">
            <v>MAGISTER</v>
          </cell>
          <cell r="P470" t="str">
            <v>MAGISTER EN CIENCIAS BIOMEDICAS</v>
          </cell>
          <cell r="Q470" t="str">
            <v>TALCA</v>
          </cell>
          <cell r="R470" t="str">
            <v>FACULTAD DE ODONTOLOGÍA</v>
          </cell>
          <cell r="S470" t="str">
            <v>FACULTAD DE ODONTOLOGÍA</v>
          </cell>
        </row>
        <row r="471">
          <cell r="A471">
            <v>13305261</v>
          </cell>
          <cell r="B471" t="str">
            <v>13305261</v>
          </cell>
          <cell r="C471" t="str">
            <v>5</v>
          </cell>
          <cell r="D471" t="str">
            <v>ROJAS SALAMANCA CLAUDIO ALBERT</v>
          </cell>
          <cell r="E471" t="str">
            <v>VGE400020</v>
          </cell>
          <cell r="F471">
            <v>44</v>
          </cell>
          <cell r="G471">
            <v>30</v>
          </cell>
          <cell r="H471" t="str">
            <v>CAROJAS@UTALCA.CL</v>
          </cell>
          <cell r="I471">
            <v>38103</v>
          </cell>
          <cell r="J471">
            <v>2958465</v>
          </cell>
          <cell r="K471" t="str">
            <v>PLANTA</v>
          </cell>
          <cell r="L471" t="str">
            <v>ADMINISTRATIVO</v>
          </cell>
          <cell r="M471" t="str">
            <v>ADMINISTRATIVO</v>
          </cell>
          <cell r="N471" t="str">
            <v>GRADO I.20</v>
          </cell>
          <cell r="O471" t="str">
            <v>TÉC. NIVEL MEDIO</v>
          </cell>
          <cell r="P471" t="str">
            <v>CONTADOR</v>
          </cell>
          <cell r="Q471" t="str">
            <v>TALCA</v>
          </cell>
          <cell r="R471" t="str">
            <v>VIC. GESTIÓN ECONÓMICA Y ADMINISTRACIÓN</v>
          </cell>
          <cell r="S471" t="str">
            <v>DEPARTAMENTO DE TESORERÍA</v>
          </cell>
        </row>
        <row r="472">
          <cell r="A472">
            <v>13305460</v>
          </cell>
          <cell r="B472" t="str">
            <v>13305460</v>
          </cell>
          <cell r="C472" t="str">
            <v>K</v>
          </cell>
          <cell r="D472" t="str">
            <v>TORO OPAZO CARLA VALESKA</v>
          </cell>
          <cell r="E472" t="str">
            <v>FCS320001</v>
          </cell>
          <cell r="F472">
            <v>44</v>
          </cell>
          <cell r="G472">
            <v>30</v>
          </cell>
          <cell r="H472" t="str">
            <v>CTORO@UTALCA.CL</v>
          </cell>
          <cell r="I472">
            <v>38777</v>
          </cell>
          <cell r="J472">
            <v>46446</v>
          </cell>
          <cell r="K472" t="str">
            <v>CONTRATA</v>
          </cell>
          <cell r="L472" t="str">
            <v>CA DOCENTE</v>
          </cell>
          <cell r="M472" t="str">
            <v>INSTRUCTOR</v>
          </cell>
          <cell r="N472" t="str">
            <v>GRADO D</v>
          </cell>
          <cell r="O472" t="str">
            <v>MAGISTER</v>
          </cell>
          <cell r="P472" t="str">
            <v>MAGISTER EN CIENCIAS BIOMEDICAS MENCION: BIOQ</v>
          </cell>
          <cell r="Q472" t="str">
            <v>TALCA</v>
          </cell>
          <cell r="R472" t="str">
            <v>FACULTAD DE CIENCIAS DE LA SALUD</v>
          </cell>
          <cell r="S472" t="str">
            <v>DPTO. BIOQUÍM. CLÍN. E INMUNOHEMATOLOGÍA</v>
          </cell>
        </row>
        <row r="473">
          <cell r="A473">
            <v>13305519</v>
          </cell>
          <cell r="B473" t="str">
            <v>13305519</v>
          </cell>
          <cell r="C473" t="str">
            <v>3</v>
          </cell>
          <cell r="D473" t="str">
            <v>POBLETE ROJAS CARLA ELENA</v>
          </cell>
          <cell r="E473" t="str">
            <v>VGE400021</v>
          </cell>
          <cell r="F473">
            <v>44</v>
          </cell>
          <cell r="G473">
            <v>30</v>
          </cell>
          <cell r="H473" t="str">
            <v>CAPOBLETE@UTALCA.CL</v>
          </cell>
          <cell r="I473">
            <v>42095</v>
          </cell>
          <cell r="J473">
            <v>2958465</v>
          </cell>
          <cell r="K473" t="str">
            <v>PLANTA</v>
          </cell>
          <cell r="L473" t="str">
            <v>ADMINISTRATIVO</v>
          </cell>
          <cell r="M473" t="str">
            <v>ADMINISTRATIVO</v>
          </cell>
          <cell r="N473" t="str">
            <v>GRADO I.19</v>
          </cell>
          <cell r="O473" t="str">
            <v>TÍTULO PROFESIONAL</v>
          </cell>
          <cell r="P473" t="str">
            <v>CONTADOR AUDITOR</v>
          </cell>
          <cell r="Q473" t="str">
            <v>TALCA</v>
          </cell>
          <cell r="R473" t="str">
            <v>VIC. GESTIÓN ECONÓMICA Y ADMINISTRACIÓN</v>
          </cell>
          <cell r="S473" t="str">
            <v>DEPARTAMENTO DE PRESUPUESTO</v>
          </cell>
        </row>
        <row r="474">
          <cell r="A474">
            <v>13306128</v>
          </cell>
          <cell r="B474" t="str">
            <v>13306128</v>
          </cell>
          <cell r="C474" t="str">
            <v>2</v>
          </cell>
          <cell r="D474" t="str">
            <v>BRANGIER PEÑAILILLO VICTOR MAU</v>
          </cell>
          <cell r="E474" t="str">
            <v>IAM300001</v>
          </cell>
          <cell r="F474">
            <v>44</v>
          </cell>
          <cell r="G474">
            <v>30</v>
          </cell>
          <cell r="H474" t="str">
            <v>VICTOR.BRANGIER@UTALCA.CL</v>
          </cell>
          <cell r="I474">
            <v>44621</v>
          </cell>
          <cell r="J474">
            <v>2958465</v>
          </cell>
          <cell r="K474" t="str">
            <v>PLANTA</v>
          </cell>
          <cell r="L474" t="str">
            <v>CA ORDINARIA</v>
          </cell>
          <cell r="M474" t="str">
            <v>PROFESOR ASOCIADO</v>
          </cell>
          <cell r="N474" t="str">
            <v>GRADO B</v>
          </cell>
          <cell r="O474" t="str">
            <v>DOCTORADO</v>
          </cell>
          <cell r="P474" t="str">
            <v>DOCTOR EN HISTORIA MENCION EN HISTORIA DE CHI</v>
          </cell>
          <cell r="Q474" t="str">
            <v>TALCA</v>
          </cell>
          <cell r="R474" t="str">
            <v>INST. ESTUDIOS HUMANÍSTICOS ABATE J.I.M.</v>
          </cell>
          <cell r="S474" t="str">
            <v>INST. ESTUDIOS HUMANÍSTICOS ABATE J.I.M.</v>
          </cell>
        </row>
        <row r="475">
          <cell r="A475">
            <v>13313407</v>
          </cell>
          <cell r="B475" t="str">
            <v>13313407</v>
          </cell>
          <cell r="C475" t="str">
            <v>7</v>
          </cell>
          <cell r="D475" t="str">
            <v>RUIZ RODRIGUEZ ANDREA PAULINA</v>
          </cell>
          <cell r="E475" t="str">
            <v>FOD200001</v>
          </cell>
          <cell r="F475">
            <v>17</v>
          </cell>
          <cell r="G475">
            <v>30</v>
          </cell>
          <cell r="H475" t="str">
            <v>ARUIZ@UTALCA.CL</v>
          </cell>
          <cell r="I475">
            <v>38777</v>
          </cell>
          <cell r="J475">
            <v>46387</v>
          </cell>
          <cell r="K475" t="str">
            <v>CONTRATA</v>
          </cell>
          <cell r="L475" t="str">
            <v>C ESPECIALES</v>
          </cell>
          <cell r="M475" t="str">
            <v>TUTOR(A) PRÁCTICA</v>
          </cell>
          <cell r="N475" t="str">
            <v>SIN GRADO</v>
          </cell>
          <cell r="O475" t="str">
            <v>MAGISTER</v>
          </cell>
          <cell r="P475" t="str">
            <v>MASTER EN ARMONIZACION OROFACIAL</v>
          </cell>
          <cell r="Q475" t="str">
            <v>TALCA</v>
          </cell>
          <cell r="R475" t="str">
            <v>FACULTAD DE ODONTOLOGÍA</v>
          </cell>
          <cell r="S475" t="str">
            <v>FACULTAD DE ODONTOLOGÍA</v>
          </cell>
        </row>
        <row r="476">
          <cell r="A476">
            <v>13328472</v>
          </cell>
          <cell r="B476" t="str">
            <v>13328472</v>
          </cell>
          <cell r="C476" t="str">
            <v>9</v>
          </cell>
          <cell r="D476" t="str">
            <v>LEYTON ALVAREZ MAXIMILIANO ALE</v>
          </cell>
          <cell r="E476" t="str">
            <v>IMF300001</v>
          </cell>
          <cell r="F476">
            <v>44</v>
          </cell>
          <cell r="G476">
            <v>30</v>
          </cell>
          <cell r="H476" t="str">
            <v>MLEYTON@UTALCA.CL</v>
          </cell>
          <cell r="I476">
            <v>41061</v>
          </cell>
          <cell r="J476">
            <v>2958465</v>
          </cell>
          <cell r="K476" t="str">
            <v>PLANTA</v>
          </cell>
          <cell r="L476" t="str">
            <v>CA ORDINARIA</v>
          </cell>
          <cell r="M476" t="str">
            <v>PROFESOR ASOCIADO</v>
          </cell>
          <cell r="N476" t="str">
            <v>GRADO B</v>
          </cell>
          <cell r="O476" t="str">
            <v>DOCTORADO</v>
          </cell>
          <cell r="P476" t="str">
            <v>DOCTEUR SPÉCIALITÉ MATHEMATIQUES</v>
          </cell>
          <cell r="Q476" t="str">
            <v>TALCA</v>
          </cell>
          <cell r="R476" t="str">
            <v>INSTITUTO DE MATEMÁTICAS</v>
          </cell>
          <cell r="S476" t="str">
            <v>INSTITUTO DE MATEMÁTICAS</v>
          </cell>
        </row>
        <row r="477">
          <cell r="A477">
            <v>13335727</v>
          </cell>
          <cell r="B477" t="str">
            <v>13335727</v>
          </cell>
          <cell r="C477" t="str">
            <v>0</v>
          </cell>
          <cell r="D477" t="str">
            <v>SPENCER CONTRERAS ROSARIO ELEN</v>
          </cell>
          <cell r="E477" t="str">
            <v>FPS200001</v>
          </cell>
          <cell r="F477">
            <v>44</v>
          </cell>
          <cell r="G477">
            <v>30</v>
          </cell>
          <cell r="H477" t="str">
            <v>RSPENCER@UTALCA.CL</v>
          </cell>
          <cell r="I477">
            <v>40298</v>
          </cell>
          <cell r="J477">
            <v>2958465</v>
          </cell>
          <cell r="K477" t="str">
            <v>PLANTA</v>
          </cell>
          <cell r="L477" t="str">
            <v>CA ORDINARIA</v>
          </cell>
          <cell r="M477" t="str">
            <v>PROFESOR ASOCIADO</v>
          </cell>
          <cell r="N477" t="str">
            <v>GRADO B</v>
          </cell>
          <cell r="O477" t="str">
            <v>DOCTORADO</v>
          </cell>
          <cell r="P477" t="str">
            <v>DOCTORAT SPECIALITE PSYCHOLOGIE</v>
          </cell>
          <cell r="Q477" t="str">
            <v>TALCA</v>
          </cell>
          <cell r="R477" t="str">
            <v>FACULTAD DE PSICOLOGÍA</v>
          </cell>
          <cell r="S477" t="str">
            <v>FACULTAD DE PSICOLOGÍA</v>
          </cell>
        </row>
        <row r="478">
          <cell r="A478">
            <v>13350400</v>
          </cell>
          <cell r="B478" t="str">
            <v>13350400</v>
          </cell>
          <cell r="C478" t="str">
            <v>1</v>
          </cell>
          <cell r="D478" t="str">
            <v>BECERRA NARVAEZ VERONICA ADELI</v>
          </cell>
          <cell r="E478" t="str">
            <v>FCI310007</v>
          </cell>
          <cell r="F478">
            <v>44</v>
          </cell>
          <cell r="G478">
            <v>30</v>
          </cell>
          <cell r="H478" t="str">
            <v>VERONICA.BECERRA@UTALCA.CL</v>
          </cell>
          <cell r="I478">
            <v>44197</v>
          </cell>
          <cell r="J478">
            <v>46387</v>
          </cell>
          <cell r="K478" t="str">
            <v>CONTRATA</v>
          </cell>
          <cell r="L478" t="str">
            <v>ADMINISTRATIVO</v>
          </cell>
          <cell r="M478" t="str">
            <v>ADMINISTRATIVO</v>
          </cell>
          <cell r="N478" t="str">
            <v>GRADO I.21</v>
          </cell>
          <cell r="O478" t="str">
            <v>ESCOLARIDAD CIENT HU</v>
          </cell>
          <cell r="P478" t="str">
            <v>LICENCIA ENSEÑANZA MEDIA</v>
          </cell>
          <cell r="Q478" t="str">
            <v>CURICO</v>
          </cell>
          <cell r="R478" t="str">
            <v>FACULTAD DE INGENIERÍA</v>
          </cell>
          <cell r="S478" t="str">
            <v>ESC. INGENIERÍA CIVIL EN OBRAS CIVILES</v>
          </cell>
        </row>
        <row r="479">
          <cell r="A479">
            <v>13351755</v>
          </cell>
          <cell r="B479" t="str">
            <v>13351755</v>
          </cell>
          <cell r="C479" t="str">
            <v>3</v>
          </cell>
          <cell r="D479" t="str">
            <v>ROJAS RAMIREZ SANDRA GRICEL</v>
          </cell>
          <cell r="E479" t="str">
            <v>FCI310001</v>
          </cell>
          <cell r="F479">
            <v>44</v>
          </cell>
          <cell r="G479">
            <v>30</v>
          </cell>
          <cell r="H479" t="str">
            <v>SANROJAS@UTALCA.CL</v>
          </cell>
          <cell r="I479">
            <v>42370</v>
          </cell>
          <cell r="J479">
            <v>2958465</v>
          </cell>
          <cell r="K479" t="str">
            <v>PLANTA</v>
          </cell>
          <cell r="L479" t="str">
            <v>ADMINISTRATIVO</v>
          </cell>
          <cell r="M479" t="str">
            <v>ADMINISTRATIVO</v>
          </cell>
          <cell r="N479" t="str">
            <v>GRADO I.20</v>
          </cell>
          <cell r="O479" t="str">
            <v>TÍTULO PROFESIONAL</v>
          </cell>
          <cell r="P479" t="str">
            <v>PROFESOR DE EDUCACIÓN TÉCNICO-PROFESIONAL</v>
          </cell>
          <cell r="Q479" t="str">
            <v>CURICO</v>
          </cell>
          <cell r="R479" t="str">
            <v>FACULTAD DE INGENIERÍA</v>
          </cell>
          <cell r="S479" t="str">
            <v>ESCUELA DE INGENIERÍA CIVIL INDUSTRIAL</v>
          </cell>
        </row>
        <row r="480">
          <cell r="A480">
            <v>13351794</v>
          </cell>
          <cell r="B480" t="str">
            <v>13351794</v>
          </cell>
          <cell r="C480" t="str">
            <v>4</v>
          </cell>
          <cell r="D480" t="str">
            <v>GAJARDO BETANCOUR MARISELLA PA</v>
          </cell>
          <cell r="E480" t="str">
            <v>VGE400052</v>
          </cell>
          <cell r="F480">
            <v>44</v>
          </cell>
          <cell r="G480">
            <v>30</v>
          </cell>
          <cell r="H480" t="str">
            <v>MARISELLA.GAJARDO@UTALCA.CL</v>
          </cell>
          <cell r="I480">
            <v>43647</v>
          </cell>
          <cell r="J480">
            <v>2958465</v>
          </cell>
          <cell r="K480" t="str">
            <v>PLANTA</v>
          </cell>
          <cell r="L480" t="str">
            <v>DIR EXCLU. CONFIANZA</v>
          </cell>
          <cell r="M480" t="str">
            <v>DIR EXCLU. CONFIANZA</v>
          </cell>
          <cell r="N480" t="str">
            <v>GRADO I.3</v>
          </cell>
          <cell r="O480" t="str">
            <v>TÍTULO PROFESIONAL</v>
          </cell>
          <cell r="P480" t="str">
            <v>ABOGADA</v>
          </cell>
          <cell r="Q480" t="str">
            <v>TALCA</v>
          </cell>
          <cell r="R480" t="str">
            <v>VIC. GESTIÓN ECONÓMICA Y ADMINISTRACIÓN</v>
          </cell>
          <cell r="S480" t="str">
            <v>DIRECCIÓN DE PERSONAS</v>
          </cell>
        </row>
        <row r="481">
          <cell r="A481">
            <v>13369361</v>
          </cell>
          <cell r="B481" t="str">
            <v>13369361</v>
          </cell>
          <cell r="C481" t="str">
            <v>0</v>
          </cell>
          <cell r="D481" t="str">
            <v>DONOSO MARTINEZ FRANCISCO ANTO</v>
          </cell>
          <cell r="E481" t="str">
            <v>FOD320003</v>
          </cell>
          <cell r="F481">
            <v>22</v>
          </cell>
          <cell r="G481">
            <v>30</v>
          </cell>
          <cell r="H481" t="str">
            <v>FDONOSO@UTALCA.CL</v>
          </cell>
          <cell r="I481">
            <v>44470</v>
          </cell>
          <cell r="J481">
            <v>46446</v>
          </cell>
          <cell r="K481" t="str">
            <v>CONTRATA</v>
          </cell>
          <cell r="L481" t="str">
            <v>CA DE LA PROFESIÓN</v>
          </cell>
          <cell r="M481" t="str">
            <v>INSTRUCTOR</v>
          </cell>
          <cell r="N481" t="str">
            <v>GRADO D</v>
          </cell>
          <cell r="O481" t="str">
            <v>MAGISTER</v>
          </cell>
          <cell r="P481" t="str">
            <v>MAGISTER EN ODONTOLOGIA</v>
          </cell>
          <cell r="Q481" t="str">
            <v>TALCA</v>
          </cell>
          <cell r="R481" t="str">
            <v>FACULTAD DE ODONTOLOGÍA</v>
          </cell>
          <cell r="S481" t="str">
            <v>DEPARTAMENTO DE PEDIATRÍA ESTOMATOLÓGICA</v>
          </cell>
        </row>
        <row r="482">
          <cell r="A482">
            <v>13370626</v>
          </cell>
          <cell r="B482" t="str">
            <v>13370626</v>
          </cell>
          <cell r="C482" t="str">
            <v>7</v>
          </cell>
          <cell r="D482" t="str">
            <v>VILLAR FAUNDES CECILIA DEL CAR</v>
          </cell>
          <cell r="E482" t="str">
            <v>VRF400009</v>
          </cell>
          <cell r="F482">
            <v>44</v>
          </cell>
          <cell r="G482">
            <v>30</v>
          </cell>
          <cell r="H482" t="str">
            <v>CEVILLAR@UTALCA.CL</v>
          </cell>
          <cell r="I482">
            <v>41275</v>
          </cell>
          <cell r="J482">
            <v>46446</v>
          </cell>
          <cell r="K482" t="str">
            <v>CONTRATA</v>
          </cell>
          <cell r="L482" t="str">
            <v>CA DOCENTE</v>
          </cell>
          <cell r="M482" t="str">
            <v>INSTRUCTOR</v>
          </cell>
          <cell r="N482" t="str">
            <v>GRADO D</v>
          </cell>
          <cell r="O482" t="str">
            <v>MAGISTER</v>
          </cell>
          <cell r="P482" t="str">
            <v>MAGISTER EN EDUCACION MENCION EN CURRICULUM Y</v>
          </cell>
          <cell r="Q482" t="str">
            <v>TALCA</v>
          </cell>
          <cell r="R482" t="str">
            <v>DIRECCIÓN DE PREGRADO</v>
          </cell>
          <cell r="S482" t="str">
            <v>PROGRAMA DE FORMACIÓN FUNDAMENTAL</v>
          </cell>
        </row>
        <row r="483">
          <cell r="A483">
            <v>13371939</v>
          </cell>
          <cell r="B483" t="str">
            <v>13371939</v>
          </cell>
          <cell r="C483" t="str">
            <v>3</v>
          </cell>
          <cell r="D483" t="str">
            <v>ALBORNOZ VERDUGO MARIA ELIANA</v>
          </cell>
          <cell r="E483" t="str">
            <v>FCS320007</v>
          </cell>
          <cell r="F483">
            <v>44</v>
          </cell>
          <cell r="G483">
            <v>30</v>
          </cell>
          <cell r="H483" t="str">
            <v>MEALBORNOZ@UTALCA.CL</v>
          </cell>
          <cell r="I483">
            <v>39083</v>
          </cell>
          <cell r="J483">
            <v>46446</v>
          </cell>
          <cell r="K483" t="str">
            <v>CONTRATA</v>
          </cell>
          <cell r="L483" t="str">
            <v>CA DOCENTE</v>
          </cell>
          <cell r="M483" t="str">
            <v>INSTRUCTOR</v>
          </cell>
          <cell r="N483" t="str">
            <v>GRADO D</v>
          </cell>
          <cell r="O483" t="str">
            <v>MAGISTER</v>
          </cell>
          <cell r="P483" t="str">
            <v>MAGÍSTER EN CIENCIAS CON MENCIÓN EN FISIOLOGÍ</v>
          </cell>
          <cell r="Q483" t="str">
            <v>TALCA</v>
          </cell>
          <cell r="R483" t="str">
            <v>FACULTAD DE CIENCIAS DE LA SALUD</v>
          </cell>
          <cell r="S483" t="str">
            <v>DPTO. DE CIENCIAS BÁSICAS BIOMÉDICAS</v>
          </cell>
        </row>
        <row r="484">
          <cell r="A484">
            <v>13377307</v>
          </cell>
          <cell r="B484" t="str">
            <v>13377307</v>
          </cell>
          <cell r="C484" t="str">
            <v>K</v>
          </cell>
          <cell r="D484" t="str">
            <v>RODRIGUEZ JAQUE CLAUDIA PAMELA</v>
          </cell>
          <cell r="E484" t="str">
            <v>FOD320001</v>
          </cell>
          <cell r="F484">
            <v>33</v>
          </cell>
          <cell r="G484">
            <v>30</v>
          </cell>
          <cell r="H484" t="str">
            <v>CRODRIGUEZ@UTALCA.CL</v>
          </cell>
          <cell r="I484">
            <v>38777</v>
          </cell>
          <cell r="J484">
            <v>46387</v>
          </cell>
          <cell r="K484" t="str">
            <v>CONTRATA</v>
          </cell>
          <cell r="L484" t="str">
            <v>CA DOCENTE</v>
          </cell>
          <cell r="M484" t="str">
            <v>INSTRUCTOR</v>
          </cell>
          <cell r="N484" t="str">
            <v>GRADO D</v>
          </cell>
          <cell r="O484" t="str">
            <v>ESPECIAL. ODONTOLÓG.</v>
          </cell>
          <cell r="P484" t="str">
            <v>ESPECIALISTA EN REHABILITACIÓN ORAL</v>
          </cell>
          <cell r="Q484" t="str">
            <v>TALCA</v>
          </cell>
          <cell r="R484" t="str">
            <v>FACULTAD DE ODONTOLOGÍA</v>
          </cell>
          <cell r="S484" t="str">
            <v>DPTO. REHABILITACIÓN BUCO-MAXILOFACIAL</v>
          </cell>
        </row>
        <row r="485">
          <cell r="A485">
            <v>13385423</v>
          </cell>
          <cell r="B485" t="str">
            <v>13385423</v>
          </cell>
          <cell r="C485" t="str">
            <v>1</v>
          </cell>
          <cell r="D485" t="str">
            <v>YAÑEZ STEGMAIER LISBET ANDREA</v>
          </cell>
          <cell r="E485" t="str">
            <v>VAC400062</v>
          </cell>
          <cell r="F485">
            <v>44</v>
          </cell>
          <cell r="G485">
            <v>30</v>
          </cell>
          <cell r="H485" t="str">
            <v>LYANEZ@UTALCA.CL</v>
          </cell>
          <cell r="I485">
            <v>40179</v>
          </cell>
          <cell r="J485">
            <v>46387</v>
          </cell>
          <cell r="K485" t="str">
            <v>CONTRATA</v>
          </cell>
          <cell r="L485" t="str">
            <v>PROFESIONAL</v>
          </cell>
          <cell r="M485" t="str">
            <v>PROFESIONAL</v>
          </cell>
          <cell r="N485" t="str">
            <v>GRADO I.17</v>
          </cell>
          <cell r="O485" t="str">
            <v>MAGISTER</v>
          </cell>
          <cell r="P485" t="str">
            <v>MAGISTER EN EDUCACIÓN BASADA EN COMPETENCIAS</v>
          </cell>
          <cell r="Q485" t="str">
            <v>TALCA</v>
          </cell>
          <cell r="R485" t="str">
            <v>VICERRECTORÍA ACADÉMICA</v>
          </cell>
          <cell r="S485" t="str">
            <v>UNIDAD DE COOPERACIÓN INTERNACIONAL</v>
          </cell>
        </row>
        <row r="486">
          <cell r="A486">
            <v>13389579</v>
          </cell>
          <cell r="B486" t="str">
            <v>13389579</v>
          </cell>
          <cell r="C486" t="str">
            <v>5</v>
          </cell>
          <cell r="D486" t="str">
            <v>TORRES BRAVO LEYLA DANAE</v>
          </cell>
          <cell r="E486" t="str">
            <v>IAM300001</v>
          </cell>
          <cell r="F486">
            <v>44</v>
          </cell>
          <cell r="G486">
            <v>30</v>
          </cell>
          <cell r="H486" t="str">
            <v>LTORRES@UTALCA.CL</v>
          </cell>
          <cell r="I486">
            <v>43374</v>
          </cell>
          <cell r="J486">
            <v>46446</v>
          </cell>
          <cell r="K486" t="str">
            <v>CONTRATA</v>
          </cell>
          <cell r="L486" t="str">
            <v>CA DOCENTE</v>
          </cell>
          <cell r="M486" t="str">
            <v>PROFESOR ASISTENTE</v>
          </cell>
          <cell r="N486" t="str">
            <v>GRADO C</v>
          </cell>
          <cell r="O486" t="str">
            <v>DOCTORADO</v>
          </cell>
          <cell r="P486" t="str">
            <v>DOCTORA EN PLANIFICACION E INNOVACION EDUCATI</v>
          </cell>
          <cell r="Q486" t="str">
            <v>TALCA</v>
          </cell>
          <cell r="R486" t="str">
            <v>INST. ESTUDIOS HUMANÍSTICOS ABATE J.I.M.</v>
          </cell>
          <cell r="S486" t="str">
            <v>INST. ESTUDIOS HUMANÍSTICOS ABATE J.I.M.</v>
          </cell>
        </row>
        <row r="487">
          <cell r="A487">
            <v>13406156</v>
          </cell>
          <cell r="B487" t="str">
            <v>13406156</v>
          </cell>
          <cell r="C487" t="str">
            <v>1</v>
          </cell>
          <cell r="D487" t="str">
            <v>BALLESTEROS TEUBER MARIA SOLED</v>
          </cell>
          <cell r="E487" t="str">
            <v>FAM200001</v>
          </cell>
          <cell r="F487">
            <v>11</v>
          </cell>
          <cell r="G487">
            <v>30</v>
          </cell>
          <cell r="H487" t="str">
            <v>SBALLESTEROS17@HOTMAIL.COM</v>
          </cell>
          <cell r="I487">
            <v>45352</v>
          </cell>
          <cell r="J487">
            <v>46387</v>
          </cell>
          <cell r="K487" t="str">
            <v>CONTRATA</v>
          </cell>
          <cell r="L487" t="str">
            <v>C ESPECIALES</v>
          </cell>
          <cell r="M487" t="str">
            <v>TUTOR(A) PRÁCTICA</v>
          </cell>
          <cell r="N487" t="str">
            <v>SIN GRADO</v>
          </cell>
          <cell r="O487" t="str">
            <v>TÍTULO PROFESIONAL</v>
          </cell>
          <cell r="P487" t="str">
            <v>PSICOLOGA</v>
          </cell>
          <cell r="Q487" t="str">
            <v>TALCA</v>
          </cell>
          <cell r="R487" t="str">
            <v>FACULTAD DE MEDICINA</v>
          </cell>
          <cell r="S487" t="str">
            <v>FACULTAD DE MEDICINA</v>
          </cell>
        </row>
        <row r="488">
          <cell r="A488">
            <v>13422276</v>
          </cell>
          <cell r="B488" t="str">
            <v>13422276</v>
          </cell>
          <cell r="C488" t="str">
            <v>K</v>
          </cell>
          <cell r="D488" t="str">
            <v>SABANDO VARAS CAROLINA ALEJAND</v>
          </cell>
          <cell r="E488" t="str">
            <v>FOD200001</v>
          </cell>
          <cell r="F488">
            <v>22</v>
          </cell>
          <cell r="G488">
            <v>30</v>
          </cell>
          <cell r="H488" t="str">
            <v>CSABANDO@UTALCA.CL</v>
          </cell>
          <cell r="I488">
            <v>38930</v>
          </cell>
          <cell r="J488">
            <v>46387</v>
          </cell>
          <cell r="K488" t="str">
            <v>CONTRATA</v>
          </cell>
          <cell r="L488" t="str">
            <v>C ESPECIALES</v>
          </cell>
          <cell r="M488" t="str">
            <v>TUTOR(A) PRÁCTICA</v>
          </cell>
          <cell r="N488" t="str">
            <v>SIN GRADO</v>
          </cell>
          <cell r="O488" t="str">
            <v>ESPECIAL. ODONTOLÓG.</v>
          </cell>
          <cell r="P488" t="str">
            <v>ESPECIALIDAD EN PERIODONCIA</v>
          </cell>
          <cell r="Q488" t="str">
            <v>TALCA</v>
          </cell>
          <cell r="R488" t="str">
            <v>FACULTAD DE ODONTOLOGÍA</v>
          </cell>
          <cell r="S488" t="str">
            <v>FACULTAD DE ODONTOLOGÍA</v>
          </cell>
        </row>
        <row r="489">
          <cell r="A489">
            <v>13435500</v>
          </cell>
          <cell r="B489" t="str">
            <v>13435500</v>
          </cell>
          <cell r="C489" t="str">
            <v>K</v>
          </cell>
          <cell r="D489" t="str">
            <v>QUILODRAN JARA NELSON ANDRES</v>
          </cell>
          <cell r="E489" t="str">
            <v>ADC040001</v>
          </cell>
          <cell r="F489">
            <v>44</v>
          </cell>
          <cell r="G489">
            <v>30</v>
          </cell>
          <cell r="H489" t="str">
            <v>NQUILODRAN@UTALCA.CL</v>
          </cell>
          <cell r="I489">
            <v>46023</v>
          </cell>
          <cell r="J489">
            <v>46387</v>
          </cell>
          <cell r="K489" t="str">
            <v>CONTRATA</v>
          </cell>
          <cell r="L489" t="str">
            <v>PROFESIONAL</v>
          </cell>
          <cell r="M489" t="str">
            <v>PROFESIONAL</v>
          </cell>
          <cell r="N489" t="str">
            <v>GRADO I.17</v>
          </cell>
          <cell r="O489" t="str">
            <v>TÍTULO PROFESIONAL</v>
          </cell>
          <cell r="P489" t="str">
            <v>INGENIERO AGRONOMO</v>
          </cell>
          <cell r="Q489" t="str">
            <v>COLCHAGUA</v>
          </cell>
          <cell r="R489" t="str">
            <v>DIRECCIÓN DE SEDE SANTA CRUZ</v>
          </cell>
          <cell r="S489" t="str">
            <v>DIRECCIÓN DE SEDE SANTA CRUZ</v>
          </cell>
        </row>
        <row r="490">
          <cell r="A490">
            <v>13438434</v>
          </cell>
          <cell r="B490" t="str">
            <v>13438434</v>
          </cell>
          <cell r="C490" t="str">
            <v>4</v>
          </cell>
          <cell r="D490" t="str">
            <v>VERGARA LOPEZ MONICA JOHANNA</v>
          </cell>
          <cell r="E490" t="str">
            <v>ADC310002</v>
          </cell>
          <cell r="F490">
            <v>44</v>
          </cell>
          <cell r="G490">
            <v>30</v>
          </cell>
          <cell r="H490" t="str">
            <v>MOVERGARA@UTALCA.CL</v>
          </cell>
          <cell r="I490">
            <v>43160</v>
          </cell>
          <cell r="J490">
            <v>46446</v>
          </cell>
          <cell r="K490" t="str">
            <v>CONTRATA</v>
          </cell>
          <cell r="L490" t="str">
            <v>CA DOCENTE</v>
          </cell>
          <cell r="M490" t="str">
            <v>INSTRUCTOR</v>
          </cell>
          <cell r="N490" t="str">
            <v>GRADO D</v>
          </cell>
          <cell r="O490" t="str">
            <v>MAGISTER</v>
          </cell>
          <cell r="P490" t="str">
            <v>MAGÍSTER EN GESTIÓN Y POLÍTICAS PÚBLICAS</v>
          </cell>
          <cell r="Q490" t="str">
            <v>COLCHAGUA</v>
          </cell>
          <cell r="R490" t="str">
            <v>DIRECCIÓN DE SEDE SANTA CRUZ</v>
          </cell>
          <cell r="S490" t="str">
            <v>DIRECCIÓN DE SEDE SANTA CRUZ</v>
          </cell>
        </row>
        <row r="491">
          <cell r="A491">
            <v>13441280</v>
          </cell>
          <cell r="B491" t="str">
            <v>13441280</v>
          </cell>
          <cell r="C491" t="str">
            <v>1</v>
          </cell>
          <cell r="D491" t="str">
            <v>HAMILTON CRUCHAGA RAIMUNDO</v>
          </cell>
          <cell r="E491" t="str">
            <v>FAD320003</v>
          </cell>
          <cell r="F491">
            <v>44</v>
          </cell>
          <cell r="G491">
            <v>30</v>
          </cell>
          <cell r="H491" t="str">
            <v>RHAMILTON@UTALCA.CL</v>
          </cell>
          <cell r="I491">
            <v>37987</v>
          </cell>
          <cell r="J491">
            <v>2958465</v>
          </cell>
          <cell r="K491" t="str">
            <v>PLANTA</v>
          </cell>
          <cell r="L491" t="str">
            <v>CA ORDINARIA</v>
          </cell>
          <cell r="M491" t="str">
            <v>PROFESOR ASISTENTE</v>
          </cell>
          <cell r="N491" t="str">
            <v>GRADO C</v>
          </cell>
          <cell r="O491" t="str">
            <v>MAGISTER</v>
          </cell>
          <cell r="P491" t="str">
            <v>MÁSTER EN SISTEMAS INTERACTIVOS</v>
          </cell>
          <cell r="Q491" t="str">
            <v>TALCA</v>
          </cell>
          <cell r="R491" t="str">
            <v>FACULTAD DE ARQUITECTUR, MÚSICA Y DISEÑO</v>
          </cell>
          <cell r="S491" t="str">
            <v>DEPARTAMENTO DE DISEÑO</v>
          </cell>
        </row>
        <row r="492">
          <cell r="A492">
            <v>13443487</v>
          </cell>
          <cell r="B492" t="str">
            <v>13443487</v>
          </cell>
          <cell r="C492" t="str">
            <v>2</v>
          </cell>
          <cell r="D492" t="str">
            <v>GARCIA ARAVENA SILVIA MARCELA</v>
          </cell>
          <cell r="E492" t="str">
            <v>FED310002</v>
          </cell>
          <cell r="F492">
            <v>44</v>
          </cell>
          <cell r="G492">
            <v>30</v>
          </cell>
          <cell r="H492" t="str">
            <v>SIGARCIA@UTALCA.CL</v>
          </cell>
          <cell r="I492">
            <v>43466</v>
          </cell>
          <cell r="J492">
            <v>46387</v>
          </cell>
          <cell r="K492" t="str">
            <v>CONTRATA</v>
          </cell>
          <cell r="L492" t="str">
            <v>ADMINISTRATIVO</v>
          </cell>
          <cell r="M492" t="str">
            <v>ADMINISTRATIVO</v>
          </cell>
          <cell r="N492" t="str">
            <v>GRADO I.21</v>
          </cell>
          <cell r="O492" t="str">
            <v>TÍTULO PROFESIONAL</v>
          </cell>
          <cell r="P492" t="str">
            <v>ADMINISTRADOR DE EMPRESAS MENCIÓN GESTIÓ</v>
          </cell>
          <cell r="Q492" t="str">
            <v>LINARES</v>
          </cell>
          <cell r="R492" t="str">
            <v>FACULTAD DE CIENCIAS DE LA EDUCACIÓN</v>
          </cell>
          <cell r="S492" t="str">
            <v>ESCUELA DE PEDAGOGÍA EN INGLÉS</v>
          </cell>
        </row>
        <row r="493">
          <cell r="A493">
            <v>13450842</v>
          </cell>
          <cell r="B493" t="str">
            <v>13450842</v>
          </cell>
          <cell r="C493" t="str">
            <v>6</v>
          </cell>
          <cell r="D493" t="str">
            <v>VILLARROEL BLOOMFIELD ALEJANDR</v>
          </cell>
          <cell r="E493" t="str">
            <v>VRF400009</v>
          </cell>
          <cell r="F493">
            <v>44</v>
          </cell>
          <cell r="G493">
            <v>30</v>
          </cell>
          <cell r="H493" t="str">
            <v>AVILLARROEL@UTALCA.CL</v>
          </cell>
          <cell r="I493">
            <v>41498</v>
          </cell>
          <cell r="J493">
            <v>46446</v>
          </cell>
          <cell r="K493" t="str">
            <v>CONTRATA</v>
          </cell>
          <cell r="L493" t="str">
            <v>CA DOCENTE</v>
          </cell>
          <cell r="M493" t="str">
            <v>INSTRUCTOR</v>
          </cell>
          <cell r="N493" t="str">
            <v>GRADO D</v>
          </cell>
          <cell r="O493" t="str">
            <v>MAGISTER</v>
          </cell>
          <cell r="P493" t="str">
            <v>MASTER OF ARTS IN EDUCATION: CULTURE, LANGUAG</v>
          </cell>
          <cell r="Q493" t="str">
            <v>TALCA</v>
          </cell>
          <cell r="R493" t="str">
            <v>DIRECCIÓN DE PREGRADO</v>
          </cell>
          <cell r="S493" t="str">
            <v>PROGRAMA DE FORMACIÓN FUNDAMENTAL</v>
          </cell>
        </row>
        <row r="494">
          <cell r="A494">
            <v>13454341</v>
          </cell>
          <cell r="B494" t="str">
            <v>13454341</v>
          </cell>
          <cell r="C494" t="str">
            <v>8</v>
          </cell>
          <cell r="D494" t="str">
            <v>ARAYA ILUFIZ CLAUDIA LOURDES</v>
          </cell>
          <cell r="E494" t="str">
            <v>FCS320001</v>
          </cell>
          <cell r="F494">
            <v>44</v>
          </cell>
          <cell r="G494">
            <v>30</v>
          </cell>
          <cell r="H494" t="str">
            <v>CLARAYA@UTALCA.CL</v>
          </cell>
          <cell r="I494">
            <v>42795</v>
          </cell>
          <cell r="J494">
            <v>46387</v>
          </cell>
          <cell r="K494" t="str">
            <v>CONTRATA</v>
          </cell>
          <cell r="L494" t="str">
            <v>CA DOCENTE</v>
          </cell>
          <cell r="M494" t="str">
            <v>INSTRUCTOR</v>
          </cell>
          <cell r="N494" t="str">
            <v>GRADO D</v>
          </cell>
          <cell r="O494" t="str">
            <v>MAGISTER</v>
          </cell>
          <cell r="P494" t="str">
            <v>MAGÍSTER EN GESTIÓN DE SISTEMAS DE SALUD</v>
          </cell>
          <cell r="Q494" t="str">
            <v>TALCA</v>
          </cell>
          <cell r="R494" t="str">
            <v>FACULTAD DE CIENCIAS DE LA SALUD</v>
          </cell>
          <cell r="S494" t="str">
            <v>DPTO. BIOQUÍM. CLÍN. E INMUNOHEMATOLOGÍA</v>
          </cell>
        </row>
        <row r="495">
          <cell r="A495">
            <v>13454344</v>
          </cell>
          <cell r="B495" t="str">
            <v>13454344</v>
          </cell>
          <cell r="C495" t="str">
            <v>2</v>
          </cell>
          <cell r="D495" t="str">
            <v>LEIVA BIANCHI MARCELO CRISTIAN</v>
          </cell>
          <cell r="E495" t="str">
            <v>FPS200001</v>
          </cell>
          <cell r="F495">
            <v>44</v>
          </cell>
          <cell r="G495">
            <v>30</v>
          </cell>
          <cell r="H495" t="str">
            <v>MARCLEIVA@UTALCA.CL</v>
          </cell>
          <cell r="I495">
            <v>40298</v>
          </cell>
          <cell r="J495">
            <v>2958465</v>
          </cell>
          <cell r="K495" t="str">
            <v>PLANTA</v>
          </cell>
          <cell r="L495" t="str">
            <v>CA ORDINARIA</v>
          </cell>
          <cell r="M495" t="str">
            <v>PROFESOR ASOCIADO</v>
          </cell>
          <cell r="N495" t="str">
            <v>GRADO B</v>
          </cell>
          <cell r="O495" t="str">
            <v>DOCTORADO</v>
          </cell>
          <cell r="P495" t="str">
            <v>DOCTOR EN PSICOLOGÍA</v>
          </cell>
          <cell r="Q495" t="str">
            <v>TALCA</v>
          </cell>
          <cell r="R495" t="str">
            <v>FACULTAD DE PSICOLOGÍA</v>
          </cell>
          <cell r="S495" t="str">
            <v>FACULTAD DE PSICOLOGÍA</v>
          </cell>
        </row>
        <row r="496">
          <cell r="A496">
            <v>13454767</v>
          </cell>
          <cell r="B496" t="str">
            <v>13454767</v>
          </cell>
          <cell r="C496" t="str">
            <v>7</v>
          </cell>
          <cell r="D496" t="str">
            <v>SOTO GONZALEZ CESAR ESTEBAN</v>
          </cell>
          <cell r="E496" t="str">
            <v>ADC021001</v>
          </cell>
          <cell r="F496">
            <v>44</v>
          </cell>
          <cell r="G496">
            <v>30</v>
          </cell>
          <cell r="H496" t="str">
            <v>CESAR.SOTO@UTALCA.CL</v>
          </cell>
          <cell r="I496">
            <v>44256</v>
          </cell>
          <cell r="J496">
            <v>46387</v>
          </cell>
          <cell r="K496" t="str">
            <v>CONTRATA</v>
          </cell>
          <cell r="L496" t="str">
            <v>PROFESIONAL</v>
          </cell>
          <cell r="M496" t="str">
            <v>PROFESIONAL</v>
          </cell>
          <cell r="N496" t="str">
            <v>GRADO I.17</v>
          </cell>
          <cell r="O496" t="str">
            <v>TÍTULO PROFESIONAL</v>
          </cell>
          <cell r="P496" t="str">
            <v>DISEÑADOR GRÁFICO</v>
          </cell>
          <cell r="Q496" t="str">
            <v>TALCA</v>
          </cell>
          <cell r="R496" t="str">
            <v>DIRECCIÓN DE COMUNICACIONES CORPORATIVAS</v>
          </cell>
          <cell r="S496" t="str">
            <v>DIRECCIÓN DE COMUNICACIONES CORPORATIVAS</v>
          </cell>
        </row>
        <row r="497">
          <cell r="A497">
            <v>13458926</v>
          </cell>
          <cell r="B497" t="str">
            <v>13458926</v>
          </cell>
          <cell r="C497" t="str">
            <v>4</v>
          </cell>
          <cell r="D497" t="str">
            <v>MARICAN RIQUELME ADOLFO ANDRES</v>
          </cell>
          <cell r="E497" t="str">
            <v>IQR300001</v>
          </cell>
          <cell r="F497">
            <v>44</v>
          </cell>
          <cell r="G497">
            <v>30</v>
          </cell>
          <cell r="H497" t="str">
            <v>AMARICAN@UTALCA.CL</v>
          </cell>
          <cell r="I497">
            <v>41456</v>
          </cell>
          <cell r="J497">
            <v>46446</v>
          </cell>
          <cell r="K497" t="str">
            <v>CONTRATA</v>
          </cell>
          <cell r="L497" t="str">
            <v>CA DOCENTE</v>
          </cell>
          <cell r="M497" t="str">
            <v>PROFESOR ASISTENTE</v>
          </cell>
          <cell r="N497" t="str">
            <v>GRADO C</v>
          </cell>
          <cell r="O497" t="str">
            <v>DOCTORADO</v>
          </cell>
          <cell r="P497" t="str">
            <v>DOCTOR EN QUÍMICA</v>
          </cell>
          <cell r="Q497" t="str">
            <v>TALCA</v>
          </cell>
          <cell r="R497" t="str">
            <v>INSTITUTO QUÍMICA DE RECURSOS NATURALES</v>
          </cell>
          <cell r="S497" t="str">
            <v>INSTITUTO QUÍMICA DE RECURSOS NATURALES</v>
          </cell>
        </row>
        <row r="498">
          <cell r="A498">
            <v>13459074</v>
          </cell>
          <cell r="B498" t="str">
            <v>13459074</v>
          </cell>
          <cell r="C498" t="str">
            <v>2</v>
          </cell>
          <cell r="D498" t="str">
            <v>ESPINOZA ARANEDA JESSICA ANDRE</v>
          </cell>
          <cell r="E498" t="str">
            <v>FCS320009</v>
          </cell>
          <cell r="F498">
            <v>44</v>
          </cell>
          <cell r="G498">
            <v>30</v>
          </cell>
          <cell r="H498" t="str">
            <v>JEESPINOZA@UTALCA.CL</v>
          </cell>
          <cell r="I498">
            <v>39142</v>
          </cell>
          <cell r="J498">
            <v>46446</v>
          </cell>
          <cell r="K498" t="str">
            <v>CONTRATA</v>
          </cell>
          <cell r="L498" t="str">
            <v>CA DOCENTE</v>
          </cell>
          <cell r="M498" t="str">
            <v>PROFESOR ASISTENTE</v>
          </cell>
          <cell r="N498" t="str">
            <v>GRADO C</v>
          </cell>
          <cell r="O498" t="str">
            <v>DOCTORADO</v>
          </cell>
          <cell r="P498" t="str">
            <v>DOUTORA EM CIENCIAS DA REABILITACAO: FUNDAMEN</v>
          </cell>
          <cell r="Q498" t="str">
            <v>TALCA</v>
          </cell>
          <cell r="R498" t="str">
            <v>FACULTAD DE CIENCIAS DE LA SALUD</v>
          </cell>
          <cell r="S498" t="str">
            <v>DPTO. DE CIENCIAS DEL MOVIMIENTO HUMANO</v>
          </cell>
        </row>
        <row r="499">
          <cell r="A499">
            <v>13483861</v>
          </cell>
          <cell r="B499" t="str">
            <v>13483861</v>
          </cell>
          <cell r="C499" t="str">
            <v>2</v>
          </cell>
          <cell r="D499" t="str">
            <v>DIAZ ULLOA GONZALO ALBERTO</v>
          </cell>
          <cell r="E499" t="str">
            <v>FCA320003</v>
          </cell>
          <cell r="F499">
            <v>44</v>
          </cell>
          <cell r="G499">
            <v>30</v>
          </cell>
          <cell r="H499" t="str">
            <v>G.DIAZ@UTALCA.CL</v>
          </cell>
          <cell r="I499">
            <v>42005</v>
          </cell>
          <cell r="J499">
            <v>2958465</v>
          </cell>
          <cell r="K499" t="str">
            <v>PLANTA</v>
          </cell>
          <cell r="L499" t="str">
            <v>CA ORDINARIA</v>
          </cell>
          <cell r="M499" t="str">
            <v>PROFESOR ASOCIADO</v>
          </cell>
          <cell r="N499" t="str">
            <v>GRADO B</v>
          </cell>
          <cell r="O499" t="str">
            <v>DOCTORADO</v>
          </cell>
          <cell r="P499" t="str">
            <v>DOCTOR EN CIENCIAS DE LA AGRICULTURA, MENCIÓN</v>
          </cell>
          <cell r="Q499" t="str">
            <v>TALCA</v>
          </cell>
          <cell r="R499" t="str">
            <v>FACULTAD DE CIENCIAS AGRARIAS</v>
          </cell>
          <cell r="S499" t="str">
            <v>DEPARTAMENTO DE PRODUCCIÓN AGRÍCOLA</v>
          </cell>
        </row>
        <row r="500">
          <cell r="A500">
            <v>13505167</v>
          </cell>
          <cell r="B500" t="str">
            <v>13505167</v>
          </cell>
          <cell r="C500" t="str">
            <v>5</v>
          </cell>
          <cell r="D500" t="str">
            <v>DEL PINO ACUÑA FABIOLA ALEJAND</v>
          </cell>
          <cell r="E500" t="str">
            <v>ADC030184</v>
          </cell>
          <cell r="F500">
            <v>44</v>
          </cell>
          <cell r="G500">
            <v>30</v>
          </cell>
          <cell r="H500" t="str">
            <v>FDELPINO@UTALCA.CL</v>
          </cell>
          <cell r="I500">
            <v>38169</v>
          </cell>
          <cell r="J500">
            <v>2958465</v>
          </cell>
          <cell r="K500" t="str">
            <v>PLANTA</v>
          </cell>
          <cell r="L500" t="str">
            <v>PROFESIONAL</v>
          </cell>
          <cell r="M500" t="str">
            <v>PROFESIONAL</v>
          </cell>
          <cell r="N500" t="str">
            <v>GRADO I.17</v>
          </cell>
          <cell r="O500" t="str">
            <v>MAGISTER</v>
          </cell>
          <cell r="P500" t="str">
            <v>MAGÍSTER EN ADMINISTRACIÓN DE EMPRESAS, MENCI</v>
          </cell>
          <cell r="Q500" t="str">
            <v>TALCA</v>
          </cell>
          <cell r="R500" t="str">
            <v>DIRECCIÓN DE ASEGURAMIENTO DE LA CALIDAD</v>
          </cell>
          <cell r="S500" t="str">
            <v>UNIDAD DE ACREDITACIÓN DE PREGRADO</v>
          </cell>
        </row>
        <row r="501">
          <cell r="A501">
            <v>13505248</v>
          </cell>
          <cell r="B501" t="str">
            <v>13505248</v>
          </cell>
          <cell r="C501" t="str">
            <v>5</v>
          </cell>
          <cell r="D501" t="str">
            <v>HERRERA LEIVA RODRIGO SEBASTIA</v>
          </cell>
          <cell r="E501" t="str">
            <v>FEN310001</v>
          </cell>
          <cell r="F501">
            <v>44</v>
          </cell>
          <cell r="G501">
            <v>30</v>
          </cell>
          <cell r="H501" t="str">
            <v>RODRIGO.HERRERA@UTALCA.CL</v>
          </cell>
          <cell r="I501">
            <v>38261</v>
          </cell>
          <cell r="J501">
            <v>2958465</v>
          </cell>
          <cell r="K501" t="str">
            <v>PLANTA</v>
          </cell>
          <cell r="L501" t="str">
            <v>CA ORDINARIA</v>
          </cell>
          <cell r="M501" t="str">
            <v>PROFESOR ASOCIADO</v>
          </cell>
          <cell r="N501" t="str">
            <v>GRADO B</v>
          </cell>
          <cell r="O501" t="str">
            <v>DOCTORADO</v>
          </cell>
          <cell r="P501" t="str">
            <v>DOCTOR RERUM POLITICARUM</v>
          </cell>
          <cell r="Q501" t="str">
            <v>TALCA</v>
          </cell>
          <cell r="R501" t="str">
            <v>FACULTAD DE ECONOMÍA Y NEGOCIOS</v>
          </cell>
          <cell r="S501" t="str">
            <v>ESCUELA DE INGENIERÍA COMERCIAL DE TALCA</v>
          </cell>
        </row>
        <row r="502">
          <cell r="A502">
            <v>13505468</v>
          </cell>
          <cell r="B502" t="str">
            <v>13505468</v>
          </cell>
          <cell r="C502" t="str">
            <v>2</v>
          </cell>
          <cell r="D502" t="str">
            <v>OJEDA DETHLEFFSEN FELIPE IGNAC</v>
          </cell>
          <cell r="E502" t="str">
            <v>ADC015001</v>
          </cell>
          <cell r="F502">
            <v>44</v>
          </cell>
          <cell r="G502">
            <v>30</v>
          </cell>
          <cell r="H502" t="str">
            <v>FELIPE.OJEDA@UTALCA.CL</v>
          </cell>
          <cell r="I502">
            <v>43284</v>
          </cell>
          <cell r="J502">
            <v>46387</v>
          </cell>
          <cell r="K502" t="str">
            <v>CONTRATA</v>
          </cell>
          <cell r="L502" t="str">
            <v>DIR EXCLU. CONFIANZA</v>
          </cell>
          <cell r="M502" t="str">
            <v>PROFESIONAL</v>
          </cell>
          <cell r="N502" t="str">
            <v>GRADO I.8</v>
          </cell>
          <cell r="O502" t="str">
            <v>TÍTULO PROFESIONAL</v>
          </cell>
          <cell r="P502" t="str">
            <v>ABOGADO</v>
          </cell>
          <cell r="Q502" t="str">
            <v>TALCA</v>
          </cell>
          <cell r="R502" t="str">
            <v>DIRECCIÓN DE ASUNTOS JURÍDICOS</v>
          </cell>
          <cell r="S502" t="str">
            <v>DIRECCIÓN DE ASUNTOS JURÍDICOS</v>
          </cell>
        </row>
        <row r="503">
          <cell r="A503">
            <v>13505511</v>
          </cell>
          <cell r="B503" t="str">
            <v>13505511</v>
          </cell>
          <cell r="C503" t="str">
            <v>5</v>
          </cell>
          <cell r="D503" t="str">
            <v>GATICA ROJAS VALESKA FABIOLA</v>
          </cell>
          <cell r="E503" t="str">
            <v>FCS320009</v>
          </cell>
          <cell r="F503">
            <v>44</v>
          </cell>
          <cell r="G503">
            <v>30</v>
          </cell>
          <cell r="H503" t="str">
            <v>VGATICA@UTALCA.CL</v>
          </cell>
          <cell r="I503">
            <v>39142</v>
          </cell>
          <cell r="J503">
            <v>2958465</v>
          </cell>
          <cell r="K503" t="str">
            <v>PLANTA</v>
          </cell>
          <cell r="L503" t="str">
            <v>CA ORDINARIA</v>
          </cell>
          <cell r="M503" t="str">
            <v>PROFESOR ASOCIADO</v>
          </cell>
          <cell r="N503" t="str">
            <v>GRADO B</v>
          </cell>
          <cell r="O503" t="str">
            <v>DOCTORADO</v>
          </cell>
          <cell r="P503" t="str">
            <v>DOCTOR EN CIENCIAS MEDICAS</v>
          </cell>
          <cell r="Q503" t="str">
            <v>TALCA</v>
          </cell>
          <cell r="R503" t="str">
            <v>FACULTAD DE CIENCIAS DE LA SALUD</v>
          </cell>
          <cell r="S503" t="str">
            <v>DPTO. DE CIENCIAS DEL MOVIMIENTO HUMANO</v>
          </cell>
        </row>
        <row r="504">
          <cell r="A504">
            <v>13505789</v>
          </cell>
          <cell r="B504" t="str">
            <v>13505789</v>
          </cell>
          <cell r="C504" t="str">
            <v>4</v>
          </cell>
          <cell r="D504" t="str">
            <v>RODRIGUEZ CONTRERAS JESSICA JA</v>
          </cell>
          <cell r="E504" t="str">
            <v>VAC100001</v>
          </cell>
          <cell r="F504">
            <v>44</v>
          </cell>
          <cell r="G504">
            <v>30</v>
          </cell>
          <cell r="H504" t="str">
            <v>JERODRIGUEZ@UTALCA.CL</v>
          </cell>
          <cell r="I504">
            <v>45017</v>
          </cell>
          <cell r="J504">
            <v>46387</v>
          </cell>
          <cell r="K504" t="str">
            <v>CONTRATA</v>
          </cell>
          <cell r="L504" t="str">
            <v>PROFESIONAL</v>
          </cell>
          <cell r="M504" t="str">
            <v>PROFESIONAL</v>
          </cell>
          <cell r="N504" t="str">
            <v>GRADO I.17</v>
          </cell>
          <cell r="O504" t="str">
            <v>TÍTULO PROFESIONAL</v>
          </cell>
          <cell r="P504" t="str">
            <v>INGENIERO INFORMATICA</v>
          </cell>
          <cell r="Q504" t="str">
            <v>TALCA</v>
          </cell>
          <cell r="R504" t="str">
            <v>VICERRECTORÍA ACADÉMICA</v>
          </cell>
          <cell r="S504" t="str">
            <v>VICERRECTORÍA ACADÉMICA</v>
          </cell>
        </row>
        <row r="505">
          <cell r="A505">
            <v>13505889</v>
          </cell>
          <cell r="B505" t="str">
            <v>13505889</v>
          </cell>
          <cell r="C505" t="str">
            <v>0</v>
          </cell>
          <cell r="D505" t="str">
            <v>MORA DOUGLAS CAROLINA BEATRIZ</v>
          </cell>
          <cell r="E505" t="str">
            <v>VRF400008</v>
          </cell>
          <cell r="F505">
            <v>44</v>
          </cell>
          <cell r="G505">
            <v>30</v>
          </cell>
          <cell r="H505" t="str">
            <v>CAMORA@UTALCA.CL</v>
          </cell>
          <cell r="I505">
            <v>43101</v>
          </cell>
          <cell r="J505">
            <v>46446</v>
          </cell>
          <cell r="K505" t="str">
            <v>CONTRATA</v>
          </cell>
          <cell r="L505" t="str">
            <v>CA DOCENTE</v>
          </cell>
          <cell r="M505" t="str">
            <v>INSTRUCTOR</v>
          </cell>
          <cell r="N505" t="str">
            <v>GRADO D</v>
          </cell>
          <cell r="O505" t="str">
            <v>MAGISTER</v>
          </cell>
          <cell r="P505" t="str">
            <v>MASTER IN TEACHING ENGLISH AS A FOREING LANGU</v>
          </cell>
          <cell r="Q505" t="str">
            <v>TALCA</v>
          </cell>
          <cell r="R505" t="str">
            <v>DIRECCIÓN DE PREGRADO</v>
          </cell>
          <cell r="S505" t="str">
            <v>PROGRAMA DE IDIOMAS</v>
          </cell>
        </row>
        <row r="506">
          <cell r="A506">
            <v>13505938</v>
          </cell>
          <cell r="B506" t="str">
            <v>13505938</v>
          </cell>
          <cell r="C506" t="str">
            <v>2</v>
          </cell>
          <cell r="D506" t="str">
            <v>MALDONADO BURGOS MELISSA ROSE</v>
          </cell>
          <cell r="E506" t="str">
            <v>VRF400009</v>
          </cell>
          <cell r="F506">
            <v>44</v>
          </cell>
          <cell r="G506">
            <v>30</v>
          </cell>
          <cell r="H506" t="str">
            <v>MELISSA.MALDONADO@UTALCA.CL</v>
          </cell>
          <cell r="I506">
            <v>45231</v>
          </cell>
          <cell r="J506">
            <v>46387</v>
          </cell>
          <cell r="K506" t="str">
            <v>CONTRATA</v>
          </cell>
          <cell r="L506" t="str">
            <v>ADMINISTRATIVO</v>
          </cell>
          <cell r="M506" t="str">
            <v>ADMINISTRATIVO</v>
          </cell>
          <cell r="N506" t="str">
            <v>GRADO I.21</v>
          </cell>
          <cell r="O506" t="str">
            <v>TÍTULO PROFESIONAL</v>
          </cell>
          <cell r="P506" t="str">
            <v>RELACIONADOR PÚBLICO</v>
          </cell>
          <cell r="Q506" t="str">
            <v>TALCA</v>
          </cell>
          <cell r="R506" t="str">
            <v>VICERRECTORÍA DE FORMACIÓN</v>
          </cell>
          <cell r="S506" t="str">
            <v>PROGRAMA DE FORMACIÓN FUNDAMENTAL</v>
          </cell>
        </row>
        <row r="507">
          <cell r="A507">
            <v>13506125</v>
          </cell>
          <cell r="B507" t="str">
            <v>13506125</v>
          </cell>
          <cell r="C507" t="str">
            <v>5</v>
          </cell>
          <cell r="D507" t="str">
            <v>LOYOLA CORDERO MARCELA ANDREA</v>
          </cell>
          <cell r="E507" t="str">
            <v>ADC011001</v>
          </cell>
          <cell r="F507">
            <v>44</v>
          </cell>
          <cell r="G507">
            <v>30</v>
          </cell>
          <cell r="H507" t="str">
            <v>MLOYOLA@UTALCA.CL</v>
          </cell>
          <cell r="I507">
            <v>39264</v>
          </cell>
          <cell r="J507">
            <v>2958465</v>
          </cell>
          <cell r="K507" t="str">
            <v>PLANTA</v>
          </cell>
          <cell r="L507" t="str">
            <v>ADMINISTRATIVO</v>
          </cell>
          <cell r="M507" t="str">
            <v>ADMINISTRATIVO</v>
          </cell>
          <cell r="N507" t="str">
            <v>GRADO I.17</v>
          </cell>
          <cell r="O507" t="str">
            <v>TÉC. NIVEL SUPERIOR</v>
          </cell>
          <cell r="P507" t="str">
            <v>SECRETARIA EJECUTIVA COMPUTACIONAL</v>
          </cell>
          <cell r="Q507" t="str">
            <v>TALCA</v>
          </cell>
          <cell r="R507" t="str">
            <v/>
          </cell>
          <cell r="S507" t="str">
            <v>RECTORÍA</v>
          </cell>
        </row>
        <row r="508">
          <cell r="A508">
            <v>13506242</v>
          </cell>
          <cell r="B508" t="str">
            <v>13506242</v>
          </cell>
          <cell r="C508" t="str">
            <v>1</v>
          </cell>
          <cell r="D508" t="str">
            <v>ALBORNOZ FAUNDEZ RODRIGO JAVIE</v>
          </cell>
          <cell r="E508" t="str">
            <v>ADC021005</v>
          </cell>
          <cell r="F508">
            <v>44</v>
          </cell>
          <cell r="G508">
            <v>30</v>
          </cell>
          <cell r="H508" t="str">
            <v>RALBORNOZ@UTALCA.CL</v>
          </cell>
          <cell r="I508">
            <v>44197</v>
          </cell>
          <cell r="J508">
            <v>46387</v>
          </cell>
          <cell r="K508" t="str">
            <v>CONTRATA</v>
          </cell>
          <cell r="L508" t="str">
            <v>ADMINISTRATIVO</v>
          </cell>
          <cell r="M508" t="str">
            <v>ADMINISTRATIVO</v>
          </cell>
          <cell r="N508" t="str">
            <v>GRADO I.21</v>
          </cell>
          <cell r="O508" t="str">
            <v>TÉC. NIVEL MEDIO</v>
          </cell>
          <cell r="P508" t="str">
            <v>ENSEÑANZA MEDIA COMPLETA</v>
          </cell>
          <cell r="Q508" t="str">
            <v>TALCA</v>
          </cell>
          <cell r="R508" t="str">
            <v>DIRECCIÓN DE COMUNICACIONES CORPORATIVAS</v>
          </cell>
          <cell r="S508" t="str">
            <v>DPTO. DE COMUNICACIÓN EXTERNA Y MEDIOS</v>
          </cell>
        </row>
        <row r="509">
          <cell r="A509">
            <v>13550942</v>
          </cell>
          <cell r="B509" t="str">
            <v>13550942</v>
          </cell>
          <cell r="C509" t="str">
            <v>6</v>
          </cell>
          <cell r="D509" t="str">
            <v>MOLINA MONTENEGRO MARCO ANTONI</v>
          </cell>
          <cell r="E509" t="str">
            <v>ICB300001</v>
          </cell>
          <cell r="F509">
            <v>44</v>
          </cell>
          <cell r="G509">
            <v>30</v>
          </cell>
          <cell r="H509" t="str">
            <v>MARCO.MOLINA@UTALCA.CL</v>
          </cell>
          <cell r="I509">
            <v>42125</v>
          </cell>
          <cell r="J509">
            <v>2958465</v>
          </cell>
          <cell r="K509" t="str">
            <v>PLANTA</v>
          </cell>
          <cell r="L509" t="str">
            <v>CA ORDINARIA</v>
          </cell>
          <cell r="M509" t="str">
            <v>PROFESOR TITULAR</v>
          </cell>
          <cell r="N509" t="str">
            <v>GRADO A</v>
          </cell>
          <cell r="O509" t="str">
            <v>DOCTORADO</v>
          </cell>
          <cell r="P509" t="str">
            <v>DOCTOR EN CIENCIAS BIOLÓGICAS ÁREA BOTÁNICA</v>
          </cell>
          <cell r="Q509" t="str">
            <v>TALCA</v>
          </cell>
          <cell r="R509" t="str">
            <v>INSTITUTO DE CIENCIAS BIOLÓGICAS</v>
          </cell>
          <cell r="S509" t="str">
            <v>INSTITUTO DE CIENCIAS BIOLÓGICAS</v>
          </cell>
        </row>
        <row r="510">
          <cell r="A510">
            <v>13551549</v>
          </cell>
          <cell r="B510" t="str">
            <v>13551549</v>
          </cell>
          <cell r="C510" t="str">
            <v>3</v>
          </cell>
          <cell r="D510" t="str">
            <v>ALALUF GONZALEZ LORENA ESTER</v>
          </cell>
          <cell r="E510" t="str">
            <v>FED310002</v>
          </cell>
          <cell r="F510">
            <v>44</v>
          </cell>
          <cell r="G510">
            <v>30</v>
          </cell>
          <cell r="H510" t="str">
            <v>LORENA.ALALUF@UTALCA.CL</v>
          </cell>
          <cell r="I510">
            <v>44634</v>
          </cell>
          <cell r="J510">
            <v>46446</v>
          </cell>
          <cell r="K510" t="str">
            <v>CONTRATA</v>
          </cell>
          <cell r="L510" t="str">
            <v>CA DOCENTE</v>
          </cell>
          <cell r="M510" t="str">
            <v>INSTRUCTOR</v>
          </cell>
          <cell r="N510" t="str">
            <v>GRADO D</v>
          </cell>
          <cell r="O510" t="str">
            <v>DOCTORADO</v>
          </cell>
          <cell r="P510" t="str">
            <v>DOCTORA EN EDUCACION</v>
          </cell>
          <cell r="Q510" t="str">
            <v>LINARES</v>
          </cell>
          <cell r="R510" t="str">
            <v>FACULTAD DE CIENCIAS DE LA EDUCACIÓN</v>
          </cell>
          <cell r="S510" t="str">
            <v>ESCUELA DE PEDAGOGÍA EN INGLÉS</v>
          </cell>
        </row>
        <row r="511">
          <cell r="A511">
            <v>13571177</v>
          </cell>
          <cell r="B511" t="str">
            <v>13571177</v>
          </cell>
          <cell r="C511" t="str">
            <v>2</v>
          </cell>
          <cell r="D511" t="str">
            <v>MUÑOZ AVENDAÑO INGRID CECILIA</v>
          </cell>
          <cell r="E511" t="str">
            <v>FOD200001</v>
          </cell>
          <cell r="F511">
            <v>11</v>
          </cell>
          <cell r="G511">
            <v>30</v>
          </cell>
          <cell r="H511" t="str">
            <v>INMUNOZ@UTALCA.CL</v>
          </cell>
          <cell r="I511">
            <v>39692</v>
          </cell>
          <cell r="J511">
            <v>46387</v>
          </cell>
          <cell r="K511" t="str">
            <v>CONTRATA</v>
          </cell>
          <cell r="L511" t="str">
            <v>C ESPECIALES</v>
          </cell>
          <cell r="M511" t="str">
            <v>TUTOR(A) PRÁCTICA</v>
          </cell>
          <cell r="N511" t="str">
            <v>SIN GRADO</v>
          </cell>
          <cell r="O511" t="str">
            <v>ESPECIAL. ODONTOLÓG.</v>
          </cell>
          <cell r="P511" t="str">
            <v>ESPECIALISTA EN ENDODONCIA</v>
          </cell>
          <cell r="Q511" t="str">
            <v>TALCA</v>
          </cell>
          <cell r="R511" t="str">
            <v>FACULTAD DE ODONTOLOGÍA</v>
          </cell>
          <cell r="S511" t="str">
            <v>FACULTAD DE ODONTOLOGÍA</v>
          </cell>
        </row>
        <row r="512">
          <cell r="A512">
            <v>13572240</v>
          </cell>
          <cell r="B512" t="str">
            <v>13572240</v>
          </cell>
          <cell r="C512" t="str">
            <v>5</v>
          </cell>
          <cell r="D512" t="str">
            <v>LOPEZ FARIAS BERNARDA ANDREA</v>
          </cell>
          <cell r="E512" t="str">
            <v>FCS320007</v>
          </cell>
          <cell r="F512">
            <v>44</v>
          </cell>
          <cell r="G512">
            <v>30</v>
          </cell>
          <cell r="H512" t="str">
            <v>BLOPEZ@UTALCA.CL</v>
          </cell>
          <cell r="I512">
            <v>38777</v>
          </cell>
          <cell r="J512">
            <v>46446</v>
          </cell>
          <cell r="K512" t="str">
            <v>CONTRATA</v>
          </cell>
          <cell r="L512" t="str">
            <v>CA DOCENTE</v>
          </cell>
          <cell r="M512" t="str">
            <v>PROFESOR ASISTENTE</v>
          </cell>
          <cell r="N512" t="str">
            <v>GRADO C</v>
          </cell>
          <cell r="O512" t="str">
            <v>MAGISTER</v>
          </cell>
          <cell r="P512" t="str">
            <v>MAGISTER EN DOCENCIA Y GESTIÓN PARA LA EDUCAC</v>
          </cell>
          <cell r="Q512" t="str">
            <v>TALCA</v>
          </cell>
          <cell r="R512" t="str">
            <v>FACULTAD DE CIENCIAS DE LA SALUD</v>
          </cell>
          <cell r="S512" t="str">
            <v>DPTO. DE CIENCIAS BÁSICAS BIOMÉDICAS</v>
          </cell>
        </row>
        <row r="513">
          <cell r="A513">
            <v>13574348</v>
          </cell>
          <cell r="B513" t="str">
            <v>13574348</v>
          </cell>
          <cell r="C513" t="str">
            <v>8</v>
          </cell>
          <cell r="D513" t="str">
            <v>MUÑOZ SAN MARTIN MARIA LORETO</v>
          </cell>
          <cell r="E513" t="str">
            <v>FCI200001</v>
          </cell>
          <cell r="F513">
            <v>44</v>
          </cell>
          <cell r="G513">
            <v>30</v>
          </cell>
          <cell r="H513" t="str">
            <v>MARIA.MUNOZS@UTALCA.CL</v>
          </cell>
          <cell r="I513">
            <v>45108</v>
          </cell>
          <cell r="J513">
            <v>46387</v>
          </cell>
          <cell r="K513" t="str">
            <v>CONTRATA</v>
          </cell>
          <cell r="L513" t="str">
            <v>PROFESIONAL</v>
          </cell>
          <cell r="M513" t="str">
            <v>PROFESIONAL</v>
          </cell>
          <cell r="N513" t="str">
            <v>GRADO I.17</v>
          </cell>
          <cell r="O513" t="str">
            <v>TÍTULO PROFESIONAL</v>
          </cell>
          <cell r="P513" t="str">
            <v>INGENIERO AGROINDUSTRIAL</v>
          </cell>
          <cell r="Q513" t="str">
            <v>CURICO</v>
          </cell>
          <cell r="R513" t="str">
            <v>FACULTAD DE INGENIERÍA</v>
          </cell>
          <cell r="S513" t="str">
            <v>FACULTAD DE INGENIERÍA</v>
          </cell>
        </row>
        <row r="514">
          <cell r="A514">
            <v>13575946</v>
          </cell>
          <cell r="B514" t="str">
            <v>13575946</v>
          </cell>
          <cell r="C514" t="str">
            <v>5</v>
          </cell>
          <cell r="D514" t="str">
            <v>GONZALEZ LOPEZ BENITA BEATRIZ</v>
          </cell>
          <cell r="E514" t="str">
            <v>ICB300001</v>
          </cell>
          <cell r="F514">
            <v>30</v>
          </cell>
          <cell r="G514">
            <v>30</v>
          </cell>
          <cell r="H514" t="str">
            <v>BGONZALEZ@UTALCA.CL</v>
          </cell>
          <cell r="I514">
            <v>44927</v>
          </cell>
          <cell r="J514">
            <v>46387</v>
          </cell>
          <cell r="K514" t="str">
            <v>CONTRATA</v>
          </cell>
          <cell r="L514" t="str">
            <v>PROFESIONAL</v>
          </cell>
          <cell r="M514" t="str">
            <v>PROFESIONAL</v>
          </cell>
          <cell r="N514" t="str">
            <v>GRADO I.17</v>
          </cell>
          <cell r="O514" t="str">
            <v>DOCTORADO</v>
          </cell>
          <cell r="P514" t="str">
            <v>DOCTOR EN CIENCIAS AGRARIAS</v>
          </cell>
          <cell r="Q514" t="str">
            <v>TALCA</v>
          </cell>
          <cell r="R514" t="str">
            <v>INSTITUTO DE CIENCIAS BIOLÓGICAS</v>
          </cell>
          <cell r="S514" t="str">
            <v>INSTITUTO DE CIENCIAS BIOLÓGICAS</v>
          </cell>
        </row>
        <row r="515">
          <cell r="A515">
            <v>13600403</v>
          </cell>
          <cell r="B515" t="str">
            <v>13600403</v>
          </cell>
          <cell r="C515" t="str">
            <v>4</v>
          </cell>
          <cell r="D515" t="str">
            <v>GUERRERO ARAVENA CAROLINA ANDR</v>
          </cell>
          <cell r="E515" t="str">
            <v>FCA600001</v>
          </cell>
          <cell r="F515">
            <v>44</v>
          </cell>
          <cell r="G515">
            <v>30</v>
          </cell>
          <cell r="H515" t="str">
            <v>CGUERRERO@UTALCA.CL</v>
          </cell>
          <cell r="I515">
            <v>41030</v>
          </cell>
          <cell r="J515">
            <v>46387</v>
          </cell>
          <cell r="K515" t="str">
            <v>CONTRATA</v>
          </cell>
          <cell r="L515" t="str">
            <v>ADMINISTRATIVO</v>
          </cell>
          <cell r="M515" t="str">
            <v>ADMINISTRATIVO</v>
          </cell>
          <cell r="N515" t="str">
            <v>GRADO I.21</v>
          </cell>
          <cell r="O515" t="str">
            <v>TÉC. NIVEL MEDIO</v>
          </cell>
          <cell r="P515" t="str">
            <v>SECRETARIA ADMINISTRATIVA</v>
          </cell>
          <cell r="Q515" t="str">
            <v>TALCA</v>
          </cell>
          <cell r="R515" t="str">
            <v>FACULTAD DE CIENCIAS AGRARIAS</v>
          </cell>
          <cell r="S515" t="str">
            <v>CENTRO DE POMÁCEAS</v>
          </cell>
        </row>
        <row r="516">
          <cell r="A516">
            <v>13601833</v>
          </cell>
          <cell r="B516" t="str">
            <v>13601833</v>
          </cell>
          <cell r="C516" t="str">
            <v>7</v>
          </cell>
          <cell r="D516" t="str">
            <v>SALAZAR VERGARA JUAN CARLOS AU</v>
          </cell>
          <cell r="E516" t="str">
            <v>ADC013001</v>
          </cell>
          <cell r="F516">
            <v>44</v>
          </cell>
          <cell r="G516">
            <v>30</v>
          </cell>
          <cell r="H516" t="str">
            <v>JUSALAZAR@UTALCA.CL</v>
          </cell>
          <cell r="I516">
            <v>39508</v>
          </cell>
          <cell r="J516">
            <v>46387</v>
          </cell>
          <cell r="K516" t="str">
            <v>CONTRATA</v>
          </cell>
          <cell r="L516" t="str">
            <v>PROFESIONAL</v>
          </cell>
          <cell r="M516" t="str">
            <v>PROFESIONAL</v>
          </cell>
          <cell r="N516" t="str">
            <v>GRADO I.15</v>
          </cell>
          <cell r="O516" t="str">
            <v>TÍTULO PROFESIONAL</v>
          </cell>
          <cell r="P516" t="str">
            <v>CONTADOR PÚBLICO Y AUDITOR</v>
          </cell>
          <cell r="Q516" t="str">
            <v>TALCA</v>
          </cell>
          <cell r="R516" t="str">
            <v>CONTRALORÍA UNIVERSITARIA</v>
          </cell>
          <cell r="S516" t="str">
            <v>DEPARTAMENTO DE AUDITORÍA INTERNA</v>
          </cell>
        </row>
        <row r="517">
          <cell r="A517">
            <v>13601841</v>
          </cell>
          <cell r="B517" t="str">
            <v>13601841</v>
          </cell>
          <cell r="C517" t="str">
            <v>8</v>
          </cell>
          <cell r="D517" t="str">
            <v>RAMOS FUENTES JOSE MIGUEL</v>
          </cell>
          <cell r="E517" t="str">
            <v>FAD320004</v>
          </cell>
          <cell r="F517">
            <v>44</v>
          </cell>
          <cell r="G517">
            <v>30</v>
          </cell>
          <cell r="H517" t="str">
            <v>JRAMOS@UTALCA.CL</v>
          </cell>
          <cell r="I517">
            <v>39888</v>
          </cell>
          <cell r="J517">
            <v>46446</v>
          </cell>
          <cell r="K517" t="str">
            <v>CONTRATA</v>
          </cell>
          <cell r="L517" t="str">
            <v>CA DOCENTE</v>
          </cell>
          <cell r="M517" t="str">
            <v>PROFESOR ASISTENTE</v>
          </cell>
          <cell r="N517" t="str">
            <v>GRADO C</v>
          </cell>
          <cell r="O517" t="str">
            <v>DOCTORADO</v>
          </cell>
          <cell r="P517" t="str">
            <v>DOCTOR EN MÚSICA</v>
          </cell>
          <cell r="Q517" t="str">
            <v>TALCA</v>
          </cell>
          <cell r="R517" t="str">
            <v>FACULTAD DE ARQUITECTUR, MÚSICA Y DISEÑO</v>
          </cell>
          <cell r="S517" t="str">
            <v>DEPARTAMENTO DE TEORÍA MUSICAL</v>
          </cell>
        </row>
        <row r="518">
          <cell r="A518">
            <v>13602075</v>
          </cell>
          <cell r="B518" t="str">
            <v>13602075</v>
          </cell>
          <cell r="C518" t="str">
            <v>7</v>
          </cell>
          <cell r="D518" t="str">
            <v>CELIS CONTRERAS CESAR EDUARDO</v>
          </cell>
          <cell r="E518" t="str">
            <v>FOD200001</v>
          </cell>
          <cell r="F518">
            <v>22</v>
          </cell>
          <cell r="G518">
            <v>30</v>
          </cell>
          <cell r="H518" t="str">
            <v>CCELIS@UTALCA.CL</v>
          </cell>
          <cell r="I518">
            <v>38412</v>
          </cell>
          <cell r="J518">
            <v>46387</v>
          </cell>
          <cell r="K518" t="str">
            <v>CONTRATA</v>
          </cell>
          <cell r="L518" t="str">
            <v>C ESPECIALES</v>
          </cell>
          <cell r="M518" t="str">
            <v>TUTOR(A) PRÁCTICA</v>
          </cell>
          <cell r="N518" t="str">
            <v>SIN GRADO</v>
          </cell>
          <cell r="O518" t="str">
            <v>ESPECIAL. ODONTOLÓG.</v>
          </cell>
          <cell r="P518" t="str">
            <v>ESPECIALIZACION EN RADIOLOGIA MAXILO FACIAL</v>
          </cell>
          <cell r="Q518" t="str">
            <v>TALCA</v>
          </cell>
          <cell r="R518" t="str">
            <v>FACULTAD DE ODONTOLOGÍA</v>
          </cell>
          <cell r="S518" t="str">
            <v>FACULTAD DE ODONTOLOGÍA</v>
          </cell>
        </row>
        <row r="519">
          <cell r="A519">
            <v>13602083</v>
          </cell>
          <cell r="B519" t="str">
            <v>13602083</v>
          </cell>
          <cell r="C519" t="str">
            <v>8</v>
          </cell>
          <cell r="D519" t="str">
            <v>CASTRO VIDAL FRANCISCA RITA</v>
          </cell>
          <cell r="E519" t="str">
            <v>VRF100002</v>
          </cell>
          <cell r="F519">
            <v>33</v>
          </cell>
          <cell r="G519">
            <v>30</v>
          </cell>
          <cell r="H519" t="str">
            <v>FRCASTRO@UTALCA.CL</v>
          </cell>
          <cell r="I519">
            <v>39239</v>
          </cell>
          <cell r="J519">
            <v>46387</v>
          </cell>
          <cell r="K519" t="str">
            <v>CONTRATA</v>
          </cell>
          <cell r="L519" t="str">
            <v>PROFESIONAL</v>
          </cell>
          <cell r="M519" t="str">
            <v>PROFESIONAL</v>
          </cell>
          <cell r="N519" t="str">
            <v>GRADO I.17</v>
          </cell>
          <cell r="O519" t="str">
            <v>TÍTULO PROFESIONAL</v>
          </cell>
          <cell r="P519" t="str">
            <v>INGENIERO CIVIL INDUSTRIAL</v>
          </cell>
          <cell r="Q519" t="str">
            <v>TALCA</v>
          </cell>
          <cell r="R519" t="str">
            <v>VICERRECTORÍA DE FORMACIÓN</v>
          </cell>
          <cell r="S519" t="str">
            <v>DEPARTAMENTO DE CALIDAD DE LA FORMACIÓN</v>
          </cell>
        </row>
        <row r="520">
          <cell r="A520">
            <v>13611141</v>
          </cell>
          <cell r="B520" t="str">
            <v>13611141</v>
          </cell>
          <cell r="C520" t="str">
            <v>8</v>
          </cell>
          <cell r="D520" t="str">
            <v>FARIAS FLORES PATRICIA GABRIEL</v>
          </cell>
          <cell r="E520" t="str">
            <v>ADC014001</v>
          </cell>
          <cell r="F520">
            <v>44</v>
          </cell>
          <cell r="G520">
            <v>30</v>
          </cell>
          <cell r="H520" t="str">
            <v>PFARIAS@UTALCA.CL</v>
          </cell>
          <cell r="I520">
            <v>41275</v>
          </cell>
          <cell r="J520">
            <v>2958465</v>
          </cell>
          <cell r="K520" t="str">
            <v>PLANTA</v>
          </cell>
          <cell r="L520" t="str">
            <v>ADMINISTRATIVO</v>
          </cell>
          <cell r="M520" t="str">
            <v>ADMINISTRATIVO</v>
          </cell>
          <cell r="N520" t="str">
            <v>GRADO I.20</v>
          </cell>
          <cell r="O520" t="str">
            <v>TÉC. NIVEL SUPERIOR</v>
          </cell>
          <cell r="P520" t="str">
            <v>SECRETARIA EJECUTIVA</v>
          </cell>
          <cell r="Q520" t="str">
            <v>TALCA</v>
          </cell>
          <cell r="R520" t="str">
            <v>SECRETARÍA GENERAL</v>
          </cell>
          <cell r="S520" t="str">
            <v>SECRETARÍA GENERAL</v>
          </cell>
        </row>
        <row r="521">
          <cell r="A521">
            <v>13611151</v>
          </cell>
          <cell r="B521" t="str">
            <v>13611151</v>
          </cell>
          <cell r="C521" t="str">
            <v>5</v>
          </cell>
          <cell r="D521" t="str">
            <v>CRUZ LOYOLA JACQUELINE DE LAS</v>
          </cell>
          <cell r="E521" t="str">
            <v>FCS320011</v>
          </cell>
          <cell r="F521">
            <v>44</v>
          </cell>
          <cell r="G521">
            <v>14</v>
          </cell>
          <cell r="H521" t="str">
            <v/>
          </cell>
          <cell r="I521">
            <v>46099</v>
          </cell>
          <cell r="J521">
            <v>46387</v>
          </cell>
          <cell r="K521" t="str">
            <v>CONTRATA</v>
          </cell>
          <cell r="L521" t="str">
            <v>TÉCNICO</v>
          </cell>
          <cell r="M521" t="str">
            <v>TÉCNICO</v>
          </cell>
          <cell r="N521" t="str">
            <v>GRADO I.23</v>
          </cell>
          <cell r="O521" t="str">
            <v>TÉC. NIVEL SUPERIOR</v>
          </cell>
          <cell r="P521" t="str">
            <v>TÉCNICO DE NIVEL SUPERIOR EN PROCESO Y CONTRO</v>
          </cell>
          <cell r="Q521" t="str">
            <v>TALCA</v>
          </cell>
          <cell r="R521" t="str">
            <v>FACULTAD DE CIENCIAS DE LA SALUD</v>
          </cell>
          <cell r="S521" t="str">
            <v>DEPTO. CIENCIAS DE LA NUT. Y ALIMENTOS</v>
          </cell>
        </row>
        <row r="522">
          <cell r="A522">
            <v>13611187</v>
          </cell>
          <cell r="B522" t="str">
            <v>13611187</v>
          </cell>
          <cell r="C522" t="str">
            <v>6</v>
          </cell>
          <cell r="D522" t="str">
            <v>MOORE CARRASCO RODRIGO ERNESTO</v>
          </cell>
          <cell r="E522" t="str">
            <v>FCS320001</v>
          </cell>
          <cell r="F522">
            <v>44</v>
          </cell>
          <cell r="G522">
            <v>30</v>
          </cell>
          <cell r="H522" t="str">
            <v>RMOORE@UTALCA.CL</v>
          </cell>
          <cell r="I522">
            <v>37803</v>
          </cell>
          <cell r="J522">
            <v>2958465</v>
          </cell>
          <cell r="K522" t="str">
            <v>PLANTA</v>
          </cell>
          <cell r="L522" t="str">
            <v>CA ORDINARIA</v>
          </cell>
          <cell r="M522" t="str">
            <v>PROFESOR ASOCIADO</v>
          </cell>
          <cell r="N522" t="str">
            <v>GRADO B</v>
          </cell>
          <cell r="O522" t="str">
            <v>DOCTORADO</v>
          </cell>
          <cell r="P522" t="str">
            <v>DOCTOR EN BIOMEDICA</v>
          </cell>
          <cell r="Q522" t="str">
            <v>TALCA</v>
          </cell>
          <cell r="R522" t="str">
            <v>FACULTAD DE CIENCIAS DE LA SALUD</v>
          </cell>
          <cell r="S522" t="str">
            <v>DPTO. BIOQUÍM. CLÍN. E INMUNOHEMATOLOGÍA</v>
          </cell>
        </row>
        <row r="523">
          <cell r="A523">
            <v>13611334</v>
          </cell>
          <cell r="B523" t="str">
            <v>13611334</v>
          </cell>
          <cell r="C523" t="str">
            <v>8</v>
          </cell>
          <cell r="D523" t="str">
            <v>MAUREIRA ORELLANA MACARENA ELI</v>
          </cell>
          <cell r="E523" t="str">
            <v>VGE400050</v>
          </cell>
          <cell r="F523">
            <v>44</v>
          </cell>
          <cell r="G523">
            <v>30</v>
          </cell>
          <cell r="H523" t="str">
            <v>M.MAUREIRA@UTALCA.CL</v>
          </cell>
          <cell r="I523">
            <v>43101</v>
          </cell>
          <cell r="J523">
            <v>46387</v>
          </cell>
          <cell r="K523" t="str">
            <v>CONTRATA</v>
          </cell>
          <cell r="L523" t="str">
            <v>ADMINISTRATIVO</v>
          </cell>
          <cell r="M523" t="str">
            <v>ADMINISTRATIVO</v>
          </cell>
          <cell r="N523" t="str">
            <v>GRADO I.21</v>
          </cell>
          <cell r="O523" t="str">
            <v>TÍTULO PROFESIONAL</v>
          </cell>
          <cell r="P523" t="str">
            <v>CONTADOR PÚBLICO Y AUDITOR</v>
          </cell>
          <cell r="Q523" t="str">
            <v>TALCA</v>
          </cell>
          <cell r="R523" t="str">
            <v>VIC. GESTIÓN ECONÓMICA Y ADMINISTRACIÓN</v>
          </cell>
          <cell r="S523" t="str">
            <v>DEPARTAMENTO DE ADMINISTRACIÓN DE CAMPUS</v>
          </cell>
        </row>
        <row r="524">
          <cell r="A524">
            <v>13611821</v>
          </cell>
          <cell r="B524" t="str">
            <v>13611821</v>
          </cell>
          <cell r="C524" t="str">
            <v>8</v>
          </cell>
          <cell r="D524" t="str">
            <v>ARTEAGA MUÑOZ DIEGO ALEJANDRO</v>
          </cell>
          <cell r="E524" t="str">
            <v>FAM200001</v>
          </cell>
          <cell r="F524">
            <v>44</v>
          </cell>
          <cell r="G524">
            <v>30</v>
          </cell>
          <cell r="H524" t="str">
            <v>DIMUNOZ@UTALCA.CL</v>
          </cell>
          <cell r="I524">
            <v>43101</v>
          </cell>
          <cell r="J524">
            <v>2958465</v>
          </cell>
          <cell r="K524" t="str">
            <v>PLANTA</v>
          </cell>
          <cell r="L524" t="str">
            <v>ADMINISTRATIVO</v>
          </cell>
          <cell r="M524" t="str">
            <v>ADMINISTRATIVO</v>
          </cell>
          <cell r="N524" t="str">
            <v>GRADO I.20</v>
          </cell>
          <cell r="O524" t="str">
            <v>TÉC. NIVEL SUPERIOR</v>
          </cell>
          <cell r="P524" t="str">
            <v>TÉCNICO EN ENFERMERÍA DE NIVEL SUPERIOR</v>
          </cell>
          <cell r="Q524" t="str">
            <v>TALCA</v>
          </cell>
          <cell r="R524" t="str">
            <v>FACULTAD DE MEDICINA</v>
          </cell>
          <cell r="S524" t="str">
            <v>FACULTAD DE MEDICINA</v>
          </cell>
        </row>
        <row r="525">
          <cell r="A525">
            <v>13611909</v>
          </cell>
          <cell r="B525" t="str">
            <v>13611909</v>
          </cell>
          <cell r="C525" t="str">
            <v>5</v>
          </cell>
          <cell r="D525" t="str">
            <v>LABBE VASQUEZ ERIKA JOHANNA</v>
          </cell>
          <cell r="E525" t="str">
            <v>ADC022001</v>
          </cell>
          <cell r="F525">
            <v>44</v>
          </cell>
          <cell r="G525">
            <v>30</v>
          </cell>
          <cell r="H525" t="str">
            <v>ERIKA.VASQUEZL@UTALCA.CL</v>
          </cell>
          <cell r="I525">
            <v>44562</v>
          </cell>
          <cell r="J525">
            <v>46387</v>
          </cell>
          <cell r="K525" t="str">
            <v>CONTRATA</v>
          </cell>
          <cell r="L525" t="str">
            <v>ADMINISTRATIVO</v>
          </cell>
          <cell r="M525" t="str">
            <v>ADMINISTRATIVO</v>
          </cell>
          <cell r="N525" t="str">
            <v>GRADO I.21</v>
          </cell>
          <cell r="O525" t="str">
            <v>TÍTULO PROFESIONAL</v>
          </cell>
          <cell r="P525" t="str">
            <v>ADMINISTRADOR UNIVERSITARIO DE EMPRESAS</v>
          </cell>
          <cell r="Q525" t="str">
            <v>TALCA</v>
          </cell>
          <cell r="R525" t="str">
            <v>DIRECCIÓN DE EXTENSIÓN</v>
          </cell>
          <cell r="S525" t="str">
            <v>DIRECCIÓN DE EXTENSIÓN</v>
          </cell>
        </row>
        <row r="526">
          <cell r="A526">
            <v>13612039</v>
          </cell>
          <cell r="B526" t="str">
            <v>13612039</v>
          </cell>
          <cell r="C526" t="str">
            <v>5</v>
          </cell>
          <cell r="D526" t="str">
            <v>AMIGO ROJAS CLAUDIA PAMELA</v>
          </cell>
          <cell r="E526" t="str">
            <v>FCS320012</v>
          </cell>
          <cell r="F526">
            <v>44</v>
          </cell>
          <cell r="G526">
            <v>30</v>
          </cell>
          <cell r="H526" t="str">
            <v>CAMIGO@UTALCA.CL</v>
          </cell>
          <cell r="I526">
            <v>42064</v>
          </cell>
          <cell r="J526">
            <v>46446</v>
          </cell>
          <cell r="K526" t="str">
            <v>CONTRATA</v>
          </cell>
          <cell r="L526" t="str">
            <v>CA DOCENTE</v>
          </cell>
          <cell r="M526" t="str">
            <v>INSTRUCTOR</v>
          </cell>
          <cell r="N526" t="str">
            <v>GRADO D</v>
          </cell>
          <cell r="O526" t="str">
            <v>MAGISTER</v>
          </cell>
          <cell r="P526" t="str">
            <v>MAGÍSTER EN GESTIÓN DE INSTITUCIONES DE SALUD</v>
          </cell>
          <cell r="Q526" t="str">
            <v>TALCA</v>
          </cell>
          <cell r="R526" t="str">
            <v>FACULTAD DE CIENCIAS DE LA SALUD</v>
          </cell>
          <cell r="S526" t="str">
            <v>DEPTO. CIENCIAS DEL CUIDADO EN ENFERM.</v>
          </cell>
        </row>
        <row r="527">
          <cell r="A527">
            <v>13612639</v>
          </cell>
          <cell r="B527" t="str">
            <v>13612639</v>
          </cell>
          <cell r="C527" t="str">
            <v>3</v>
          </cell>
          <cell r="D527" t="str">
            <v>OYARCE FERNANDEZ NANCY DE LA P</v>
          </cell>
          <cell r="E527" t="str">
            <v>ADC022001</v>
          </cell>
          <cell r="F527">
            <v>44</v>
          </cell>
          <cell r="G527">
            <v>30</v>
          </cell>
          <cell r="H527" t="str">
            <v>NANCY.OYARCE@UTALCA.CL</v>
          </cell>
          <cell r="I527">
            <v>44927</v>
          </cell>
          <cell r="J527">
            <v>46387</v>
          </cell>
          <cell r="K527" t="str">
            <v>CONTRATA</v>
          </cell>
          <cell r="L527" t="str">
            <v>PROFESIONAL</v>
          </cell>
          <cell r="M527" t="str">
            <v>PROFESIONAL</v>
          </cell>
          <cell r="N527" t="str">
            <v>GRADO I.17</v>
          </cell>
          <cell r="O527" t="str">
            <v>TÍTULO PROFESIONAL</v>
          </cell>
          <cell r="P527" t="str">
            <v>DISEÑADOR GRAFICO PUBLICITARIO</v>
          </cell>
          <cell r="Q527" t="str">
            <v>TALCA</v>
          </cell>
          <cell r="R527" t="str">
            <v>DIRECCIÓN DE EXTENSIÓN</v>
          </cell>
          <cell r="S527" t="str">
            <v>DIRECCIÓN DE EXTENSIÓN</v>
          </cell>
        </row>
        <row r="528">
          <cell r="A528">
            <v>13612712</v>
          </cell>
          <cell r="B528" t="str">
            <v>13612712</v>
          </cell>
          <cell r="C528" t="str">
            <v>8</v>
          </cell>
          <cell r="D528" t="str">
            <v>FUENTES PALMA BERNARDITA VALES</v>
          </cell>
          <cell r="E528" t="str">
            <v>FOD320002</v>
          </cell>
          <cell r="F528">
            <v>33</v>
          </cell>
          <cell r="G528">
            <v>30</v>
          </cell>
          <cell r="H528" t="str">
            <v>BFUENTES@UTALCA.CL</v>
          </cell>
          <cell r="I528">
            <v>39142</v>
          </cell>
          <cell r="J528">
            <v>46446</v>
          </cell>
          <cell r="K528" t="str">
            <v>CONTRATA</v>
          </cell>
          <cell r="L528" t="str">
            <v>CA DOCENTE</v>
          </cell>
          <cell r="M528" t="str">
            <v>INSTRUCTOR</v>
          </cell>
          <cell r="N528" t="str">
            <v>GRADO D</v>
          </cell>
          <cell r="O528" t="str">
            <v>MAGISTER</v>
          </cell>
          <cell r="P528" t="str">
            <v>MAGÍSTER EN CIENCIAS BIOMÉDICAS CON MENCIÓN E</v>
          </cell>
          <cell r="Q528" t="str">
            <v>TALCA</v>
          </cell>
          <cell r="R528" t="str">
            <v>FACULTAD DE ODONTOLOGÍA</v>
          </cell>
          <cell r="S528" t="str">
            <v>DEPARTAMENTO DE ESTOMATOLOGÍA</v>
          </cell>
        </row>
        <row r="529">
          <cell r="A529">
            <v>13612849</v>
          </cell>
          <cell r="B529" t="str">
            <v>13612849</v>
          </cell>
          <cell r="C529" t="str">
            <v>3</v>
          </cell>
          <cell r="D529" t="str">
            <v>GONZALEZ VILLALOBOS ALVARO FEL</v>
          </cell>
          <cell r="E529" t="str">
            <v>FOD320001</v>
          </cell>
          <cell r="F529">
            <v>11</v>
          </cell>
          <cell r="G529">
            <v>30</v>
          </cell>
          <cell r="H529" t="str">
            <v>AGONZALEZ@UTALCA.CL</v>
          </cell>
          <cell r="I529">
            <v>39508</v>
          </cell>
          <cell r="J529">
            <v>46446</v>
          </cell>
          <cell r="K529" t="str">
            <v>CONTRATA</v>
          </cell>
          <cell r="L529" t="str">
            <v>CA DOCENTE</v>
          </cell>
          <cell r="M529" t="str">
            <v>INSTRUCTOR</v>
          </cell>
          <cell r="N529" t="str">
            <v>GRADO D</v>
          </cell>
          <cell r="O529" t="str">
            <v>MAGISTER</v>
          </cell>
          <cell r="P529" t="str">
            <v>MAGISTER EN FISIOLOPATOLOGÍA CRANEOCERVICAL,</v>
          </cell>
          <cell r="Q529" t="str">
            <v>TALCA</v>
          </cell>
          <cell r="R529" t="str">
            <v>FACULTAD DE ODONTOLOGÍA</v>
          </cell>
          <cell r="S529" t="str">
            <v>DPTO. REHABILITACIÓN BUCO-MAXILOFACIAL</v>
          </cell>
        </row>
        <row r="530">
          <cell r="A530">
            <v>13612968</v>
          </cell>
          <cell r="B530" t="str">
            <v>13612968</v>
          </cell>
          <cell r="C530" t="str">
            <v>6</v>
          </cell>
          <cell r="D530" t="str">
            <v>URIBE ORTIZ JOSE LUIS</v>
          </cell>
          <cell r="E530" t="str">
            <v>FAD310001</v>
          </cell>
          <cell r="F530">
            <v>44</v>
          </cell>
          <cell r="G530">
            <v>30</v>
          </cell>
          <cell r="H530" t="str">
            <v>JURIBE@UTALCA.CL</v>
          </cell>
          <cell r="I530">
            <v>40664</v>
          </cell>
          <cell r="J530">
            <v>2958465</v>
          </cell>
          <cell r="K530" t="str">
            <v>PLANTA</v>
          </cell>
          <cell r="L530" t="str">
            <v>CA ORDINARIA</v>
          </cell>
          <cell r="M530" t="str">
            <v>PROFESOR ASOCIADO</v>
          </cell>
          <cell r="N530" t="str">
            <v>GRADO B</v>
          </cell>
          <cell r="O530" t="str">
            <v>DOCTORADO</v>
          </cell>
          <cell r="P530" t="str">
            <v>DOCTOR EN PROYECTOS ARQUITECTONICOS AVANZADOS</v>
          </cell>
          <cell r="Q530" t="str">
            <v>TALCA</v>
          </cell>
          <cell r="R530" t="str">
            <v>FACULTAD DE ARQUITECTUR, MÚSICA Y DISEÑO</v>
          </cell>
          <cell r="S530" t="str">
            <v>ESCUELA DE ARQUITECTURA</v>
          </cell>
        </row>
        <row r="531">
          <cell r="A531">
            <v>13624042</v>
          </cell>
          <cell r="B531" t="str">
            <v>13624042</v>
          </cell>
          <cell r="C531" t="str">
            <v>0</v>
          </cell>
          <cell r="D531" t="str">
            <v>RIQUELME WON JUAN ANDRES</v>
          </cell>
          <cell r="E531" t="str">
            <v>FEN310001</v>
          </cell>
          <cell r="F531">
            <v>44</v>
          </cell>
          <cell r="G531">
            <v>30</v>
          </cell>
          <cell r="H531" t="str">
            <v>JURIQUELME@UTALCA.CL</v>
          </cell>
          <cell r="I531">
            <v>42217</v>
          </cell>
          <cell r="J531">
            <v>2958465</v>
          </cell>
          <cell r="K531" t="str">
            <v>PLANTA</v>
          </cell>
          <cell r="L531" t="str">
            <v>CA ORDINARIA</v>
          </cell>
          <cell r="M531" t="str">
            <v>PROFESOR ASISTENTE</v>
          </cell>
          <cell r="N531" t="str">
            <v>GRADO C</v>
          </cell>
          <cell r="O531" t="str">
            <v>DOCTORADO</v>
          </cell>
          <cell r="P531" t="str">
            <v>DOCTOR OF PHILOSOPHY</v>
          </cell>
          <cell r="Q531" t="str">
            <v>TALCA</v>
          </cell>
          <cell r="R531" t="str">
            <v>FACULTAD DE ECONOMÍA Y NEGOCIOS</v>
          </cell>
          <cell r="S531" t="str">
            <v>ESCUELA DE INGENIERÍA COMERCIAL DE TALCA</v>
          </cell>
        </row>
        <row r="532">
          <cell r="A532">
            <v>13634323</v>
          </cell>
          <cell r="B532" t="str">
            <v>13634323</v>
          </cell>
          <cell r="C532" t="str">
            <v>8</v>
          </cell>
          <cell r="D532" t="str">
            <v>MARTINEZ RAMIREZ CARLOS IGNACI</v>
          </cell>
          <cell r="E532" t="str">
            <v>ADC021005</v>
          </cell>
          <cell r="F532">
            <v>44</v>
          </cell>
          <cell r="G532">
            <v>30</v>
          </cell>
          <cell r="H532" t="str">
            <v>CARLOS.MARTINEZ@UTALCA.CL</v>
          </cell>
          <cell r="I532">
            <v>45017</v>
          </cell>
          <cell r="J532">
            <v>46387</v>
          </cell>
          <cell r="K532" t="str">
            <v>CONTRATA</v>
          </cell>
          <cell r="L532" t="str">
            <v>PROFESIONAL</v>
          </cell>
          <cell r="M532" t="str">
            <v>PROFESIONAL</v>
          </cell>
          <cell r="N532" t="str">
            <v>GRADO I.17</v>
          </cell>
          <cell r="O532" t="str">
            <v>TÍTULO PROFESIONAL</v>
          </cell>
          <cell r="P532" t="str">
            <v>PERIODISTA</v>
          </cell>
          <cell r="Q532" t="str">
            <v>SANTIAGO</v>
          </cell>
          <cell r="R532" t="str">
            <v>DIRECCIÓN DE COMUNICACIONES CORPORATIVAS</v>
          </cell>
          <cell r="S532" t="str">
            <v>DPTO. DE COMUNICACIÓN EXTERNA Y MEDIOS</v>
          </cell>
        </row>
        <row r="533">
          <cell r="A533">
            <v>13657174</v>
          </cell>
          <cell r="B533" t="str">
            <v>13657174</v>
          </cell>
          <cell r="C533" t="str">
            <v>5</v>
          </cell>
          <cell r="D533" t="str">
            <v>JAIMOVICH BUSEL DANY ELIAS</v>
          </cell>
          <cell r="E533" t="str">
            <v>FEN310004</v>
          </cell>
          <cell r="F533">
            <v>44</v>
          </cell>
          <cell r="G533">
            <v>30</v>
          </cell>
          <cell r="H533" t="str">
            <v>DANY.JAIMOVICH@UTALCA.CL</v>
          </cell>
          <cell r="I533">
            <v>43344</v>
          </cell>
          <cell r="J533">
            <v>2958465</v>
          </cell>
          <cell r="K533" t="str">
            <v>PLANTA</v>
          </cell>
          <cell r="L533" t="str">
            <v>CA ORDINARIA</v>
          </cell>
          <cell r="M533" t="str">
            <v>PROFESOR ASOCIADO</v>
          </cell>
          <cell r="N533" t="str">
            <v>GRADO B</v>
          </cell>
          <cell r="O533" t="str">
            <v>DOCTORADO</v>
          </cell>
          <cell r="P533" t="str">
            <v>PHD IN INTERNATIONAL STUDIES</v>
          </cell>
          <cell r="Q533" t="str">
            <v>TALCA</v>
          </cell>
          <cell r="R533" t="str">
            <v>FACULTAD DE ECONOMÍA Y NEGOCIOS</v>
          </cell>
          <cell r="S533" t="str">
            <v>ESC. AUDITORIA Y CONTROL DE GESTIÓN TLCA</v>
          </cell>
        </row>
        <row r="534">
          <cell r="A534">
            <v>13657706</v>
          </cell>
          <cell r="B534" t="str">
            <v>13657706</v>
          </cell>
          <cell r="C534" t="str">
            <v>9</v>
          </cell>
          <cell r="D534" t="str">
            <v>POLANCO RUBIO MARCELA PAULINA</v>
          </cell>
          <cell r="E534" t="str">
            <v>VGE400004</v>
          </cell>
          <cell r="F534">
            <v>44</v>
          </cell>
          <cell r="G534">
            <v>30</v>
          </cell>
          <cell r="H534" t="str">
            <v>MPOLANCO@UTALCA.CL</v>
          </cell>
          <cell r="I534">
            <v>42219</v>
          </cell>
          <cell r="J534">
            <v>2958465</v>
          </cell>
          <cell r="K534" t="str">
            <v>PLANTA</v>
          </cell>
          <cell r="L534" t="str">
            <v>DIR EXCLU. CONFIANZA</v>
          </cell>
          <cell r="M534" t="str">
            <v>DIR EXCLU. CONFIANZA</v>
          </cell>
          <cell r="N534" t="str">
            <v>GRADO I.8</v>
          </cell>
          <cell r="O534" t="str">
            <v>TÍTULO PROFESIONAL</v>
          </cell>
          <cell r="P534" t="str">
            <v>CONTADOR PÚBLICO AUDITOR</v>
          </cell>
          <cell r="Q534" t="str">
            <v>TALCA</v>
          </cell>
          <cell r="R534" t="str">
            <v>VIC. GESTIÓN ECONÓMICA Y ADMINISTRACIÓN</v>
          </cell>
          <cell r="S534" t="str">
            <v>DEPARTAMENTO DE CONTABILIDAD Y BIENES</v>
          </cell>
        </row>
        <row r="535">
          <cell r="A535">
            <v>13661626</v>
          </cell>
          <cell r="B535" t="str">
            <v>13661626</v>
          </cell>
          <cell r="C535" t="str">
            <v>9</v>
          </cell>
          <cell r="D535" t="str">
            <v>URBINA ALVEAR DANIELA CECILIA</v>
          </cell>
          <cell r="E535" t="str">
            <v>ICB300001</v>
          </cell>
          <cell r="F535">
            <v>44</v>
          </cell>
          <cell r="G535">
            <v>30</v>
          </cell>
          <cell r="H535" t="str">
            <v>DURBINA@UTALCA.CL</v>
          </cell>
          <cell r="I535">
            <v>44621</v>
          </cell>
          <cell r="J535">
            <v>46446</v>
          </cell>
          <cell r="K535" t="str">
            <v>CONTRATA</v>
          </cell>
          <cell r="L535" t="str">
            <v>CA DOCENTE</v>
          </cell>
          <cell r="M535" t="str">
            <v>INSTRUCTOR</v>
          </cell>
          <cell r="N535" t="str">
            <v>GRADO D</v>
          </cell>
          <cell r="O535" t="str">
            <v>DOCTORADO</v>
          </cell>
          <cell r="P535" t="str">
            <v>DOCTORA EN CIENCIAS CON MENCIÓN EN BIOLOGÍA M</v>
          </cell>
          <cell r="Q535" t="str">
            <v>TALCA</v>
          </cell>
          <cell r="R535" t="str">
            <v>INSTITUTO DE CIENCIAS BIOLÓGICAS</v>
          </cell>
          <cell r="S535" t="str">
            <v>INSTITUTO DE CIENCIAS BIOLÓGICAS</v>
          </cell>
        </row>
        <row r="536">
          <cell r="A536">
            <v>13662102</v>
          </cell>
          <cell r="B536" t="str">
            <v>13662102</v>
          </cell>
          <cell r="C536" t="str">
            <v>5</v>
          </cell>
          <cell r="D536" t="str">
            <v>CORTES GALLARDO PEDRO PABLO</v>
          </cell>
          <cell r="E536" t="str">
            <v>VAC400001</v>
          </cell>
          <cell r="F536">
            <v>44</v>
          </cell>
          <cell r="G536">
            <v>30</v>
          </cell>
          <cell r="H536" t="str">
            <v>PECORTES@UTALCA.CL</v>
          </cell>
          <cell r="I536">
            <v>43466</v>
          </cell>
          <cell r="J536">
            <v>46387</v>
          </cell>
          <cell r="K536" t="str">
            <v>CONTRATA</v>
          </cell>
          <cell r="L536" t="str">
            <v>PROFESIONAL</v>
          </cell>
          <cell r="M536" t="str">
            <v>PROFESIONAL</v>
          </cell>
          <cell r="N536" t="str">
            <v>GRADO I.17</v>
          </cell>
          <cell r="O536" t="str">
            <v>TÍTULO PROFESIONAL</v>
          </cell>
          <cell r="P536" t="str">
            <v>BIBLIOTECARIO DOCUMENTALISTA</v>
          </cell>
          <cell r="Q536" t="str">
            <v>TALCA</v>
          </cell>
          <cell r="R536" t="str">
            <v>VICERRECTORÍA ACADÉMICA</v>
          </cell>
          <cell r="S536" t="str">
            <v>DIRECCIÓN DE BIBLIOTECAS</v>
          </cell>
        </row>
        <row r="537">
          <cell r="A537">
            <v>13664735</v>
          </cell>
          <cell r="B537" t="str">
            <v>13664735</v>
          </cell>
          <cell r="C537" t="str">
            <v>0</v>
          </cell>
          <cell r="D537" t="str">
            <v>MONTOYA SEPULVEDA CLAUDIA LORE</v>
          </cell>
          <cell r="E537" t="str">
            <v>FCS320010</v>
          </cell>
          <cell r="F537">
            <v>33</v>
          </cell>
          <cell r="G537">
            <v>30</v>
          </cell>
          <cell r="H537" t="str">
            <v>CMONTOYA@UTALCA.CL</v>
          </cell>
          <cell r="I537">
            <v>39234</v>
          </cell>
          <cell r="J537">
            <v>46812</v>
          </cell>
          <cell r="K537" t="str">
            <v>CONTRATA</v>
          </cell>
          <cell r="L537" t="str">
            <v>CA DE LA PROFESIÓN</v>
          </cell>
          <cell r="M537" t="str">
            <v>INSTRUCTOR</v>
          </cell>
          <cell r="N537" t="str">
            <v>GRADO D</v>
          </cell>
          <cell r="O537" t="str">
            <v>MAGISTER</v>
          </cell>
          <cell r="P537" t="str">
            <v>MAGISTER EN DIRECCION DE PERSONAS</v>
          </cell>
          <cell r="Q537" t="str">
            <v>TALCA</v>
          </cell>
          <cell r="R537" t="str">
            <v>FACULTAD DE CIENCIAS DE LA SALUD</v>
          </cell>
          <cell r="S537" t="str">
            <v>DPTO. DE CIENCIAS DE FONOAUDIOLOGÍA</v>
          </cell>
        </row>
        <row r="538">
          <cell r="A538">
            <v>13668458</v>
          </cell>
          <cell r="B538" t="str">
            <v>13668458</v>
          </cell>
          <cell r="C538" t="str">
            <v>2</v>
          </cell>
          <cell r="D538" t="str">
            <v>ZAVALA LAGOS PAMELA CLAUDIA</v>
          </cell>
          <cell r="E538" t="str">
            <v>ADC024006</v>
          </cell>
          <cell r="F538">
            <v>44</v>
          </cell>
          <cell r="G538">
            <v>30</v>
          </cell>
          <cell r="H538" t="str">
            <v>PAMELA.ZAVALA@UTALCA.CL</v>
          </cell>
          <cell r="I538">
            <v>45719</v>
          </cell>
          <cell r="J538">
            <v>46387</v>
          </cell>
          <cell r="K538" t="str">
            <v>CONTRATA</v>
          </cell>
          <cell r="L538" t="str">
            <v>PROFESIONAL</v>
          </cell>
          <cell r="M538" t="str">
            <v>PROFESIONAL</v>
          </cell>
          <cell r="N538" t="str">
            <v>GRADO I.17</v>
          </cell>
          <cell r="O538" t="str">
            <v>TÍTULO PROFESIONAL</v>
          </cell>
          <cell r="P538" t="str">
            <v>INGENIERO AGRÓNOMO</v>
          </cell>
          <cell r="Q538" t="str">
            <v>TALCA</v>
          </cell>
          <cell r="R538" t="str">
            <v>DRCCIÓN. GNAL. VINCULACIÓN CON EL MEDIO</v>
          </cell>
          <cell r="S538" t="str">
            <v>UND. JARDÍN BOTÁNICO Y ARBORETUM</v>
          </cell>
        </row>
        <row r="539">
          <cell r="A539">
            <v>13675901</v>
          </cell>
          <cell r="B539" t="str">
            <v>13675901</v>
          </cell>
          <cell r="C539" t="str">
            <v>9</v>
          </cell>
          <cell r="D539" t="str">
            <v>SUBIABRE UBILLA PAULINA BEATRI</v>
          </cell>
          <cell r="E539" t="str">
            <v>FED310002</v>
          </cell>
          <cell r="F539">
            <v>44</v>
          </cell>
          <cell r="G539">
            <v>30</v>
          </cell>
          <cell r="H539" t="str">
            <v>PAULINA.SUBIABRE@UTALCA.CL</v>
          </cell>
          <cell r="I539">
            <v>45139</v>
          </cell>
          <cell r="J539">
            <v>46446</v>
          </cell>
          <cell r="K539" t="str">
            <v>CONTRATA</v>
          </cell>
          <cell r="L539" t="str">
            <v>CA DOCENTE</v>
          </cell>
          <cell r="M539" t="str">
            <v>INSTRUCTOR</v>
          </cell>
          <cell r="N539" t="str">
            <v>GRADO D</v>
          </cell>
          <cell r="O539" t="str">
            <v>DOCTORADO</v>
          </cell>
          <cell r="P539" t="str">
            <v>PHILOSOPHIAE DOCTOREM</v>
          </cell>
          <cell r="Q539" t="str">
            <v>LINARES</v>
          </cell>
          <cell r="R539" t="str">
            <v>FACULTAD DE CIENCIAS DE LA EDUCACIÓN</v>
          </cell>
          <cell r="S539" t="str">
            <v>ESCUELA DE PEDAGOGÍA EN INGLÉS</v>
          </cell>
        </row>
        <row r="540">
          <cell r="A540">
            <v>13687898</v>
          </cell>
          <cell r="B540" t="str">
            <v>13687898</v>
          </cell>
          <cell r="C540" t="str">
            <v>0</v>
          </cell>
          <cell r="D540" t="str">
            <v>DUNIVICHER CURUTCHET BERNARDO</v>
          </cell>
          <cell r="E540" t="str">
            <v>VGE400031</v>
          </cell>
          <cell r="F540">
            <v>44</v>
          </cell>
          <cell r="G540">
            <v>30</v>
          </cell>
          <cell r="H540" t="str">
            <v>BERNARDO.DUNIVICHER@UTALCA.CL</v>
          </cell>
          <cell r="I540">
            <v>44197</v>
          </cell>
          <cell r="J540">
            <v>46387</v>
          </cell>
          <cell r="K540" t="str">
            <v>CONTRATA</v>
          </cell>
          <cell r="L540" t="str">
            <v>ADMINISTRATIVO</v>
          </cell>
          <cell r="M540" t="str">
            <v>ADMINISTRATIVO</v>
          </cell>
          <cell r="N540" t="str">
            <v>GRADO I.21</v>
          </cell>
          <cell r="O540" t="str">
            <v>ESCOLARIDAD CIENT HU</v>
          </cell>
          <cell r="P540" t="str">
            <v>LICENCIA ENSEÑANZA MEDIA</v>
          </cell>
          <cell r="Q540" t="str">
            <v>TALCA</v>
          </cell>
          <cell r="R540" t="str">
            <v>VIC. GESTIÓN ECONÓMICA Y ADMINISTRACIÓN</v>
          </cell>
          <cell r="S540" t="str">
            <v>DPTO. DE APOYO FINANCIERO AL ESTUDIANTE</v>
          </cell>
        </row>
        <row r="541">
          <cell r="A541">
            <v>13699261</v>
          </cell>
          <cell r="B541" t="str">
            <v>13699261</v>
          </cell>
          <cell r="C541" t="str">
            <v>9</v>
          </cell>
          <cell r="D541" t="str">
            <v>AVILA AZOCAR NICOLE ANDREA</v>
          </cell>
          <cell r="E541" t="str">
            <v>FOD200001</v>
          </cell>
          <cell r="F541">
            <v>14</v>
          </cell>
          <cell r="G541">
            <v>30</v>
          </cell>
          <cell r="H541" t="str">
            <v>NAVILA@UTALCA.CL</v>
          </cell>
          <cell r="I541">
            <v>39508</v>
          </cell>
          <cell r="J541">
            <v>46387</v>
          </cell>
          <cell r="K541" t="str">
            <v>CONTRATA</v>
          </cell>
          <cell r="L541" t="str">
            <v>C ESPECIALES</v>
          </cell>
          <cell r="M541" t="str">
            <v>TUTOR(A) PRÁCTICA</v>
          </cell>
          <cell r="N541" t="str">
            <v>SIN GRADO</v>
          </cell>
          <cell r="O541" t="str">
            <v>MAGISTER</v>
          </cell>
          <cell r="P541" t="str">
            <v>MAGISTER EN CIENCIAS MÉDICAS MENCIÓN CIRUGÍA</v>
          </cell>
          <cell r="Q541" t="str">
            <v>TALCA</v>
          </cell>
          <cell r="R541" t="str">
            <v>FACULTAD DE ODONTOLOGÍA</v>
          </cell>
          <cell r="S541" t="str">
            <v>FACULTAD DE ODONTOLOGÍA</v>
          </cell>
        </row>
        <row r="542">
          <cell r="A542">
            <v>13717797</v>
          </cell>
          <cell r="B542" t="str">
            <v>13717797</v>
          </cell>
          <cell r="C542" t="str">
            <v>8</v>
          </cell>
          <cell r="D542" t="str">
            <v>SAMUR PIRACES PATRICIA VICTORI</v>
          </cell>
          <cell r="E542" t="str">
            <v>VGE400020</v>
          </cell>
          <cell r="F542">
            <v>44</v>
          </cell>
          <cell r="G542">
            <v>30</v>
          </cell>
          <cell r="H542" t="str">
            <v>PSAMUR@UTALCA.CL</v>
          </cell>
          <cell r="I542">
            <v>37347</v>
          </cell>
          <cell r="J542">
            <v>2958465</v>
          </cell>
          <cell r="K542" t="str">
            <v>PLANTA</v>
          </cell>
          <cell r="L542" t="str">
            <v>PROFESIONAL</v>
          </cell>
          <cell r="M542" t="str">
            <v>PROFESIONAL</v>
          </cell>
          <cell r="N542" t="str">
            <v>GRADO I.16</v>
          </cell>
          <cell r="O542" t="str">
            <v>TÍTULO PROFESIONAL</v>
          </cell>
          <cell r="P542" t="str">
            <v>INGENIERO COMERCIAL</v>
          </cell>
          <cell r="Q542" t="str">
            <v>TALCA</v>
          </cell>
          <cell r="R542" t="str">
            <v>VIC. GESTIÓN ECONÓMICA Y ADMINISTRACIÓN</v>
          </cell>
          <cell r="S542" t="str">
            <v>DEPARTAMENTO DE TESORERÍA</v>
          </cell>
        </row>
        <row r="543">
          <cell r="A543">
            <v>13721867</v>
          </cell>
          <cell r="B543" t="str">
            <v>13721867</v>
          </cell>
          <cell r="C543" t="str">
            <v>4</v>
          </cell>
          <cell r="D543" t="str">
            <v>RIVAS DIAZ LAURA</v>
          </cell>
          <cell r="E543" t="str">
            <v>FAM200001</v>
          </cell>
          <cell r="F543">
            <v>44</v>
          </cell>
          <cell r="G543">
            <v>30</v>
          </cell>
          <cell r="H543" t="str">
            <v>LRIVAS@UTALCA.CL</v>
          </cell>
          <cell r="I543">
            <v>43101</v>
          </cell>
          <cell r="J543">
            <v>46387</v>
          </cell>
          <cell r="K543" t="str">
            <v>CONTRATA</v>
          </cell>
          <cell r="L543" t="str">
            <v>ADMINISTRATIVO</v>
          </cell>
          <cell r="M543" t="str">
            <v>PROFESIONAL</v>
          </cell>
          <cell r="N543" t="str">
            <v>GRADO I.17</v>
          </cell>
          <cell r="O543" t="str">
            <v>TÍTULO PROFESIONAL</v>
          </cell>
          <cell r="P543" t="str">
            <v>INGENIERO COMERCIAL MENCIÓN ADMINISTRACIÓN</v>
          </cell>
          <cell r="Q543" t="str">
            <v>TALCA</v>
          </cell>
          <cell r="R543" t="str">
            <v>FACULTAD DE MEDICINA</v>
          </cell>
          <cell r="S543" t="str">
            <v>FACULTAD DE MEDICINA</v>
          </cell>
        </row>
        <row r="544">
          <cell r="A544">
            <v>13722287</v>
          </cell>
          <cell r="B544" t="str">
            <v>13722287</v>
          </cell>
          <cell r="C544" t="str">
            <v>6</v>
          </cell>
          <cell r="D544" t="str">
            <v>ESPINOSA SAEZ MAGNA VIRGINIA</v>
          </cell>
          <cell r="E544" t="str">
            <v>VGE400032</v>
          </cell>
          <cell r="F544">
            <v>44</v>
          </cell>
          <cell r="G544">
            <v>30</v>
          </cell>
          <cell r="H544" t="str">
            <v>MESPINOSA@UTALCA.CL</v>
          </cell>
          <cell r="I544">
            <v>43556</v>
          </cell>
          <cell r="J544">
            <v>46387</v>
          </cell>
          <cell r="K544" t="str">
            <v>CONTRATA</v>
          </cell>
          <cell r="L544" t="str">
            <v>PROFESIONAL</v>
          </cell>
          <cell r="M544" t="str">
            <v>PROFESIONAL</v>
          </cell>
          <cell r="N544" t="str">
            <v>GRADO I.17</v>
          </cell>
          <cell r="O544" t="str">
            <v>MAGISTER</v>
          </cell>
          <cell r="P544" t="str">
            <v>MAGÍSTER EN GESTIÓN Y POLÍTICAS PÚBLICAS</v>
          </cell>
          <cell r="Q544" t="str">
            <v>TALCA</v>
          </cell>
          <cell r="R544" t="str">
            <v>VIC. GESTIÓN ECONÓMICA Y ADMINISTRACIÓN</v>
          </cell>
          <cell r="S544" t="str">
            <v>OFICINA DE GESTIÓN DE PROYECTOS BASALES</v>
          </cell>
        </row>
        <row r="545">
          <cell r="A545">
            <v>13722352</v>
          </cell>
          <cell r="B545" t="str">
            <v>13722352</v>
          </cell>
          <cell r="C545" t="str">
            <v>K</v>
          </cell>
          <cell r="D545" t="str">
            <v>SEPÚLVEDA VASQUÉZ RENATO ANDRÉ</v>
          </cell>
          <cell r="E545" t="str">
            <v>ADC021005</v>
          </cell>
          <cell r="F545">
            <v>44</v>
          </cell>
          <cell r="G545">
            <v>30</v>
          </cell>
          <cell r="H545" t="str">
            <v>RENATOSEPULVEDA@UTALCA.CL</v>
          </cell>
          <cell r="I545">
            <v>44197</v>
          </cell>
          <cell r="J545">
            <v>46387</v>
          </cell>
          <cell r="K545" t="str">
            <v>CONTRATA</v>
          </cell>
          <cell r="L545" t="str">
            <v>PROFESIONAL</v>
          </cell>
          <cell r="M545" t="str">
            <v>PROFESIONAL</v>
          </cell>
          <cell r="N545" t="str">
            <v>GRADO I.17</v>
          </cell>
          <cell r="O545" t="str">
            <v>LICENCIADO</v>
          </cell>
          <cell r="P545" t="str">
            <v>LICENCIADO EN COMUNICACIÓN SOCIAL</v>
          </cell>
          <cell r="Q545" t="str">
            <v>TALCA</v>
          </cell>
          <cell r="R545" t="str">
            <v>DIRECCIÓN DE COMUNICACIONES CORPORATIVAS</v>
          </cell>
          <cell r="S545" t="str">
            <v>DPTO. DE COMUNICACIÓN EXTERNA Y MEDIOS</v>
          </cell>
        </row>
        <row r="546">
          <cell r="A546">
            <v>13722396</v>
          </cell>
          <cell r="B546" t="str">
            <v>13722396</v>
          </cell>
          <cell r="C546" t="str">
            <v>1</v>
          </cell>
          <cell r="D546" t="str">
            <v>FUENZALIDA CORREA DARIO ALEJAN</v>
          </cell>
          <cell r="E546" t="str">
            <v>ADC013004</v>
          </cell>
          <cell r="F546">
            <v>44</v>
          </cell>
          <cell r="G546">
            <v>30</v>
          </cell>
          <cell r="H546" t="str">
            <v>DFUENZALIDA@UTALCA.CL</v>
          </cell>
          <cell r="I546">
            <v>41183</v>
          </cell>
          <cell r="J546">
            <v>2958465</v>
          </cell>
          <cell r="K546" t="str">
            <v>PLANTA</v>
          </cell>
          <cell r="L546" t="str">
            <v>DIR EXCLU. CONFIANZA</v>
          </cell>
          <cell r="M546" t="str">
            <v>DIR EXCLU. CONFIANZA</v>
          </cell>
          <cell r="N546" t="str">
            <v>GRADO I.8</v>
          </cell>
          <cell r="O546" t="str">
            <v>MAGISTER</v>
          </cell>
          <cell r="P546" t="str">
            <v>MAGISTER EN GERENCIA Y GESTION PUBLICA</v>
          </cell>
          <cell r="Q546" t="str">
            <v>TALCA</v>
          </cell>
          <cell r="R546" t="str">
            <v>CONTRALORÍA UNIVERSITARIA</v>
          </cell>
          <cell r="S546" t="str">
            <v>DEPARTAMENTO DE AUDITORÍA INTERNA</v>
          </cell>
        </row>
        <row r="547">
          <cell r="A547">
            <v>13722486</v>
          </cell>
          <cell r="B547" t="str">
            <v>13722486</v>
          </cell>
          <cell r="C547" t="str">
            <v>0</v>
          </cell>
          <cell r="D547" t="str">
            <v>BARRAGAN MARTINEZ ALICIA SOLED</v>
          </cell>
          <cell r="E547" t="str">
            <v>ADC019005</v>
          </cell>
          <cell r="F547">
            <v>44</v>
          </cell>
          <cell r="G547">
            <v>30</v>
          </cell>
          <cell r="H547" t="str">
            <v>ABARRAGAN@UTALCA.CL</v>
          </cell>
          <cell r="I547">
            <v>43101</v>
          </cell>
          <cell r="J547">
            <v>46387</v>
          </cell>
          <cell r="K547" t="str">
            <v>CONTRATA</v>
          </cell>
          <cell r="L547" t="str">
            <v>PROFESIONAL</v>
          </cell>
          <cell r="M547" t="str">
            <v>PROFESIONAL</v>
          </cell>
          <cell r="N547" t="str">
            <v>GRADO I.17</v>
          </cell>
          <cell r="O547" t="str">
            <v>TÍTULO PROFESIONAL</v>
          </cell>
          <cell r="P547" t="str">
            <v>DISEÑADOR GRAFICO PUBLICITARIO</v>
          </cell>
          <cell r="Q547" t="str">
            <v>TALCA</v>
          </cell>
          <cell r="R547" t="str">
            <v>EDITORIAL</v>
          </cell>
          <cell r="S547" t="str">
            <v>EDITORIAL</v>
          </cell>
        </row>
        <row r="548">
          <cell r="A548">
            <v>13722736</v>
          </cell>
          <cell r="B548" t="str">
            <v>13722736</v>
          </cell>
          <cell r="C548" t="str">
            <v>3</v>
          </cell>
          <cell r="D548" t="str">
            <v>YAÑEZ PALACIOS PAMELA VERONICA</v>
          </cell>
          <cell r="E548" t="str">
            <v>FOD400003</v>
          </cell>
          <cell r="F548">
            <v>44</v>
          </cell>
          <cell r="G548">
            <v>30</v>
          </cell>
          <cell r="H548" t="str">
            <v>PAMELA.YANEZ@UTALCA.CL</v>
          </cell>
          <cell r="I548">
            <v>45658</v>
          </cell>
          <cell r="J548">
            <v>46387</v>
          </cell>
          <cell r="K548" t="str">
            <v>CONTRATA</v>
          </cell>
          <cell r="L548" t="str">
            <v>ADMINISTRATIVO</v>
          </cell>
          <cell r="M548" t="str">
            <v>ADMINISTRATIVO</v>
          </cell>
          <cell r="N548" t="str">
            <v>GRADO I.21</v>
          </cell>
          <cell r="O548" t="str">
            <v>TÍTULO PROFESIONAL</v>
          </cell>
          <cell r="P548" t="str">
            <v>INGENIERO/A EN ADMINISTRACIÓN DE EMPRESAS</v>
          </cell>
          <cell r="Q548" t="str">
            <v>TALCA</v>
          </cell>
          <cell r="R548" t="str">
            <v>FACULTAD DE ODONTOLOGÍA</v>
          </cell>
          <cell r="S548" t="str">
            <v>ESC. POSGRADO FACULTAD DE ODONTOLOGÍA</v>
          </cell>
        </row>
        <row r="549">
          <cell r="A549">
            <v>13722879</v>
          </cell>
          <cell r="B549" t="str">
            <v>13722879</v>
          </cell>
          <cell r="C549" t="str">
            <v>3</v>
          </cell>
          <cell r="D549" t="str">
            <v>OSES ORELLANA MACARENA DEL CAR</v>
          </cell>
          <cell r="E549" t="str">
            <v>ADC019005</v>
          </cell>
          <cell r="F549">
            <v>44</v>
          </cell>
          <cell r="G549">
            <v>30</v>
          </cell>
          <cell r="H549" t="str">
            <v>MACARENA.OSES@TALCA.CL</v>
          </cell>
          <cell r="I549">
            <v>45448</v>
          </cell>
          <cell r="J549">
            <v>46387</v>
          </cell>
          <cell r="K549" t="str">
            <v>CONTRATA</v>
          </cell>
          <cell r="L549" t="str">
            <v>ADMINISTRATIVO</v>
          </cell>
          <cell r="M549" t="str">
            <v>ADMINISTRATIVO</v>
          </cell>
          <cell r="N549" t="str">
            <v>GRADO I.21</v>
          </cell>
          <cell r="O549" t="str">
            <v>ESCOLARIDAD CIENT HU</v>
          </cell>
          <cell r="P549" t="str">
            <v>TECNICO SECRETARIADO EJECUTIVO</v>
          </cell>
          <cell r="Q549" t="str">
            <v>TALCA</v>
          </cell>
          <cell r="R549" t="str">
            <v>EDITORIAL</v>
          </cell>
          <cell r="S549" t="str">
            <v>EDITORIAL</v>
          </cell>
        </row>
        <row r="550">
          <cell r="A550">
            <v>13722908</v>
          </cell>
          <cell r="B550" t="str">
            <v>13722908</v>
          </cell>
          <cell r="C550" t="str">
            <v>0</v>
          </cell>
          <cell r="D550" t="str">
            <v>PACHECO ESPINOZA ANA CAROLINA</v>
          </cell>
          <cell r="E550" t="str">
            <v>FCS320009</v>
          </cell>
          <cell r="F550">
            <v>33</v>
          </cell>
          <cell r="G550">
            <v>30</v>
          </cell>
          <cell r="H550" t="str">
            <v>APACHECO@UTALCA.CL</v>
          </cell>
          <cell r="I550">
            <v>39142</v>
          </cell>
          <cell r="J550">
            <v>46446</v>
          </cell>
          <cell r="K550" t="str">
            <v>CONTRATA</v>
          </cell>
          <cell r="L550" t="str">
            <v>CA DE LA PROFESIÓN</v>
          </cell>
          <cell r="M550" t="str">
            <v>INSTRUCTOR</v>
          </cell>
          <cell r="N550" t="str">
            <v>GRADO D</v>
          </cell>
          <cell r="O550" t="str">
            <v>MAGISTER</v>
          </cell>
          <cell r="P550" t="str">
            <v>MAGÍSTER EN TERAPIA MANUAL ORTOPÉDICA</v>
          </cell>
          <cell r="Q550" t="str">
            <v>TALCA</v>
          </cell>
          <cell r="R550" t="str">
            <v>FACULTAD DE CIENCIAS DE LA SALUD</v>
          </cell>
          <cell r="S550" t="str">
            <v>DPTO. DE CIENCIAS DEL MOVIMIENTO HUMANO</v>
          </cell>
        </row>
        <row r="551">
          <cell r="A551">
            <v>13723107</v>
          </cell>
          <cell r="B551" t="str">
            <v>13723107</v>
          </cell>
          <cell r="C551" t="str">
            <v>7</v>
          </cell>
          <cell r="D551" t="str">
            <v>VILLAR RODRIGUEZ KAREN XIMENA</v>
          </cell>
          <cell r="E551" t="str">
            <v>VGE400004</v>
          </cell>
          <cell r="F551">
            <v>44</v>
          </cell>
          <cell r="G551">
            <v>30</v>
          </cell>
          <cell r="H551" t="str">
            <v>KVILLAR@UTALCA.CL</v>
          </cell>
          <cell r="I551">
            <v>43466</v>
          </cell>
          <cell r="J551">
            <v>46387</v>
          </cell>
          <cell r="K551" t="str">
            <v>CONTRATA</v>
          </cell>
          <cell r="L551" t="str">
            <v>PROFESIONAL</v>
          </cell>
          <cell r="M551" t="str">
            <v>PROFESIONAL</v>
          </cell>
          <cell r="N551" t="str">
            <v>GRADO I.17</v>
          </cell>
          <cell r="O551" t="str">
            <v>MAGISTER</v>
          </cell>
          <cell r="P551" t="str">
            <v>MAGISTER EN DIRECCION Y PLANIFICACION TRIBUTA</v>
          </cell>
          <cell r="Q551" t="str">
            <v>TALCA</v>
          </cell>
          <cell r="R551" t="str">
            <v>VIC. GESTIÓN ECONÓMICA Y ADMINISTRACIÓN</v>
          </cell>
          <cell r="S551" t="str">
            <v>DEPARTAMENTO DE CONTABILIDAD Y BIENES</v>
          </cell>
        </row>
        <row r="552">
          <cell r="A552">
            <v>13725804</v>
          </cell>
          <cell r="B552" t="str">
            <v>13725804</v>
          </cell>
          <cell r="C552" t="str">
            <v>8</v>
          </cell>
          <cell r="D552" t="str">
            <v>GUIÑEZ MOLINOS SERGIO ALEJANDR</v>
          </cell>
          <cell r="E552" t="str">
            <v>FAM320001</v>
          </cell>
          <cell r="F552">
            <v>44</v>
          </cell>
          <cell r="G552">
            <v>20</v>
          </cell>
          <cell r="H552" t="str">
            <v>SGUINEZ@UTALCA.CL</v>
          </cell>
          <cell r="I552">
            <v>39814</v>
          </cell>
          <cell r="J552">
            <v>46446</v>
          </cell>
          <cell r="K552" t="str">
            <v>CONTRATA</v>
          </cell>
          <cell r="L552" t="str">
            <v>CA DOCENTE</v>
          </cell>
          <cell r="M552" t="str">
            <v>PROFESOR ASOCIADO</v>
          </cell>
          <cell r="N552" t="str">
            <v>GRADO B</v>
          </cell>
          <cell r="O552" t="str">
            <v>DOCTORADO</v>
          </cell>
          <cell r="P552" t="str">
            <v>DOCTOR EN MEDICINA E INVESTIGACIÓN TRASLACION</v>
          </cell>
          <cell r="Q552" t="str">
            <v>TALCA</v>
          </cell>
          <cell r="R552" t="str">
            <v>FACULTAD DE MEDICINA</v>
          </cell>
          <cell r="S552" t="str">
            <v>DEPARTAMENTO DE CIENCIAS PRECLÍNICAS</v>
          </cell>
        </row>
        <row r="553">
          <cell r="A553">
            <v>13730434</v>
          </cell>
          <cell r="B553" t="str">
            <v>13730434</v>
          </cell>
          <cell r="C553" t="str">
            <v>1</v>
          </cell>
          <cell r="D553" t="str">
            <v>BAIER FUENTES CARLOS RODRIGO</v>
          </cell>
          <cell r="E553" t="str">
            <v>FCI320007</v>
          </cell>
          <cell r="F553">
            <v>44</v>
          </cell>
          <cell r="G553">
            <v>30</v>
          </cell>
          <cell r="H553" t="str">
            <v>CBAIER@UTALCA.CL</v>
          </cell>
          <cell r="I553">
            <v>39881</v>
          </cell>
          <cell r="J553">
            <v>2958465</v>
          </cell>
          <cell r="K553" t="str">
            <v>PLANTA</v>
          </cell>
          <cell r="L553" t="str">
            <v>CA ORDINARIA</v>
          </cell>
          <cell r="M553" t="str">
            <v>PROFESOR ASOCIADO</v>
          </cell>
          <cell r="N553" t="str">
            <v>GRADO B</v>
          </cell>
          <cell r="O553" t="str">
            <v>DOCTORADO</v>
          </cell>
          <cell r="P553" t="str">
            <v>DOCTOR EN CIENCIAS DE LA INGENIERÍA,CON MENCI</v>
          </cell>
          <cell r="Q553" t="str">
            <v>CURICO</v>
          </cell>
          <cell r="R553" t="str">
            <v>FACULTAD DE INGENIERÍA</v>
          </cell>
          <cell r="S553" t="str">
            <v>DEPARTAMENTO DE INGENIERÍA ELÉCTRICA</v>
          </cell>
        </row>
        <row r="554">
          <cell r="A554">
            <v>13756490</v>
          </cell>
          <cell r="B554" t="str">
            <v>13756490</v>
          </cell>
          <cell r="C554" t="str">
            <v>4</v>
          </cell>
          <cell r="D554" t="str">
            <v>NORAMBUENA SEPULVEDA KAREN MAR</v>
          </cell>
          <cell r="E554" t="str">
            <v>FPS200001</v>
          </cell>
          <cell r="F554">
            <v>44</v>
          </cell>
          <cell r="G554">
            <v>30</v>
          </cell>
          <cell r="H554" t="str">
            <v>KNORAMBUENA@UTALCA.CL</v>
          </cell>
          <cell r="I554">
            <v>43101</v>
          </cell>
          <cell r="J554">
            <v>46387</v>
          </cell>
          <cell r="K554" t="str">
            <v>CONTRATA</v>
          </cell>
          <cell r="L554" t="str">
            <v>ADMINISTRATIVO</v>
          </cell>
          <cell r="M554" t="str">
            <v>ADMINISTRATIVO</v>
          </cell>
          <cell r="N554" t="str">
            <v>GRADO I.21</v>
          </cell>
          <cell r="O554" t="str">
            <v>TÍTULO PROFESIONAL</v>
          </cell>
          <cell r="P554" t="str">
            <v>INGENIERO DE EJECUCIÓN EN INFORMÁTICA</v>
          </cell>
          <cell r="Q554" t="str">
            <v>TALCA</v>
          </cell>
          <cell r="R554" t="str">
            <v>FACULTAD DE PSICOLOGÍA</v>
          </cell>
          <cell r="S554" t="str">
            <v>FACULTAD DE PSICOLOGÍA</v>
          </cell>
        </row>
        <row r="555">
          <cell r="A555">
            <v>13756786</v>
          </cell>
          <cell r="B555" t="str">
            <v>13756786</v>
          </cell>
          <cell r="C555" t="str">
            <v>5</v>
          </cell>
          <cell r="D555" t="str">
            <v>CARRASCO VERA VANESSA LISETTE</v>
          </cell>
          <cell r="E555" t="str">
            <v>FCJ200001</v>
          </cell>
          <cell r="F555">
            <v>44</v>
          </cell>
          <cell r="G555">
            <v>30</v>
          </cell>
          <cell r="H555" t="str">
            <v>VCARRASCO@UTALCA.CL</v>
          </cell>
          <cell r="I555">
            <v>41275</v>
          </cell>
          <cell r="J555">
            <v>46387</v>
          </cell>
          <cell r="K555" t="str">
            <v>CONTRATA</v>
          </cell>
          <cell r="L555" t="str">
            <v>ADMINISTRATIVO</v>
          </cell>
          <cell r="M555" t="str">
            <v>ADMINISTRATIVO</v>
          </cell>
          <cell r="N555" t="str">
            <v>GRADO I.21</v>
          </cell>
          <cell r="O555" t="str">
            <v>TÉC. NIVEL MEDIO</v>
          </cell>
          <cell r="P555" t="str">
            <v>SECRETARIA ADMINISTRATIVA COMPUTACIONAL</v>
          </cell>
          <cell r="Q555" t="str">
            <v>SANTIAGO</v>
          </cell>
          <cell r="R555" t="str">
            <v>FACULTAD CIENCIAS JURÍDICAS Y SOCIALES</v>
          </cell>
          <cell r="S555" t="str">
            <v>FACULTAD CIENCIAS JURÍDICAS Y SOCIALES</v>
          </cell>
        </row>
        <row r="556">
          <cell r="A556">
            <v>13756844</v>
          </cell>
          <cell r="B556" t="str">
            <v>13756844</v>
          </cell>
          <cell r="C556" t="str">
            <v>6</v>
          </cell>
          <cell r="D556" t="str">
            <v>CARRILLO CHACANO ROBINSON FRED</v>
          </cell>
          <cell r="E556" t="str">
            <v>FOD350001</v>
          </cell>
          <cell r="F556">
            <v>44</v>
          </cell>
          <cell r="G556">
            <v>30</v>
          </cell>
          <cell r="H556" t="str">
            <v>RCARRILLO@UTALCA.CL</v>
          </cell>
          <cell r="I556">
            <v>44197</v>
          </cell>
          <cell r="J556">
            <v>46387</v>
          </cell>
          <cell r="K556" t="str">
            <v>CONTRATA</v>
          </cell>
          <cell r="L556" t="str">
            <v>TÉCNICO</v>
          </cell>
          <cell r="M556" t="str">
            <v>TÉCNICO</v>
          </cell>
          <cell r="N556" t="str">
            <v>GRADO I.21</v>
          </cell>
          <cell r="O556" t="str">
            <v>TÉC. NIVEL SUPERIOR</v>
          </cell>
          <cell r="P556" t="str">
            <v>TECNICO EN ANALISIS DE SISTEMAS COMPUTACIONAL</v>
          </cell>
          <cell r="Q556" t="str">
            <v>TALCA</v>
          </cell>
          <cell r="R556" t="str">
            <v>FACULTAD DE ODONTOLOGÍA</v>
          </cell>
          <cell r="S556" t="str">
            <v>CLÍNICAS ODONTOLÓGICAS</v>
          </cell>
        </row>
        <row r="557">
          <cell r="A557">
            <v>13765940</v>
          </cell>
          <cell r="B557" t="str">
            <v>13765940</v>
          </cell>
          <cell r="C557" t="str">
            <v>9</v>
          </cell>
          <cell r="D557" t="str">
            <v>ZENTENO CACERES CLAUDIA ANDREA</v>
          </cell>
          <cell r="E557" t="str">
            <v>FCS320012</v>
          </cell>
          <cell r="F557">
            <v>44</v>
          </cell>
          <cell r="G557">
            <v>30</v>
          </cell>
          <cell r="H557" t="str">
            <v>CZENTENO@UTALCA.CL</v>
          </cell>
          <cell r="I557">
            <v>41883</v>
          </cell>
          <cell r="J557">
            <v>46446</v>
          </cell>
          <cell r="K557" t="str">
            <v>CONTRATA</v>
          </cell>
          <cell r="L557" t="str">
            <v>CA DOCENTE</v>
          </cell>
          <cell r="M557" t="str">
            <v>INSTRUCTOR</v>
          </cell>
          <cell r="N557" t="str">
            <v>GRADO D</v>
          </cell>
          <cell r="O557" t="str">
            <v>MAGISTER</v>
          </cell>
          <cell r="P557" t="str">
            <v>MAGÍSTER EN ENFERMERÍA CON MENCIÓN EN EDUCACI</v>
          </cell>
          <cell r="Q557" t="str">
            <v>TALCA</v>
          </cell>
          <cell r="R557" t="str">
            <v>FACULTAD DE CIENCIAS DE LA SALUD</v>
          </cell>
          <cell r="S557" t="str">
            <v>DEPTO. CIENCIAS DEL CUIDADO EN ENFERM.</v>
          </cell>
        </row>
        <row r="558">
          <cell r="A558">
            <v>13766079</v>
          </cell>
          <cell r="B558" t="str">
            <v>13766079</v>
          </cell>
          <cell r="C558" t="str">
            <v>2</v>
          </cell>
          <cell r="D558" t="str">
            <v>QUINTANA LLANQUILEO MARIA JOSE</v>
          </cell>
          <cell r="E558" t="str">
            <v>FCS320010</v>
          </cell>
          <cell r="F558">
            <v>44</v>
          </cell>
          <cell r="G558">
            <v>30</v>
          </cell>
          <cell r="H558" t="str">
            <v>MQUINTANA@UTALCA.CL</v>
          </cell>
          <cell r="I558">
            <v>39142</v>
          </cell>
          <cell r="J558">
            <v>46446</v>
          </cell>
          <cell r="K558" t="str">
            <v>CONTRATA</v>
          </cell>
          <cell r="L558" t="str">
            <v>CA DOCENTE</v>
          </cell>
          <cell r="M558" t="str">
            <v>INSTRUCTOR</v>
          </cell>
          <cell r="N558" t="str">
            <v>GRADO D</v>
          </cell>
          <cell r="O558" t="str">
            <v>MAGISTER</v>
          </cell>
          <cell r="P558" t="str">
            <v>MAGÍSTER EN AUDIOLOGÍA</v>
          </cell>
          <cell r="Q558" t="str">
            <v>TALCA</v>
          </cell>
          <cell r="R558" t="str">
            <v>FACULTAD DE CIENCIAS DE LA SALUD</v>
          </cell>
          <cell r="S558" t="str">
            <v>DPTO. DE CIENCIAS DE FONOAUDIOLOGÍA</v>
          </cell>
        </row>
        <row r="559">
          <cell r="A559">
            <v>13766843</v>
          </cell>
          <cell r="B559" t="str">
            <v>13766843</v>
          </cell>
          <cell r="C559" t="str">
            <v>2</v>
          </cell>
          <cell r="D559" t="str">
            <v>LIENDO ROJAS ALVARO PATRICIO</v>
          </cell>
          <cell r="E559" t="str">
            <v>IMF300001</v>
          </cell>
          <cell r="F559">
            <v>44</v>
          </cell>
          <cell r="G559">
            <v>30</v>
          </cell>
          <cell r="H559" t="str">
            <v>ALIENDO@UTALCA.CL</v>
          </cell>
          <cell r="I559">
            <v>41334</v>
          </cell>
          <cell r="J559">
            <v>2958465</v>
          </cell>
          <cell r="K559" t="str">
            <v>PLANTA</v>
          </cell>
          <cell r="L559" t="str">
            <v>CA ORDINARIA</v>
          </cell>
          <cell r="M559" t="str">
            <v>PROFESOR TITULAR</v>
          </cell>
          <cell r="N559" t="str">
            <v>GRADO A</v>
          </cell>
          <cell r="O559" t="str">
            <v>DOCTORADO</v>
          </cell>
          <cell r="P559" t="str">
            <v>MATHEMATIQUES SCIENCES ET TECHNOLOGIES DE LNF</v>
          </cell>
          <cell r="Q559" t="str">
            <v>TALCA</v>
          </cell>
          <cell r="R559" t="str">
            <v>INSTITUTO DE MATEMÁTICAS</v>
          </cell>
          <cell r="S559" t="str">
            <v>INSTITUTO DE MATEMÁTICAS</v>
          </cell>
        </row>
        <row r="560">
          <cell r="A560">
            <v>13776374</v>
          </cell>
          <cell r="B560" t="str">
            <v>13776374</v>
          </cell>
          <cell r="C560" t="str">
            <v>5</v>
          </cell>
          <cell r="D560" t="str">
            <v>ARENAS SALINAS MAURICIO ANTONI</v>
          </cell>
          <cell r="E560" t="str">
            <v>FCI320001</v>
          </cell>
          <cell r="F560">
            <v>44</v>
          </cell>
          <cell r="G560">
            <v>30</v>
          </cell>
          <cell r="H560" t="str">
            <v>MARENAS@UTALCA.CL</v>
          </cell>
          <cell r="I560">
            <v>38261</v>
          </cell>
          <cell r="J560">
            <v>2958465</v>
          </cell>
          <cell r="K560" t="str">
            <v>PLANTA</v>
          </cell>
          <cell r="L560" t="str">
            <v>CA ORDINARIA</v>
          </cell>
          <cell r="M560" t="str">
            <v>PROFESOR ASISTENTE</v>
          </cell>
          <cell r="N560" t="str">
            <v>GRADO C</v>
          </cell>
          <cell r="O560" t="str">
            <v>DOCTORADO</v>
          </cell>
          <cell r="P560" t="str">
            <v>DOCTOR EN BIOTECNOLOGÍA</v>
          </cell>
          <cell r="Q560" t="str">
            <v>TALCA</v>
          </cell>
          <cell r="R560" t="str">
            <v>FACULTAD DE INGENIERÍA</v>
          </cell>
          <cell r="S560" t="str">
            <v>DEPARTAMENTO DE BIOINFORMÁTICA</v>
          </cell>
        </row>
        <row r="561">
          <cell r="A561">
            <v>13787147</v>
          </cell>
          <cell r="B561" t="str">
            <v>13787147</v>
          </cell>
          <cell r="C561" t="str">
            <v>5</v>
          </cell>
          <cell r="D561" t="str">
            <v>AMARO AVENDAÑO CAROL ANA</v>
          </cell>
          <cell r="E561" t="str">
            <v>VRF400022</v>
          </cell>
          <cell r="F561">
            <v>22</v>
          </cell>
          <cell r="G561">
            <v>30</v>
          </cell>
          <cell r="H561" t="str">
            <v>CAMARO@UTALCA.CL</v>
          </cell>
          <cell r="I561">
            <v>41640</v>
          </cell>
          <cell r="J561">
            <v>46387</v>
          </cell>
          <cell r="K561" t="str">
            <v>CONTRATA</v>
          </cell>
          <cell r="L561" t="str">
            <v>PROFESIONAL</v>
          </cell>
          <cell r="M561" t="str">
            <v>PROFESIONAL</v>
          </cell>
          <cell r="N561" t="str">
            <v>GRADO I.17</v>
          </cell>
          <cell r="O561" t="str">
            <v>MAGISTER</v>
          </cell>
          <cell r="P561" t="str">
            <v>MAGISTER EN ÉTICA Y FOMACIÓN CIUDADANA</v>
          </cell>
          <cell r="Q561" t="str">
            <v>TALCA</v>
          </cell>
          <cell r="R561" t="str">
            <v>VICERRECTORÍA DE FORMACIÓN</v>
          </cell>
          <cell r="S561" t="str">
            <v>UNIDAD DE PROMOCIÓN Y ACOMPAÑAMIENTO</v>
          </cell>
        </row>
        <row r="562">
          <cell r="A562">
            <v>13787406</v>
          </cell>
          <cell r="B562" t="str">
            <v>13787406</v>
          </cell>
          <cell r="C562" t="str">
            <v>7</v>
          </cell>
          <cell r="D562" t="str">
            <v>CRESPO FLORES ALEXIS RODRIGO</v>
          </cell>
          <cell r="E562" t="str">
            <v>ADC022001</v>
          </cell>
          <cell r="F562">
            <v>44</v>
          </cell>
          <cell r="G562">
            <v>30</v>
          </cell>
          <cell r="H562" t="str">
            <v>ALEXIS.CRESPO@UTALCA.CL</v>
          </cell>
          <cell r="I562">
            <v>39569</v>
          </cell>
          <cell r="J562">
            <v>46387</v>
          </cell>
          <cell r="K562" t="str">
            <v>CONTRATA</v>
          </cell>
          <cell r="L562" t="str">
            <v>AUXILIAR</v>
          </cell>
          <cell r="M562" t="str">
            <v>ADMINISTRATIVO</v>
          </cell>
          <cell r="N562" t="str">
            <v>GRADO I.21</v>
          </cell>
          <cell r="O562" t="str">
            <v>TÉC. NIVEL MEDIO</v>
          </cell>
          <cell r="P562" t="str">
            <v>ENSEÑANZA MEDIA</v>
          </cell>
          <cell r="Q562" t="str">
            <v>TALCA</v>
          </cell>
          <cell r="R562" t="str">
            <v>DIRECCIÓN DE EXTENSIÓN</v>
          </cell>
          <cell r="S562" t="str">
            <v>DIRECCIÓN DE EXTENSIÓN</v>
          </cell>
        </row>
        <row r="563">
          <cell r="A563">
            <v>13787649</v>
          </cell>
          <cell r="B563" t="str">
            <v>13787649</v>
          </cell>
          <cell r="C563" t="str">
            <v>3</v>
          </cell>
          <cell r="D563" t="str">
            <v>PEÑA YAÑEZ IRMA MACARENA</v>
          </cell>
          <cell r="E563" t="str">
            <v>FCI320002</v>
          </cell>
          <cell r="F563">
            <v>44</v>
          </cell>
          <cell r="G563">
            <v>30</v>
          </cell>
          <cell r="H563" t="str">
            <v>IPENA@UTALCA.CL</v>
          </cell>
          <cell r="I563">
            <v>45139</v>
          </cell>
          <cell r="J563">
            <v>46446</v>
          </cell>
          <cell r="K563" t="str">
            <v>CONTRATA</v>
          </cell>
          <cell r="L563" t="str">
            <v>CA DOCENTE</v>
          </cell>
          <cell r="M563" t="str">
            <v>INSTRUCTOR</v>
          </cell>
          <cell r="N563" t="str">
            <v>GRADO D</v>
          </cell>
          <cell r="O563" t="str">
            <v>MAGISTER</v>
          </cell>
          <cell r="P563" t="str">
            <v>MAGISTER EN ADMINISTRACION DE EMPRESAS CON ME</v>
          </cell>
          <cell r="Q563" t="str">
            <v>CURICO</v>
          </cell>
          <cell r="R563" t="str">
            <v>FACULTAD DE INGENIERÍA</v>
          </cell>
          <cell r="S563" t="str">
            <v>DEPARTAMENTO DE INGENIERÍA INDUSTRIAL</v>
          </cell>
        </row>
        <row r="564">
          <cell r="A564">
            <v>13789666</v>
          </cell>
          <cell r="B564" t="str">
            <v>13789666</v>
          </cell>
          <cell r="C564" t="str">
            <v>4</v>
          </cell>
          <cell r="D564" t="str">
            <v>SAN MARTIN BAEZ PATRICIO HUMBE</v>
          </cell>
          <cell r="E564" t="str">
            <v>VGE400019</v>
          </cell>
          <cell r="F564">
            <v>44</v>
          </cell>
          <cell r="G564">
            <v>30</v>
          </cell>
          <cell r="H564" t="str">
            <v>PATRICIO.SANMARTIN@UTALCA.CL</v>
          </cell>
          <cell r="I564">
            <v>44927</v>
          </cell>
          <cell r="J564">
            <v>46387</v>
          </cell>
          <cell r="K564" t="str">
            <v>CONTRATA</v>
          </cell>
          <cell r="L564" t="str">
            <v>PROFESIONAL</v>
          </cell>
          <cell r="M564" t="str">
            <v>PROFESIONAL</v>
          </cell>
          <cell r="N564" t="str">
            <v>GRADO I.17</v>
          </cell>
          <cell r="O564" t="str">
            <v>TÍTULO PROFESIONAL</v>
          </cell>
          <cell r="P564" t="str">
            <v>INGENIERO EN ADMINISTRACION DE EMPRESAS</v>
          </cell>
          <cell r="Q564" t="str">
            <v>TALCA</v>
          </cell>
          <cell r="R564" t="str">
            <v>VIC. GESTIÓN ECONÓMICA Y ADMINISTRACIÓN</v>
          </cell>
          <cell r="S564" t="str">
            <v>DPTO. DE GESTIÓN DE PAGO A PROVEEDORES</v>
          </cell>
        </row>
        <row r="565">
          <cell r="A565">
            <v>13790145</v>
          </cell>
          <cell r="B565" t="str">
            <v>13790145</v>
          </cell>
          <cell r="C565" t="str">
            <v>5</v>
          </cell>
          <cell r="D565" t="str">
            <v>ARAYA ALVEAR SERGIO ENRIQUE</v>
          </cell>
          <cell r="E565" t="str">
            <v>VGE400055</v>
          </cell>
          <cell r="F565">
            <v>44</v>
          </cell>
          <cell r="G565">
            <v>30</v>
          </cell>
          <cell r="H565" t="str">
            <v>SEARAYA@UTALCA.CL</v>
          </cell>
          <cell r="I565">
            <v>43466</v>
          </cell>
          <cell r="J565">
            <v>46387</v>
          </cell>
          <cell r="K565" t="str">
            <v>CONTRATA</v>
          </cell>
          <cell r="L565" t="str">
            <v>ADMINISTRATIVO</v>
          </cell>
          <cell r="M565" t="str">
            <v>ADMINISTRATIVO</v>
          </cell>
          <cell r="N565" t="str">
            <v>GRADO I.21</v>
          </cell>
          <cell r="O565" t="str">
            <v>TÍTULO PROFESIONAL</v>
          </cell>
          <cell r="P565" t="str">
            <v>INGENIERO EN REDES Y TELECOMUNICACIONES</v>
          </cell>
          <cell r="Q565" t="str">
            <v>TALCA</v>
          </cell>
          <cell r="R565" t="str">
            <v>VIC. GESTIÓN ECONÓMICA Y ADMINISTRACIÓN</v>
          </cell>
          <cell r="S565" t="str">
            <v>DEPARTAMENTO DE PLATAFORMAS TI</v>
          </cell>
        </row>
        <row r="566">
          <cell r="A566">
            <v>13791438</v>
          </cell>
          <cell r="B566" t="str">
            <v>13791438</v>
          </cell>
          <cell r="C566" t="str">
            <v>7</v>
          </cell>
          <cell r="D566" t="str">
            <v>MORALES NORAMBUENA PAOLA ANDRE</v>
          </cell>
          <cell r="E566" t="str">
            <v>FOD320002</v>
          </cell>
          <cell r="F566">
            <v>42</v>
          </cell>
          <cell r="G566">
            <v>30</v>
          </cell>
          <cell r="H566" t="str">
            <v>PMORALESN@UTALCA.CL</v>
          </cell>
          <cell r="I566">
            <v>39142</v>
          </cell>
          <cell r="J566">
            <v>46387</v>
          </cell>
          <cell r="K566" t="str">
            <v>CONTRATA</v>
          </cell>
          <cell r="L566" t="str">
            <v>CA DOCENTE</v>
          </cell>
          <cell r="M566" t="str">
            <v>INSTRUCTOR</v>
          </cell>
          <cell r="N566" t="str">
            <v>GRADO D</v>
          </cell>
          <cell r="O566" t="str">
            <v>MAGISTER</v>
          </cell>
          <cell r="P566" t="str">
            <v>MAGÍSTER EN ODONTOLOGÍA CON ESPECIALIZACIÓN E</v>
          </cell>
          <cell r="Q566" t="str">
            <v>TALCA</v>
          </cell>
          <cell r="R566" t="str">
            <v>FACULTAD DE ODONTOLOGÍA</v>
          </cell>
          <cell r="S566" t="str">
            <v>DEPARTAMENTO DE ESTOMATOLOGÍA</v>
          </cell>
        </row>
        <row r="567">
          <cell r="A567">
            <v>13792214</v>
          </cell>
          <cell r="B567" t="str">
            <v>13792214</v>
          </cell>
          <cell r="C567" t="str">
            <v>2</v>
          </cell>
          <cell r="D567" t="str">
            <v>MORALES HERNANDEZ YOHANA ANDRE</v>
          </cell>
          <cell r="E567" t="str">
            <v/>
          </cell>
          <cell r="F567">
            <v>44</v>
          </cell>
          <cell r="G567">
            <v>30</v>
          </cell>
          <cell r="H567" t="str">
            <v>YMORALES@UTALCA.CL</v>
          </cell>
          <cell r="I567">
            <v>44927</v>
          </cell>
          <cell r="J567">
            <v>46387</v>
          </cell>
          <cell r="K567" t="str">
            <v>CONTRATA</v>
          </cell>
          <cell r="L567" t="str">
            <v>PROFESIONAL</v>
          </cell>
          <cell r="M567" t="str">
            <v>PROFESIONAL</v>
          </cell>
          <cell r="N567" t="str">
            <v>GRADO I.17</v>
          </cell>
          <cell r="O567" t="str">
            <v>MAGISTER</v>
          </cell>
          <cell r="P567" t="str">
            <v>MAGISTER EN GESTION AMBIENTAL TERRITORIAL</v>
          </cell>
          <cell r="Q567" t="str">
            <v>CURICO</v>
          </cell>
          <cell r="R567" t="str">
            <v>FACULTAD DE INGENIERÍA</v>
          </cell>
          <cell r="S567" t="str">
            <v>FACULTAD DE INGENIERÍA</v>
          </cell>
        </row>
        <row r="568">
          <cell r="A568">
            <v>13798390</v>
          </cell>
          <cell r="B568" t="str">
            <v>13798390</v>
          </cell>
          <cell r="C568" t="str">
            <v>7</v>
          </cell>
          <cell r="D568" t="str">
            <v>GUTIERREZ QUINTANA PATRICIO AL</v>
          </cell>
          <cell r="E568" t="str">
            <v>VAC400001</v>
          </cell>
          <cell r="F568">
            <v>44</v>
          </cell>
          <cell r="G568">
            <v>30</v>
          </cell>
          <cell r="H568" t="str">
            <v>PATRICIO.GUTIERREZ@UTALCA.CL</v>
          </cell>
          <cell r="I568">
            <v>44718</v>
          </cell>
          <cell r="J568">
            <v>46387</v>
          </cell>
          <cell r="K568" t="str">
            <v>CONTRATA</v>
          </cell>
          <cell r="L568" t="str">
            <v>ADMINISTRATIVO</v>
          </cell>
          <cell r="M568" t="str">
            <v>ADMINISTRATIVO</v>
          </cell>
          <cell r="N568" t="str">
            <v>GRADO I.21</v>
          </cell>
          <cell r="O568" t="str">
            <v>TÉC. NIVEL SUPERIOR</v>
          </cell>
          <cell r="P568" t="str">
            <v>TECNICO UNIVERSITARIO EN COMPUTACION</v>
          </cell>
          <cell r="Q568" t="str">
            <v>TALCA</v>
          </cell>
          <cell r="R568" t="str">
            <v>VICERRECTORÍA ACADÉMICA</v>
          </cell>
          <cell r="S568" t="str">
            <v>DIRECCIÓN DE BIBLIOTECAS</v>
          </cell>
        </row>
        <row r="569">
          <cell r="A569">
            <v>13830261</v>
          </cell>
          <cell r="B569" t="str">
            <v>13830261</v>
          </cell>
          <cell r="C569" t="str">
            <v>K</v>
          </cell>
          <cell r="D569" t="str">
            <v>GARCIA GONZALEZ RODRIGO ALEXI</v>
          </cell>
          <cell r="E569" t="str">
            <v>VAC400073</v>
          </cell>
          <cell r="F569">
            <v>44</v>
          </cell>
          <cell r="G569">
            <v>30</v>
          </cell>
          <cell r="H569" t="str">
            <v>RODRIGO.GARCIA@UTALCA.CL</v>
          </cell>
          <cell r="I569">
            <v>43525</v>
          </cell>
          <cell r="J569">
            <v>46387</v>
          </cell>
          <cell r="K569" t="str">
            <v>CONTRATA</v>
          </cell>
          <cell r="L569" t="str">
            <v>PROFESIONAL</v>
          </cell>
          <cell r="M569" t="str">
            <v>PROFESIONAL</v>
          </cell>
          <cell r="N569" t="str">
            <v>GRADO I.17</v>
          </cell>
          <cell r="O569" t="str">
            <v>MAGISTER</v>
          </cell>
          <cell r="P569" t="str">
            <v>MAGISTER EN POLITICAS PUBLICAS</v>
          </cell>
          <cell r="Q569" t="str">
            <v>TALCA</v>
          </cell>
          <cell r="R569" t="str">
            <v>VICERRECTORÍA ACADÉMICA</v>
          </cell>
          <cell r="S569" t="str">
            <v>UNIDAD DE PROYECTOS DE INVESTIGACIÓN</v>
          </cell>
        </row>
        <row r="570">
          <cell r="A570">
            <v>13846391</v>
          </cell>
          <cell r="B570" t="str">
            <v>13846391</v>
          </cell>
          <cell r="C570" t="str">
            <v>5</v>
          </cell>
          <cell r="D570" t="str">
            <v>ITURRA RIVERA VICTOR HUGO</v>
          </cell>
          <cell r="E570" t="str">
            <v>FEN310001</v>
          </cell>
          <cell r="F570">
            <v>44</v>
          </cell>
          <cell r="G570">
            <v>30</v>
          </cell>
          <cell r="H570" t="str">
            <v>VICTOR.ITURRA@UTALCA.CL</v>
          </cell>
          <cell r="I570">
            <v>44774</v>
          </cell>
          <cell r="J570">
            <v>46446</v>
          </cell>
          <cell r="K570" t="str">
            <v>CONTRATA</v>
          </cell>
          <cell r="L570" t="str">
            <v>CA DOCENTE</v>
          </cell>
          <cell r="M570" t="str">
            <v>PROFESOR ASISTENTE</v>
          </cell>
          <cell r="N570" t="str">
            <v>GRADO C</v>
          </cell>
          <cell r="O570" t="str">
            <v>DOCTORADO</v>
          </cell>
          <cell r="P570" t="str">
            <v>DOCTOR OF PHILOSOPHY</v>
          </cell>
          <cell r="Q570" t="str">
            <v>TALCA</v>
          </cell>
          <cell r="R570" t="str">
            <v>FACULTAD DE ECONOMÍA Y NEGOCIOS</v>
          </cell>
          <cell r="S570" t="str">
            <v>ESCUELA DE INGENIERÍA COMERCIAL DE TALCA</v>
          </cell>
        </row>
        <row r="571">
          <cell r="A571">
            <v>13848095</v>
          </cell>
          <cell r="B571" t="str">
            <v>13848095</v>
          </cell>
          <cell r="C571" t="str">
            <v>K</v>
          </cell>
          <cell r="D571" t="str">
            <v>COLIPAN URIBE XIMENA ANDREA</v>
          </cell>
          <cell r="E571" t="str">
            <v>FED310009</v>
          </cell>
          <cell r="F571">
            <v>44</v>
          </cell>
          <cell r="G571">
            <v>30</v>
          </cell>
          <cell r="H571" t="str">
            <v>XIMENA.COLIPAN@UTALCA.CL</v>
          </cell>
          <cell r="I571">
            <v>43466</v>
          </cell>
          <cell r="J571">
            <v>46446</v>
          </cell>
          <cell r="K571" t="str">
            <v>CONTRATA</v>
          </cell>
          <cell r="L571" t="str">
            <v>CA DOCENTE</v>
          </cell>
          <cell r="M571" t="str">
            <v>PROFESOR ASOCIADO</v>
          </cell>
          <cell r="N571" t="str">
            <v>GRADO B</v>
          </cell>
          <cell r="O571" t="str">
            <v>DOCTORADO</v>
          </cell>
          <cell r="P571" t="str">
            <v>DOCTEUR SPÉCIALITÉ MATHEMATIQUES ET INFORMATI</v>
          </cell>
          <cell r="Q571" t="str">
            <v>LINARES</v>
          </cell>
          <cell r="R571" t="str">
            <v>FACULTAD DE CIENCIAS DE LA EDUCACIÓN</v>
          </cell>
          <cell r="S571" t="str">
            <v>ESC. PDG.CIENCIAS NATURALES Y EXACTAS</v>
          </cell>
        </row>
        <row r="572">
          <cell r="A572">
            <v>13850577</v>
          </cell>
          <cell r="B572" t="str">
            <v>13850577</v>
          </cell>
          <cell r="C572" t="str">
            <v>4</v>
          </cell>
          <cell r="D572" t="str">
            <v>URZUA SANDOVAL MAURICIO</v>
          </cell>
          <cell r="E572" t="str">
            <v>FCI340001</v>
          </cell>
          <cell r="F572">
            <v>44</v>
          </cell>
          <cell r="G572">
            <v>30</v>
          </cell>
          <cell r="H572" t="str">
            <v>MAURICIO.URZUA@UTALCA.CL</v>
          </cell>
          <cell r="I572">
            <v>45922</v>
          </cell>
          <cell r="J572">
            <v>46387</v>
          </cell>
          <cell r="K572" t="str">
            <v>CONTRATA</v>
          </cell>
          <cell r="L572" t="str">
            <v>AUXILIAR</v>
          </cell>
          <cell r="M572" t="str">
            <v>AUXILIAR</v>
          </cell>
          <cell r="N572" t="str">
            <v>GRADO I.24</v>
          </cell>
          <cell r="O572" t="str">
            <v>ESCOLARIDAD CIENT HU</v>
          </cell>
          <cell r="P572" t="str">
            <v/>
          </cell>
          <cell r="Q572" t="str">
            <v>CURICO</v>
          </cell>
          <cell r="R572" t="str">
            <v>FACULTAD DE INGENIERÍA</v>
          </cell>
          <cell r="S572" t="str">
            <v>FACULTAD DE INGENIERÍA</v>
          </cell>
        </row>
        <row r="573">
          <cell r="A573">
            <v>13853578</v>
          </cell>
          <cell r="B573" t="str">
            <v>13853578</v>
          </cell>
          <cell r="C573" t="str">
            <v>9</v>
          </cell>
          <cell r="D573" t="str">
            <v>INOSTROZA MUÑOZ MILTON MARCELO</v>
          </cell>
          <cell r="E573" t="str">
            <v>FEN310001</v>
          </cell>
          <cell r="F573">
            <v>44</v>
          </cell>
          <cell r="G573">
            <v>30</v>
          </cell>
          <cell r="H573" t="str">
            <v>MINOSTROZA@UTALCA.CL</v>
          </cell>
          <cell r="I573">
            <v>42005</v>
          </cell>
          <cell r="J573">
            <v>46446</v>
          </cell>
          <cell r="K573" t="str">
            <v>CONTRATA</v>
          </cell>
          <cell r="L573" t="str">
            <v>CA DOCENTE</v>
          </cell>
          <cell r="M573" t="str">
            <v>PROFESOR ASISTENTE</v>
          </cell>
          <cell r="N573" t="str">
            <v>GRADO C</v>
          </cell>
          <cell r="O573" t="str">
            <v>DOCTORADO</v>
          </cell>
          <cell r="P573" t="str">
            <v>DOCTOR EN CIENCIAS DE LA ADMINISTRACION</v>
          </cell>
          <cell r="Q573" t="str">
            <v>TALCA</v>
          </cell>
          <cell r="R573" t="str">
            <v>FACULTAD DE ECONOMÍA Y NEGOCIOS</v>
          </cell>
          <cell r="S573" t="str">
            <v>ESCUELA DE INGENIERÍA COMERCIAL DE TALCA</v>
          </cell>
        </row>
        <row r="574">
          <cell r="A574">
            <v>13856644</v>
          </cell>
          <cell r="B574" t="str">
            <v>13856644</v>
          </cell>
          <cell r="C574" t="str">
            <v>7</v>
          </cell>
          <cell r="D574" t="str">
            <v>AVILA GONZALEZ FANI CAROLINA</v>
          </cell>
          <cell r="E574" t="str">
            <v>FCI200001</v>
          </cell>
          <cell r="F574">
            <v>35</v>
          </cell>
          <cell r="G574">
            <v>30</v>
          </cell>
          <cell r="H574" t="str">
            <v>FAVILA@UTALCA.CL</v>
          </cell>
          <cell r="I574">
            <v>43466</v>
          </cell>
          <cell r="J574">
            <v>46387</v>
          </cell>
          <cell r="K574" t="str">
            <v>CONTRATA</v>
          </cell>
          <cell r="L574" t="str">
            <v>ADMINISTRATIVO</v>
          </cell>
          <cell r="M574" t="str">
            <v>ADMINISTRATIVO</v>
          </cell>
          <cell r="N574" t="str">
            <v>GRADO I.21</v>
          </cell>
          <cell r="O574" t="str">
            <v>TÉC. NIVEL SUPERIOR</v>
          </cell>
          <cell r="P574" t="str">
            <v>TÉCNICO EN GESTIÓN ADMINISTRATIVA</v>
          </cell>
          <cell r="Q574" t="str">
            <v>CURICO</v>
          </cell>
          <cell r="R574" t="str">
            <v>FACULTAD DE INGENIERÍA</v>
          </cell>
          <cell r="S574" t="str">
            <v>ESCUELA DE POSTGRADO FACULTAD INGENIERÍA</v>
          </cell>
        </row>
        <row r="575">
          <cell r="A575">
            <v>13856710</v>
          </cell>
          <cell r="B575" t="str">
            <v>13856710</v>
          </cell>
          <cell r="C575" t="str">
            <v>9</v>
          </cell>
          <cell r="D575" t="str">
            <v>TRUJILLO HERNANDEZ ERICK GONZA</v>
          </cell>
          <cell r="E575" t="str">
            <v>FAM320001</v>
          </cell>
          <cell r="F575">
            <v>44</v>
          </cell>
          <cell r="G575">
            <v>30</v>
          </cell>
          <cell r="H575" t="str">
            <v>ETRUJILLO@UTALCA.CL</v>
          </cell>
          <cell r="I575">
            <v>39508</v>
          </cell>
          <cell r="J575">
            <v>46446</v>
          </cell>
          <cell r="K575" t="str">
            <v>CONTRATA</v>
          </cell>
          <cell r="L575" t="str">
            <v>CA DOCENTE</v>
          </cell>
          <cell r="M575" t="str">
            <v>INSTRUCTOR</v>
          </cell>
          <cell r="N575" t="str">
            <v>GRADO D</v>
          </cell>
          <cell r="O575" t="str">
            <v>MAGISTER</v>
          </cell>
          <cell r="P575" t="str">
            <v>MAGISTER EN CIENCIAS MENCION MORFOLOGIA</v>
          </cell>
          <cell r="Q575" t="str">
            <v>TALCA</v>
          </cell>
          <cell r="R575" t="str">
            <v>FACULTAD DE MEDICINA</v>
          </cell>
          <cell r="S575" t="str">
            <v>DEPARTAMENTO DE CIENCIAS PRECLÍNICAS</v>
          </cell>
        </row>
        <row r="576">
          <cell r="A576">
            <v>13856859</v>
          </cell>
          <cell r="B576" t="str">
            <v>13856859</v>
          </cell>
          <cell r="C576" t="str">
            <v>8</v>
          </cell>
          <cell r="D576" t="str">
            <v>VILLALOBOS ACEVEDO MANUEL ALEJ</v>
          </cell>
          <cell r="E576" t="str">
            <v>FCS200001</v>
          </cell>
          <cell r="F576">
            <v>44</v>
          </cell>
          <cell r="G576">
            <v>30</v>
          </cell>
          <cell r="H576" t="str">
            <v>MANVILLALOBOS@UTALCA.CL</v>
          </cell>
          <cell r="I576">
            <v>43466</v>
          </cell>
          <cell r="J576">
            <v>46387</v>
          </cell>
          <cell r="K576" t="str">
            <v>CONTRATA</v>
          </cell>
          <cell r="L576" t="str">
            <v>ADMINISTRATIVO</v>
          </cell>
          <cell r="M576" t="str">
            <v>ADMINISTRATIVO</v>
          </cell>
          <cell r="N576" t="str">
            <v>GRADO I.21</v>
          </cell>
          <cell r="O576" t="str">
            <v>MAGISTER</v>
          </cell>
          <cell r="P576" t="str">
            <v>MAGISTER EN GOBIERNO Y ADMINISTRACIÓN PÚBLICA</v>
          </cell>
          <cell r="Q576" t="str">
            <v>TALCA</v>
          </cell>
          <cell r="R576" t="str">
            <v>FACULTAD DE CIENCIAS DE LA SALUD</v>
          </cell>
          <cell r="S576" t="str">
            <v>FACULTAD DE CIENCIAS DE LA SALUD</v>
          </cell>
        </row>
        <row r="577">
          <cell r="A577">
            <v>13856896</v>
          </cell>
          <cell r="B577" t="str">
            <v>13856896</v>
          </cell>
          <cell r="C577" t="str">
            <v>2</v>
          </cell>
          <cell r="D577" t="str">
            <v>VILLALOBOS BARRIA CARLOS ALBER</v>
          </cell>
          <cell r="E577" t="str">
            <v>FEN310003</v>
          </cell>
          <cell r="F577">
            <v>44</v>
          </cell>
          <cell r="G577">
            <v>30</v>
          </cell>
          <cell r="H577" t="str">
            <v>CVILLALOBOS@UTALCA.CL</v>
          </cell>
          <cell r="I577">
            <v>42457</v>
          </cell>
          <cell r="J577">
            <v>2958465</v>
          </cell>
          <cell r="K577" t="str">
            <v>PLANTA</v>
          </cell>
          <cell r="L577" t="str">
            <v>CA ORDINARIA</v>
          </cell>
          <cell r="M577" t="str">
            <v>PROFESOR ASISTENTE</v>
          </cell>
          <cell r="N577" t="str">
            <v>GRADO C</v>
          </cell>
          <cell r="O577" t="str">
            <v>DOCTORADO</v>
          </cell>
          <cell r="P577" t="str">
            <v>DOCTOR EN ECONOMÍA</v>
          </cell>
          <cell r="Q577" t="str">
            <v>TALCA</v>
          </cell>
          <cell r="R577" t="str">
            <v>FACULTAD DE ECONOMÍA Y NEGOCIOS</v>
          </cell>
          <cell r="S577" t="str">
            <v>ESCUELA DE INGENIERÍA COMERCIAL DE TALCA</v>
          </cell>
        </row>
        <row r="578">
          <cell r="A578">
            <v>13856950</v>
          </cell>
          <cell r="B578" t="str">
            <v>13856950</v>
          </cell>
          <cell r="C578" t="str">
            <v>0</v>
          </cell>
          <cell r="D578" t="str">
            <v>GRACIA RAMIREZ MARIA FERNANDA</v>
          </cell>
          <cell r="E578" t="str">
            <v>VGE400005</v>
          </cell>
          <cell r="F578">
            <v>44</v>
          </cell>
          <cell r="G578">
            <v>30</v>
          </cell>
          <cell r="H578" t="str">
            <v>MARGRACIA@UTALCA.CL</v>
          </cell>
          <cell r="I578">
            <v>42095</v>
          </cell>
          <cell r="J578">
            <v>2958465</v>
          </cell>
          <cell r="K578" t="str">
            <v>PLANTA</v>
          </cell>
          <cell r="L578" t="str">
            <v>ADMINISTRATIVO</v>
          </cell>
          <cell r="M578" t="str">
            <v>ADMINISTRATIVO</v>
          </cell>
          <cell r="N578" t="str">
            <v>GRADO I.19</v>
          </cell>
          <cell r="O578" t="str">
            <v>TÉC. NIVEL SUPERIOR</v>
          </cell>
          <cell r="P578" t="str">
            <v>TECNICO EN ADMINISTRACION DE EMPRESAS</v>
          </cell>
          <cell r="Q578" t="str">
            <v>TALCA</v>
          </cell>
          <cell r="R578" t="str">
            <v>VIC. GESTIÓN ECONÓMICA Y ADMINISTRACIÓN</v>
          </cell>
          <cell r="S578" t="str">
            <v>DEPARTAMENTO DE GESTIÓN DE COMPRAS</v>
          </cell>
        </row>
        <row r="579">
          <cell r="A579">
            <v>13857003</v>
          </cell>
          <cell r="B579" t="str">
            <v>13857003</v>
          </cell>
          <cell r="C579" t="str">
            <v>7</v>
          </cell>
          <cell r="D579" t="str">
            <v>POBLETE RIQUELME PATRICIA ELEN</v>
          </cell>
          <cell r="E579" t="str">
            <v>ADC030115</v>
          </cell>
          <cell r="F579">
            <v>44</v>
          </cell>
          <cell r="G579">
            <v>30</v>
          </cell>
          <cell r="H579" t="str">
            <v>PATPOBLETE@UTALCA.CL</v>
          </cell>
          <cell r="I579">
            <v>40077</v>
          </cell>
          <cell r="J579">
            <v>2958465</v>
          </cell>
          <cell r="K579" t="str">
            <v>PLANTA</v>
          </cell>
          <cell r="L579" t="str">
            <v>DIR EXCLU. CONFIANZA</v>
          </cell>
          <cell r="M579" t="str">
            <v>PROFESIONAL</v>
          </cell>
          <cell r="N579" t="str">
            <v>GRADO I.17</v>
          </cell>
          <cell r="O579" t="str">
            <v>MAGISTER</v>
          </cell>
          <cell r="P579" t="str">
            <v>MAGISTER  DIRECCION FINANCIERA Y GESTION TRIB</v>
          </cell>
          <cell r="Q579" t="str">
            <v>TALCA</v>
          </cell>
          <cell r="R579" t="str">
            <v>DIRECCIÓN DE ASEGURAMIENTO DE LA CALIDAD</v>
          </cell>
          <cell r="S579" t="str">
            <v>DEPTO. RED SALUD Y CAMPOS CLINICOS.</v>
          </cell>
        </row>
        <row r="580">
          <cell r="A580">
            <v>13857116</v>
          </cell>
          <cell r="B580" t="str">
            <v>13857116</v>
          </cell>
          <cell r="C580" t="str">
            <v>5</v>
          </cell>
          <cell r="D580" t="str">
            <v>VIDAL SILVA CRISTIAN LORENZO</v>
          </cell>
          <cell r="E580" t="str">
            <v>FCI320009</v>
          </cell>
          <cell r="F580">
            <v>44</v>
          </cell>
          <cell r="G580">
            <v>30</v>
          </cell>
          <cell r="H580" t="str">
            <v>CVIDAL@UTALCA.CL</v>
          </cell>
          <cell r="I580">
            <v>44621</v>
          </cell>
          <cell r="J580">
            <v>46446</v>
          </cell>
          <cell r="K580" t="str">
            <v>CONTRATA</v>
          </cell>
          <cell r="L580" t="str">
            <v>CA DOCENTE</v>
          </cell>
          <cell r="M580" t="str">
            <v>PROFESOR ASISTENTE</v>
          </cell>
          <cell r="N580" t="str">
            <v>GRADO C</v>
          </cell>
          <cell r="O580" t="str">
            <v>DOCTORADO</v>
          </cell>
          <cell r="P580" t="str">
            <v>DOCTORADO EN INGENIERIA INFORMATICA</v>
          </cell>
          <cell r="Q580" t="str">
            <v>TALCA</v>
          </cell>
          <cell r="R580" t="str">
            <v>FACULTAD DE INGENIERÍA</v>
          </cell>
          <cell r="S580" t="str">
            <v>DPTO. VISUALI. INTERACTIVA Y REA.VIRTUAL</v>
          </cell>
        </row>
        <row r="581">
          <cell r="A581">
            <v>13857161</v>
          </cell>
          <cell r="B581" t="str">
            <v>13857161</v>
          </cell>
          <cell r="C581" t="str">
            <v>0</v>
          </cell>
          <cell r="D581" t="str">
            <v>VALDES CAMPOS JUAN LUIS</v>
          </cell>
          <cell r="E581" t="str">
            <v>VGE400019</v>
          </cell>
          <cell r="F581">
            <v>44</v>
          </cell>
          <cell r="G581">
            <v>30</v>
          </cell>
          <cell r="H581" t="str">
            <v>J.VALDES@UTALCA.CL</v>
          </cell>
          <cell r="I581">
            <v>43101</v>
          </cell>
          <cell r="J581">
            <v>46387</v>
          </cell>
          <cell r="K581" t="str">
            <v>CONTRATA</v>
          </cell>
          <cell r="L581" t="str">
            <v>PROFESIONAL</v>
          </cell>
          <cell r="M581" t="str">
            <v>PROFESIONAL</v>
          </cell>
          <cell r="N581" t="str">
            <v>GRADO I.17</v>
          </cell>
          <cell r="O581" t="str">
            <v>TÍTULO PROFESIONAL</v>
          </cell>
          <cell r="P581" t="str">
            <v>CONTADOR PÚBLICO Y AUDITOR</v>
          </cell>
          <cell r="Q581" t="str">
            <v>TALCA</v>
          </cell>
          <cell r="R581" t="str">
            <v>VIC. GESTIÓN ECONÓMICA Y ADMINISTRACIÓN</v>
          </cell>
          <cell r="S581" t="str">
            <v>DPTO. DE GESTIÓN DE PAGO A PROVEEDORES</v>
          </cell>
        </row>
        <row r="582">
          <cell r="A582">
            <v>13857388</v>
          </cell>
          <cell r="B582" t="str">
            <v>13857388</v>
          </cell>
          <cell r="C582" t="str">
            <v>5</v>
          </cell>
          <cell r="D582" t="str">
            <v>ARRIAGADA CALVO CARLA ROXANA</v>
          </cell>
          <cell r="E582" t="str">
            <v>VGE400003</v>
          </cell>
          <cell r="F582">
            <v>44</v>
          </cell>
          <cell r="G582">
            <v>30</v>
          </cell>
          <cell r="H582" t="str">
            <v>CAARRIAGADA@UTALCA.CL</v>
          </cell>
          <cell r="I582">
            <v>42370</v>
          </cell>
          <cell r="J582">
            <v>46387</v>
          </cell>
          <cell r="K582" t="str">
            <v>CONTRATA</v>
          </cell>
          <cell r="L582" t="str">
            <v>PROFESIONAL</v>
          </cell>
          <cell r="M582" t="str">
            <v>PROFESIONAL</v>
          </cell>
          <cell r="N582" t="str">
            <v>GRADO I.17</v>
          </cell>
          <cell r="O582" t="str">
            <v>TÍTULO PROFESIONAL</v>
          </cell>
          <cell r="P582" t="str">
            <v>INGENIERO DE EJECUCIÓN EN INFORMÁTICA</v>
          </cell>
          <cell r="Q582" t="str">
            <v>TALCA</v>
          </cell>
          <cell r="R582" t="str">
            <v>VIC. GESTIÓN ECONÓMICA Y ADMINISTRACIÓN</v>
          </cell>
          <cell r="S582" t="str">
            <v>DEPARTAMENTO DE GESTIÓN DE PERSONAS</v>
          </cell>
        </row>
        <row r="583">
          <cell r="A583">
            <v>13857408</v>
          </cell>
          <cell r="B583" t="str">
            <v>13857408</v>
          </cell>
          <cell r="C583" t="str">
            <v>3</v>
          </cell>
          <cell r="D583" t="str">
            <v>PALOMO VELEZ RODRIGO IGNACIO</v>
          </cell>
          <cell r="E583" t="str">
            <v>FCJ320001</v>
          </cell>
          <cell r="F583">
            <v>44</v>
          </cell>
          <cell r="G583">
            <v>30</v>
          </cell>
          <cell r="H583" t="str">
            <v>RPALOMO@UTALCA.CL</v>
          </cell>
          <cell r="I583">
            <v>38565</v>
          </cell>
          <cell r="J583">
            <v>2958465</v>
          </cell>
          <cell r="K583" t="str">
            <v>PLANTA</v>
          </cell>
          <cell r="L583" t="str">
            <v>CA ORDINARIA</v>
          </cell>
          <cell r="M583" t="str">
            <v>PROFESOR ASOCIADO</v>
          </cell>
          <cell r="N583" t="str">
            <v>GRADO B</v>
          </cell>
          <cell r="O583" t="str">
            <v>DOCTORADO</v>
          </cell>
          <cell r="P583" t="str">
            <v>DOCTOR EN DERECHO DEL TRABAJO Y DE LA SEGURID</v>
          </cell>
          <cell r="Q583" t="str">
            <v>TALCA</v>
          </cell>
          <cell r="R583" t="str">
            <v>FACULTAD CIENCIAS JURÍDICAS Y SOCIALES</v>
          </cell>
          <cell r="S583" t="str">
            <v>DPTO. DERECHO PENAL PROCESAL Y  TRABAJO</v>
          </cell>
        </row>
        <row r="584">
          <cell r="A584">
            <v>13857487</v>
          </cell>
          <cell r="B584" t="str">
            <v>13857487</v>
          </cell>
          <cell r="C584" t="str">
            <v>3</v>
          </cell>
          <cell r="D584" t="str">
            <v>JARA ROJAS ROBERTO ALEJANDRO</v>
          </cell>
          <cell r="E584" t="str">
            <v>FCA320001</v>
          </cell>
          <cell r="F584">
            <v>44</v>
          </cell>
          <cell r="G584">
            <v>30</v>
          </cell>
          <cell r="H584" t="str">
            <v>RJARA@UTALCA.CL</v>
          </cell>
          <cell r="I584">
            <v>39873</v>
          </cell>
          <cell r="J584">
            <v>2958465</v>
          </cell>
          <cell r="K584" t="str">
            <v>PLANTA</v>
          </cell>
          <cell r="L584" t="str">
            <v>CA ORDINARIA</v>
          </cell>
          <cell r="M584" t="str">
            <v>PROFESOR ASOCIADO</v>
          </cell>
          <cell r="N584" t="str">
            <v>GRADO B</v>
          </cell>
          <cell r="O584" t="str">
            <v>DOCTORADO</v>
          </cell>
          <cell r="P584" t="str">
            <v>DOCTOR EN CIENCIAS AGRARIAS</v>
          </cell>
          <cell r="Q584" t="str">
            <v>TALCA</v>
          </cell>
          <cell r="R584" t="str">
            <v>FACULTAD DE CIENCIAS AGRARIAS</v>
          </cell>
          <cell r="S584" t="str">
            <v>DEPARTAMENTO DE ECONOMÍA AGRARIA</v>
          </cell>
        </row>
        <row r="585">
          <cell r="A585">
            <v>13857498</v>
          </cell>
          <cell r="B585" t="str">
            <v>13857498</v>
          </cell>
          <cell r="C585" t="str">
            <v>9</v>
          </cell>
          <cell r="D585" t="str">
            <v>ROJAS ESPINOZA CLAUDIA ANDREA</v>
          </cell>
          <cell r="E585" t="str">
            <v/>
          </cell>
          <cell r="F585">
            <v>44</v>
          </cell>
          <cell r="G585">
            <v>30</v>
          </cell>
          <cell r="H585" t="str">
            <v>CLAUDROJAS@UTALCA.CL</v>
          </cell>
          <cell r="I585">
            <v>44927</v>
          </cell>
          <cell r="J585">
            <v>46387</v>
          </cell>
          <cell r="K585" t="str">
            <v>CONTRATA</v>
          </cell>
          <cell r="L585" t="str">
            <v>PROFESIONAL</v>
          </cell>
          <cell r="M585" t="str">
            <v>PROFESIONAL</v>
          </cell>
          <cell r="N585" t="str">
            <v>GRADO I.17</v>
          </cell>
          <cell r="O585" t="str">
            <v>MAGISTER</v>
          </cell>
          <cell r="P585" t="str">
            <v>MAGISTER EN GESTION TECNOLOGICA</v>
          </cell>
          <cell r="Q585" t="str">
            <v>TALCA</v>
          </cell>
          <cell r="R585" t="str">
            <v>FACULTAD DE CIENCIAS AGRARIAS</v>
          </cell>
          <cell r="S585" t="str">
            <v>CENTRO DE INOCUIDAD ALIMENTARIA</v>
          </cell>
        </row>
        <row r="586">
          <cell r="A586">
            <v>13857705</v>
          </cell>
          <cell r="B586" t="str">
            <v>13857705</v>
          </cell>
          <cell r="C586" t="str">
            <v>8</v>
          </cell>
          <cell r="D586" t="str">
            <v>AMIGO VASQUEZ SUSANA ELENA</v>
          </cell>
          <cell r="E586" t="str">
            <v>FOD320002</v>
          </cell>
          <cell r="F586">
            <v>22</v>
          </cell>
          <cell r="G586">
            <v>30</v>
          </cell>
          <cell r="H586" t="str">
            <v>SAMIGO@UTALCA.CL</v>
          </cell>
          <cell r="I586">
            <v>39539</v>
          </cell>
          <cell r="J586">
            <v>46446</v>
          </cell>
          <cell r="K586" t="str">
            <v>CONTRATA</v>
          </cell>
          <cell r="L586" t="str">
            <v>CA DOCENTE</v>
          </cell>
          <cell r="M586" t="str">
            <v>INSTRUCTOR</v>
          </cell>
          <cell r="N586" t="str">
            <v>GRADO D</v>
          </cell>
          <cell r="O586" t="str">
            <v>ESPECIAL. ODONTOLÓG.</v>
          </cell>
          <cell r="P586" t="str">
            <v>CIRUJANO DENTISTA - ESPECIALIZACION EN RADIOL</v>
          </cell>
          <cell r="Q586" t="str">
            <v>TALCA</v>
          </cell>
          <cell r="R586" t="str">
            <v>FACULTAD DE ODONTOLOGÍA</v>
          </cell>
          <cell r="S586" t="str">
            <v>DEPARTAMENTO DE ESTOMATOLOGÍA</v>
          </cell>
        </row>
        <row r="587">
          <cell r="A587">
            <v>13857724</v>
          </cell>
          <cell r="B587" t="str">
            <v>13857724</v>
          </cell>
          <cell r="C587" t="str">
            <v>4</v>
          </cell>
          <cell r="D587" t="str">
            <v>GUTIERREZ ROJAS ADELINA ANDREA</v>
          </cell>
          <cell r="E587" t="str">
            <v>ICB300001</v>
          </cell>
          <cell r="F587">
            <v>44</v>
          </cell>
          <cell r="G587">
            <v>30</v>
          </cell>
          <cell r="H587" t="str">
            <v>ADGUTIERREZ@UTALCA.CL</v>
          </cell>
          <cell r="I587">
            <v>43466</v>
          </cell>
          <cell r="J587">
            <v>46387</v>
          </cell>
          <cell r="K587" t="str">
            <v>CONTRATA</v>
          </cell>
          <cell r="L587" t="str">
            <v>PROFESIONAL</v>
          </cell>
          <cell r="M587" t="str">
            <v>PROFESIONAL</v>
          </cell>
          <cell r="N587" t="str">
            <v>GRADO I.17</v>
          </cell>
          <cell r="O587" t="str">
            <v>TÍTULO PROFESIONAL</v>
          </cell>
          <cell r="P587" t="str">
            <v>INGENIERO FORESTAL</v>
          </cell>
          <cell r="Q587" t="str">
            <v>TALCA</v>
          </cell>
          <cell r="R587" t="str">
            <v>INSTITUTO DE CIENCIAS BIOLÓGICAS</v>
          </cell>
          <cell r="S587" t="str">
            <v>INSTITUTO DE CIENCIAS BIOLÓGICAS</v>
          </cell>
        </row>
        <row r="588">
          <cell r="A588">
            <v>13858469</v>
          </cell>
          <cell r="B588" t="str">
            <v>13858469</v>
          </cell>
          <cell r="C588" t="str">
            <v>0</v>
          </cell>
          <cell r="D588" t="str">
            <v>TIGERO RICHARDS TAMARA ALEJAND</v>
          </cell>
          <cell r="E588" t="str">
            <v>FEN310001</v>
          </cell>
          <cell r="F588">
            <v>44</v>
          </cell>
          <cell r="G588">
            <v>30</v>
          </cell>
          <cell r="H588" t="str">
            <v>TTIGERO@UTALCA.CL</v>
          </cell>
          <cell r="I588">
            <v>38718</v>
          </cell>
          <cell r="J588">
            <v>46446</v>
          </cell>
          <cell r="K588" t="str">
            <v>CONTRATA</v>
          </cell>
          <cell r="L588" t="str">
            <v>CA DOCENTE</v>
          </cell>
          <cell r="M588" t="str">
            <v>PROFESOR ASISTENTE</v>
          </cell>
          <cell r="N588" t="str">
            <v>GRADO C</v>
          </cell>
          <cell r="O588" t="str">
            <v>DOCTORADO</v>
          </cell>
          <cell r="P588" t="str">
            <v>DOCTORADO EN FINANZAS</v>
          </cell>
          <cell r="Q588" t="str">
            <v>TALCA</v>
          </cell>
          <cell r="R588" t="str">
            <v>FACULTAD DE ECONOMÍA Y NEGOCIOS</v>
          </cell>
          <cell r="S588" t="str">
            <v>ESCUELA DE INGENIERÍA COMERCIAL DE TALCA</v>
          </cell>
        </row>
        <row r="589">
          <cell r="A589">
            <v>13858508</v>
          </cell>
          <cell r="B589" t="str">
            <v>13858508</v>
          </cell>
          <cell r="C589" t="str">
            <v>5</v>
          </cell>
          <cell r="D589" t="str">
            <v>CHAMORRO MEJIAS IVONNE ORIETA</v>
          </cell>
          <cell r="E589" t="str">
            <v>VGE400006</v>
          </cell>
          <cell r="F589">
            <v>44</v>
          </cell>
          <cell r="G589">
            <v>30</v>
          </cell>
          <cell r="H589" t="str">
            <v>IVONNE.CHAMORRO@UTALCA.CL</v>
          </cell>
          <cell r="I589">
            <v>44197</v>
          </cell>
          <cell r="J589">
            <v>46387</v>
          </cell>
          <cell r="K589" t="str">
            <v>CONTRATA</v>
          </cell>
          <cell r="L589" t="str">
            <v>TÉCNICO</v>
          </cell>
          <cell r="M589" t="str">
            <v>TÉCNICO</v>
          </cell>
          <cell r="N589" t="str">
            <v>GRADO I.21</v>
          </cell>
          <cell r="O589" t="str">
            <v>TÍTULO PROFESIONAL</v>
          </cell>
          <cell r="P589" t="str">
            <v>INGENIERO EN EJECUCIÓN EN ADMINISTRACIÓN</v>
          </cell>
          <cell r="Q589" t="str">
            <v>TALCA</v>
          </cell>
          <cell r="R589" t="str">
            <v>VIC. GESTIÓN ECONÓMICA Y ADMINISTRACIÓN</v>
          </cell>
          <cell r="S589" t="str">
            <v>BIENESTAR DEL PERSONAL</v>
          </cell>
        </row>
        <row r="590">
          <cell r="A590">
            <v>13858527</v>
          </cell>
          <cell r="B590" t="str">
            <v>13858527</v>
          </cell>
          <cell r="C590" t="str">
            <v>1</v>
          </cell>
          <cell r="D590" t="str">
            <v>CONTRERAS ROJAS CRISTIAN MARCE</v>
          </cell>
          <cell r="E590" t="str">
            <v>FCJ320001</v>
          </cell>
          <cell r="F590">
            <v>44</v>
          </cell>
          <cell r="G590">
            <v>30</v>
          </cell>
          <cell r="H590" t="str">
            <v>CCONTRERAS@UTALCA.CL</v>
          </cell>
          <cell r="I590">
            <v>39873</v>
          </cell>
          <cell r="J590">
            <v>2958465</v>
          </cell>
          <cell r="K590" t="str">
            <v>PLANTA</v>
          </cell>
          <cell r="L590" t="str">
            <v>CA ORDINARIA</v>
          </cell>
          <cell r="M590" t="str">
            <v>PROFESOR ASISTENTE</v>
          </cell>
          <cell r="N590" t="str">
            <v>GRADO C</v>
          </cell>
          <cell r="O590" t="str">
            <v>DOCTORADO</v>
          </cell>
          <cell r="P590" t="str">
            <v>DOCTOR EN DERECHO Y CIENCIA POLITICA</v>
          </cell>
          <cell r="Q590" t="str">
            <v>TALCA</v>
          </cell>
          <cell r="R590" t="str">
            <v>FACULTAD CIENCIAS JURÍDICAS Y SOCIALES</v>
          </cell>
          <cell r="S590" t="str">
            <v>DPTO. DERECHO PENAL PROCESAL Y  TRABAJO</v>
          </cell>
        </row>
        <row r="591">
          <cell r="A591">
            <v>13860126</v>
          </cell>
          <cell r="B591" t="str">
            <v>13860126</v>
          </cell>
          <cell r="C591" t="str">
            <v>9</v>
          </cell>
          <cell r="D591" t="str">
            <v>CARRASCO MANRIQUEZ CLAUDIA AND</v>
          </cell>
          <cell r="E591" t="str">
            <v>FED310002</v>
          </cell>
          <cell r="F591">
            <v>44</v>
          </cell>
          <cell r="G591">
            <v>30</v>
          </cell>
          <cell r="H591" t="str">
            <v>CLAUDIA.CARRASCO@UTALCA.CL</v>
          </cell>
          <cell r="I591">
            <v>44774</v>
          </cell>
          <cell r="J591">
            <v>46446</v>
          </cell>
          <cell r="K591" t="str">
            <v>CONTRATA</v>
          </cell>
          <cell r="L591" t="str">
            <v>CA DOCENTE</v>
          </cell>
          <cell r="M591" t="str">
            <v>INSTRUCTOR</v>
          </cell>
          <cell r="N591" t="str">
            <v>GRADO D</v>
          </cell>
          <cell r="O591" t="str">
            <v>DOCTORADO</v>
          </cell>
          <cell r="P591" t="str">
            <v>DOCTORADO EN EDUCACIÓN Y SOCIEDAD</v>
          </cell>
          <cell r="Q591" t="str">
            <v>LINARES</v>
          </cell>
          <cell r="R591" t="str">
            <v>FACULTAD DE CIENCIAS DE LA EDUCACIÓN</v>
          </cell>
          <cell r="S591" t="str">
            <v>ESCUELA DE PEDAGOGÍA EN INGLÉS</v>
          </cell>
        </row>
        <row r="592">
          <cell r="A592">
            <v>13895761</v>
          </cell>
          <cell r="B592" t="str">
            <v>13895761</v>
          </cell>
          <cell r="C592" t="str">
            <v>6</v>
          </cell>
          <cell r="D592" t="str">
            <v>ARIAS PAVEZ FRANCISCO JAVIER</v>
          </cell>
          <cell r="E592" t="str">
            <v>FCI320003</v>
          </cell>
          <cell r="F592">
            <v>44</v>
          </cell>
          <cell r="G592">
            <v>30</v>
          </cell>
          <cell r="H592" t="str">
            <v>FARIAS@UTALCA.CL</v>
          </cell>
          <cell r="I592">
            <v>43344</v>
          </cell>
          <cell r="J592">
            <v>46446</v>
          </cell>
          <cell r="K592" t="str">
            <v>CONTRATA</v>
          </cell>
          <cell r="L592" t="str">
            <v>CA DOCENTE</v>
          </cell>
          <cell r="M592" t="str">
            <v>INSTRUCTOR</v>
          </cell>
          <cell r="N592" t="str">
            <v>GRADO D</v>
          </cell>
          <cell r="O592" t="str">
            <v>MAGISTER</v>
          </cell>
          <cell r="P592" t="str">
            <v>MASTER UNIVERSITARIO EN DESARROLLO DE APLICAC</v>
          </cell>
          <cell r="Q592" t="str">
            <v>CURICO</v>
          </cell>
          <cell r="R592" t="str">
            <v>FACULTAD DE INGENIERÍA</v>
          </cell>
          <cell r="S592" t="str">
            <v>DPTO. DE CIENCIAS DE LA COMPUTACIÓN</v>
          </cell>
        </row>
        <row r="593">
          <cell r="A593">
            <v>13896768</v>
          </cell>
          <cell r="B593" t="str">
            <v>13896768</v>
          </cell>
          <cell r="C593" t="str">
            <v>9</v>
          </cell>
          <cell r="D593" t="str">
            <v>SEPULVEDA PARRAO PATRICIA ANDR</v>
          </cell>
          <cell r="E593" t="str">
            <v>FAD320004</v>
          </cell>
          <cell r="F593">
            <v>33</v>
          </cell>
          <cell r="G593">
            <v>30</v>
          </cell>
          <cell r="H593" t="str">
            <v>PSEPULVEDAP@UTALCA.CL</v>
          </cell>
          <cell r="I593">
            <v>43891</v>
          </cell>
          <cell r="J593">
            <v>46446</v>
          </cell>
          <cell r="K593" t="str">
            <v>CONTRATA</v>
          </cell>
          <cell r="L593" t="str">
            <v>CA DOCENTE</v>
          </cell>
          <cell r="M593" t="str">
            <v>INSTRUCTOR</v>
          </cell>
          <cell r="N593" t="str">
            <v>GRADO D</v>
          </cell>
          <cell r="O593" t="str">
            <v>MAGISTER</v>
          </cell>
          <cell r="P593" t="str">
            <v>MAGISTER EN EDUCACION CON MENCION EN PEDAGOGI</v>
          </cell>
          <cell r="Q593" t="str">
            <v>TALCA</v>
          </cell>
          <cell r="R593" t="str">
            <v>FACULTAD DE ARQUITECTUR, MÚSICA Y DISEÑO</v>
          </cell>
          <cell r="S593" t="str">
            <v>DEPARTAMENTO DE TEORÍA MUSICAL</v>
          </cell>
        </row>
        <row r="594">
          <cell r="A594">
            <v>13917897</v>
          </cell>
          <cell r="B594" t="str">
            <v>13917897</v>
          </cell>
          <cell r="C594" t="str">
            <v>1</v>
          </cell>
          <cell r="D594" t="str">
            <v>MENA JAQUE MARIA DE LOS ANGELE</v>
          </cell>
          <cell r="E594" t="str">
            <v>VGE400054</v>
          </cell>
          <cell r="F594">
            <v>44</v>
          </cell>
          <cell r="G594">
            <v>30</v>
          </cell>
          <cell r="H594" t="str">
            <v>MARIA.MENA@UTALCA.CL</v>
          </cell>
          <cell r="I594">
            <v>44197</v>
          </cell>
          <cell r="J594">
            <v>46387</v>
          </cell>
          <cell r="K594" t="str">
            <v>CONTRATA</v>
          </cell>
          <cell r="L594" t="str">
            <v>TÉCNICO</v>
          </cell>
          <cell r="M594" t="str">
            <v>TÉCNICO</v>
          </cell>
          <cell r="N594" t="str">
            <v>GRADO I.21</v>
          </cell>
          <cell r="O594" t="str">
            <v>TÍTULO PROFESIONAL</v>
          </cell>
          <cell r="P594" t="str">
            <v>INGENIERO DE EJECUCIÓN EN INFORMÁTICA</v>
          </cell>
          <cell r="Q594" t="str">
            <v>LINARES</v>
          </cell>
          <cell r="R594" t="str">
            <v>VIC. GESTIÓN ECONÓMICA Y ADMINISTRACIÓN</v>
          </cell>
          <cell r="S594" t="str">
            <v>DEPARTAMENTO DE SERVICIOS  Y PROCESOS TI</v>
          </cell>
        </row>
        <row r="595">
          <cell r="A595">
            <v>13921352</v>
          </cell>
          <cell r="B595" t="str">
            <v>13921352</v>
          </cell>
          <cell r="C595" t="str">
            <v>1</v>
          </cell>
          <cell r="D595" t="str">
            <v>GONZALEZ SOTO FELIPE EDUARDO</v>
          </cell>
          <cell r="E595" t="str">
            <v>FAD320005</v>
          </cell>
          <cell r="F595">
            <v>44</v>
          </cell>
          <cell r="G595">
            <v>30</v>
          </cell>
          <cell r="H595" t="str">
            <v>FEGONZALEZ@UTALCA.CL</v>
          </cell>
          <cell r="I595">
            <v>42795</v>
          </cell>
          <cell r="J595">
            <v>46446</v>
          </cell>
          <cell r="K595" t="str">
            <v>CONTRATA</v>
          </cell>
          <cell r="L595" t="str">
            <v>CA DE LA PROFESIÓN</v>
          </cell>
          <cell r="M595" t="str">
            <v>PROFESOR ASOCIADO</v>
          </cell>
          <cell r="N595" t="str">
            <v>GRADO B</v>
          </cell>
          <cell r="O595" t="str">
            <v>MAGISTER</v>
          </cell>
          <cell r="P595" t="str">
            <v>MÁSTER ARTS, LETTRES, LANGUES, MENTION MUSIQU</v>
          </cell>
          <cell r="Q595" t="str">
            <v>TALCA</v>
          </cell>
          <cell r="R595" t="str">
            <v>FACULTAD DE ARQUITECTUR, MÚSICA Y DISEÑO</v>
          </cell>
          <cell r="S595" t="str">
            <v>DEPTO. DE INTERP. Y FORM. MUSICAL ESPEC.</v>
          </cell>
        </row>
        <row r="596">
          <cell r="A596">
            <v>13938939</v>
          </cell>
          <cell r="B596" t="str">
            <v>13938939</v>
          </cell>
          <cell r="C596" t="str">
            <v>5</v>
          </cell>
          <cell r="D596" t="str">
            <v>SAN MARTIN RUBILAR ORIETTA NAT</v>
          </cell>
          <cell r="E596" t="str">
            <v>FCS320010</v>
          </cell>
          <cell r="F596">
            <v>22</v>
          </cell>
          <cell r="G596">
            <v>30</v>
          </cell>
          <cell r="H596" t="str">
            <v>OSANMARTIN@UTALCA.CL</v>
          </cell>
          <cell r="I596">
            <v>42095</v>
          </cell>
          <cell r="J596">
            <v>46752</v>
          </cell>
          <cell r="K596" t="str">
            <v>CONTRATA</v>
          </cell>
          <cell r="L596" t="str">
            <v>CA DOCENTE</v>
          </cell>
          <cell r="M596" t="str">
            <v>INSTRUCTOR</v>
          </cell>
          <cell r="N596" t="str">
            <v>GRADO D</v>
          </cell>
          <cell r="O596" t="str">
            <v>MAGISTER</v>
          </cell>
          <cell r="P596" t="str">
            <v>MAGISTER EN DESARROLLO CURRICULAR Y PROYECTOS</v>
          </cell>
          <cell r="Q596" t="str">
            <v>TALCA</v>
          </cell>
          <cell r="R596" t="str">
            <v>FACULTAD DE CIENCIAS DE LA SALUD</v>
          </cell>
          <cell r="S596" t="str">
            <v>DPTO. DE CIENCIAS DE FONOAUDIOLOGÍA</v>
          </cell>
        </row>
        <row r="597">
          <cell r="A597">
            <v>13944843</v>
          </cell>
          <cell r="B597" t="str">
            <v>13944843</v>
          </cell>
          <cell r="C597" t="str">
            <v>K</v>
          </cell>
          <cell r="D597" t="str">
            <v>ASTORGA ORTEGA ANDRES ENRIQUE</v>
          </cell>
          <cell r="E597" t="str">
            <v>ADC024005</v>
          </cell>
          <cell r="F597">
            <v>44</v>
          </cell>
          <cell r="G597">
            <v>30</v>
          </cell>
          <cell r="H597" t="str">
            <v>AASTORGA@UTALCA.CL</v>
          </cell>
          <cell r="I597">
            <v>43101</v>
          </cell>
          <cell r="J597">
            <v>2958465</v>
          </cell>
          <cell r="K597" t="str">
            <v>PLANTA</v>
          </cell>
          <cell r="L597" t="str">
            <v>ADMINISTRATIVO</v>
          </cell>
          <cell r="M597" t="str">
            <v>ADMINISTRATIVO</v>
          </cell>
          <cell r="N597" t="str">
            <v>GRADO I.21</v>
          </cell>
          <cell r="O597" t="str">
            <v>MAGISTER</v>
          </cell>
          <cell r="P597" t="str">
            <v>MAGÍSTER EN GESTIÓN Y POLÍTICAS PÚBLICAS</v>
          </cell>
          <cell r="Q597" t="str">
            <v>TALCA</v>
          </cell>
          <cell r="R597" t="str">
            <v>DRCCIÓN. GNAL. VINCULACIÓN CON EL MEDIO</v>
          </cell>
          <cell r="S597" t="str">
            <v>DEPARTAMENTO DE SUSTENTABILIDAD</v>
          </cell>
        </row>
        <row r="598">
          <cell r="A598">
            <v>13946886</v>
          </cell>
          <cell r="B598" t="str">
            <v>13946886</v>
          </cell>
          <cell r="C598" t="str">
            <v>4</v>
          </cell>
          <cell r="D598" t="str">
            <v>HERNANDEZ SANCHEZ CARLOS FELIP</v>
          </cell>
          <cell r="E598" t="str">
            <v>VAC400001</v>
          </cell>
          <cell r="F598">
            <v>44</v>
          </cell>
          <cell r="G598">
            <v>30</v>
          </cell>
          <cell r="H598" t="str">
            <v>CAHERNANDEZ@UTALCA.CL</v>
          </cell>
          <cell r="I598">
            <v>43831</v>
          </cell>
          <cell r="J598">
            <v>46387</v>
          </cell>
          <cell r="K598" t="str">
            <v>CONTRATA</v>
          </cell>
          <cell r="L598" t="str">
            <v>ADMINISTRATIVO</v>
          </cell>
          <cell r="M598" t="str">
            <v>ADMINISTRATIVO</v>
          </cell>
          <cell r="N598" t="str">
            <v>GRADO I.21</v>
          </cell>
          <cell r="O598" t="str">
            <v>LICENCIADO</v>
          </cell>
          <cell r="P598" t="str">
            <v>LICENCIATURA EN LENGUA Y LITERATURA HISPÁNICA</v>
          </cell>
          <cell r="Q598" t="str">
            <v>CURICO</v>
          </cell>
          <cell r="R598" t="str">
            <v>VICERRECTORÍA ACADÉMICA</v>
          </cell>
          <cell r="S598" t="str">
            <v>DIRECCIÓN DE BIBLIOTECAS</v>
          </cell>
        </row>
        <row r="599">
          <cell r="A599">
            <v>13949211</v>
          </cell>
          <cell r="B599" t="str">
            <v>13949211</v>
          </cell>
          <cell r="C599" t="str">
            <v>0</v>
          </cell>
          <cell r="D599" t="str">
            <v>SUAREZ SEPULVEDA MIGUEL EDUARD</v>
          </cell>
          <cell r="E599" t="str">
            <v>FEN200001</v>
          </cell>
          <cell r="F599">
            <v>44</v>
          </cell>
          <cell r="G599">
            <v>30</v>
          </cell>
          <cell r="H599" t="str">
            <v>MSUAREZ@UTALCA.CL</v>
          </cell>
          <cell r="I599">
            <v>43101</v>
          </cell>
          <cell r="J599">
            <v>46387</v>
          </cell>
          <cell r="K599" t="str">
            <v>CONTRATA</v>
          </cell>
          <cell r="L599" t="str">
            <v>ADMINISTRATIVO</v>
          </cell>
          <cell r="M599" t="str">
            <v>ADMINISTRATIVO</v>
          </cell>
          <cell r="N599" t="str">
            <v>GRADO I.21</v>
          </cell>
          <cell r="O599" t="str">
            <v>TÉC. NIVEL MEDIO</v>
          </cell>
          <cell r="P599" t="str">
            <v>TECNICO PROGRAMADOR</v>
          </cell>
          <cell r="Q599" t="str">
            <v>TALCA</v>
          </cell>
          <cell r="R599" t="str">
            <v>FACULTAD DE ECONOMÍA Y NEGOCIOS</v>
          </cell>
          <cell r="S599" t="str">
            <v>FACULTAD DE ECONOMÍA Y NEGOCIOS</v>
          </cell>
        </row>
        <row r="600">
          <cell r="A600">
            <v>13949396</v>
          </cell>
          <cell r="B600" t="str">
            <v>13949396</v>
          </cell>
          <cell r="C600" t="str">
            <v>6</v>
          </cell>
          <cell r="D600" t="str">
            <v>FRANZANI OSORIO FRANCISCO JOSE</v>
          </cell>
          <cell r="E600" t="str">
            <v>FOD320001</v>
          </cell>
          <cell r="F600">
            <v>33</v>
          </cell>
          <cell r="G600">
            <v>30</v>
          </cell>
          <cell r="H600" t="str">
            <v>FRANCISCO.FRANZANI@UTALCA.CL</v>
          </cell>
          <cell r="I600">
            <v>44562</v>
          </cell>
          <cell r="J600">
            <v>46446</v>
          </cell>
          <cell r="K600" t="str">
            <v>CONTRATA</v>
          </cell>
          <cell r="L600" t="str">
            <v>CA DE LA PROFESIÓN</v>
          </cell>
          <cell r="M600" t="str">
            <v>INSTRUCTOR</v>
          </cell>
          <cell r="N600" t="str">
            <v>GRADO D</v>
          </cell>
          <cell r="O600" t="str">
            <v>MAGISTER</v>
          </cell>
          <cell r="P600" t="str">
            <v>MAGISTER EN EDUCACION MEDICA PARA CIENCIAS DE</v>
          </cell>
          <cell r="Q600" t="str">
            <v>TALCA</v>
          </cell>
          <cell r="R600" t="str">
            <v>FACULTAD DE ODONTOLOGÍA</v>
          </cell>
          <cell r="S600" t="str">
            <v>DPTO. REHABILITACIÓN BUCO-MAXILOFACIAL</v>
          </cell>
        </row>
        <row r="601">
          <cell r="A601">
            <v>13949837</v>
          </cell>
          <cell r="B601" t="str">
            <v>13949837</v>
          </cell>
          <cell r="C601" t="str">
            <v>2</v>
          </cell>
          <cell r="D601" t="str">
            <v>VIVALLOS HERNANDEZ ALEJANDRA I</v>
          </cell>
          <cell r="E601" t="str">
            <v>VAC400081</v>
          </cell>
          <cell r="F601">
            <v>22</v>
          </cell>
          <cell r="G601">
            <v>30</v>
          </cell>
          <cell r="H601" t="str">
            <v>ALEJANDRA.VIVALLOS@UTALCA.CL</v>
          </cell>
          <cell r="I601">
            <v>44197</v>
          </cell>
          <cell r="J601">
            <v>46387</v>
          </cell>
          <cell r="K601" t="str">
            <v>CONTRATA</v>
          </cell>
          <cell r="L601" t="str">
            <v>PROFESIONAL</v>
          </cell>
          <cell r="M601" t="str">
            <v>PROFESIONAL</v>
          </cell>
          <cell r="N601" t="str">
            <v>GRADO I.17</v>
          </cell>
          <cell r="O601" t="str">
            <v>TÍTULO PROFESIONAL</v>
          </cell>
          <cell r="P601" t="str">
            <v>CONTADOR PUBLICO Y AUDITOR</v>
          </cell>
          <cell r="Q601" t="str">
            <v>TALCA</v>
          </cell>
          <cell r="R601" t="str">
            <v>VICERRECTORÍA ACADÉMICA</v>
          </cell>
          <cell r="S601" t="str">
            <v>UNIDAD DE PROYECTOS DE INNOVACIÓN Y TT</v>
          </cell>
        </row>
        <row r="602">
          <cell r="A602">
            <v>13950244</v>
          </cell>
          <cell r="B602" t="str">
            <v>13950244</v>
          </cell>
          <cell r="C602" t="str">
            <v>2</v>
          </cell>
          <cell r="D602" t="str">
            <v>GUERRERO CHAMORRO ELISABETH OD</v>
          </cell>
          <cell r="E602" t="str">
            <v>VGE400031</v>
          </cell>
          <cell r="F602">
            <v>44</v>
          </cell>
          <cell r="G602">
            <v>30</v>
          </cell>
          <cell r="H602" t="str">
            <v>EGUERRERO@UTALCA.CL</v>
          </cell>
          <cell r="I602">
            <v>40179</v>
          </cell>
          <cell r="J602">
            <v>2958465</v>
          </cell>
          <cell r="K602" t="str">
            <v>PLANTA</v>
          </cell>
          <cell r="L602" t="str">
            <v>ADMINISTRATIVO</v>
          </cell>
          <cell r="M602" t="str">
            <v>ADMINISTRATIVO</v>
          </cell>
          <cell r="N602" t="str">
            <v>GRADO I.18</v>
          </cell>
          <cell r="O602" t="str">
            <v>TÍTULO PROFESIONAL</v>
          </cell>
          <cell r="P602" t="str">
            <v>CONTADOR</v>
          </cell>
          <cell r="Q602" t="str">
            <v>TALCA</v>
          </cell>
          <cell r="R602" t="str">
            <v>VIC. GESTIÓN ECONÓMICA Y ADMINISTRACIÓN</v>
          </cell>
          <cell r="S602" t="str">
            <v>DPTO. DE APOYO FINANCIERO AL ESTUDIANTE</v>
          </cell>
        </row>
        <row r="603">
          <cell r="A603">
            <v>13950311</v>
          </cell>
          <cell r="B603" t="str">
            <v>13950311</v>
          </cell>
          <cell r="C603" t="str">
            <v>2</v>
          </cell>
          <cell r="D603" t="str">
            <v>FUENTES FUENTES MAURICIO JOSE</v>
          </cell>
          <cell r="E603" t="str">
            <v/>
          </cell>
          <cell r="F603">
            <v>36</v>
          </cell>
          <cell r="G603">
            <v>30</v>
          </cell>
          <cell r="H603" t="str">
            <v>MAUFUENTES@UTALCA.CL</v>
          </cell>
          <cell r="I603">
            <v>44927</v>
          </cell>
          <cell r="J603">
            <v>46387</v>
          </cell>
          <cell r="K603" t="str">
            <v>CONTRATA</v>
          </cell>
          <cell r="L603" t="str">
            <v>PROFESIONAL</v>
          </cell>
          <cell r="M603" t="str">
            <v>PROFESIONAL</v>
          </cell>
          <cell r="N603" t="str">
            <v>GRADO I.17</v>
          </cell>
          <cell r="O603" t="str">
            <v>TÍTULO PROFESIONAL</v>
          </cell>
          <cell r="P603" t="str">
            <v>INGENIERO AGRONOMO</v>
          </cell>
          <cell r="Q603" t="str">
            <v>TALCA</v>
          </cell>
          <cell r="R603" t="str">
            <v>FACULTAD DE CIENCIAS AGRARIAS</v>
          </cell>
          <cell r="S603" t="str">
            <v>CENTRO DE POMÁCEAS</v>
          </cell>
        </row>
        <row r="604">
          <cell r="A604">
            <v>13950341</v>
          </cell>
          <cell r="B604" t="str">
            <v>13950341</v>
          </cell>
          <cell r="C604" t="str">
            <v>4</v>
          </cell>
          <cell r="D604" t="str">
            <v>MORALES SIERRALTA PAULA ANDREA</v>
          </cell>
          <cell r="E604" t="str">
            <v>FOD320001</v>
          </cell>
          <cell r="F604">
            <v>29</v>
          </cell>
          <cell r="G604">
            <v>30</v>
          </cell>
          <cell r="H604" t="str">
            <v>PAUMORALES@UTALCA.CL</v>
          </cell>
          <cell r="I604">
            <v>39508</v>
          </cell>
          <cell r="J604">
            <v>46387</v>
          </cell>
          <cell r="K604" t="str">
            <v>CONTRATA</v>
          </cell>
          <cell r="L604" t="str">
            <v>CA DOCENTE</v>
          </cell>
          <cell r="M604" t="str">
            <v>INSTRUCTOR</v>
          </cell>
          <cell r="N604" t="str">
            <v>GRADO D</v>
          </cell>
          <cell r="O604" t="str">
            <v>ESPECIAL. ODONTOLÓG.</v>
          </cell>
          <cell r="P604" t="str">
            <v>ESPECIALISTA EN REHABILITACIÓN ORAL</v>
          </cell>
          <cell r="Q604" t="str">
            <v>TALCA</v>
          </cell>
          <cell r="R604" t="str">
            <v>FACULTAD DE ODONTOLOGÍA</v>
          </cell>
          <cell r="S604" t="str">
            <v>DPTO. REHABILITACIÓN BUCO-MAXILOFACIAL</v>
          </cell>
        </row>
        <row r="605">
          <cell r="A605">
            <v>13950393</v>
          </cell>
          <cell r="B605" t="str">
            <v>13950393</v>
          </cell>
          <cell r="C605" t="str">
            <v>7</v>
          </cell>
          <cell r="D605" t="str">
            <v>ROA HENRIQUEZ IGNACIO JAVIER</v>
          </cell>
          <cell r="E605" t="str">
            <v>FCS320007</v>
          </cell>
          <cell r="F605">
            <v>44</v>
          </cell>
          <cell r="G605">
            <v>30</v>
          </cell>
          <cell r="H605" t="str">
            <v>IROA@UTALCA.CL</v>
          </cell>
          <cell r="I605">
            <v>39508</v>
          </cell>
          <cell r="J605">
            <v>46752</v>
          </cell>
          <cell r="K605" t="str">
            <v>CONTRATA</v>
          </cell>
          <cell r="L605" t="str">
            <v>CA DOCENTE</v>
          </cell>
          <cell r="M605" t="str">
            <v>PROFESOR ASOCIADO</v>
          </cell>
          <cell r="N605" t="str">
            <v>GRADO B</v>
          </cell>
          <cell r="O605" t="str">
            <v>DOCTORADO</v>
          </cell>
          <cell r="P605" t="str">
            <v>DOCTOR EN CIENCIAS MORFOLÓGICAS</v>
          </cell>
          <cell r="Q605" t="str">
            <v>TALCA</v>
          </cell>
          <cell r="R605" t="str">
            <v>FACULTAD DE CIENCIAS DE LA SALUD</v>
          </cell>
          <cell r="S605" t="str">
            <v>DPTO. DE CIENCIAS BÁSICAS BIOMÉDICAS</v>
          </cell>
        </row>
        <row r="606">
          <cell r="A606">
            <v>13950701</v>
          </cell>
          <cell r="B606" t="str">
            <v>13950701</v>
          </cell>
          <cell r="C606" t="str">
            <v>0</v>
          </cell>
          <cell r="D606" t="str">
            <v>JIRON OROZCO CRISTIAN OSVALDO</v>
          </cell>
          <cell r="E606" t="str">
            <v>ADC022001</v>
          </cell>
          <cell r="F606">
            <v>44</v>
          </cell>
          <cell r="G606">
            <v>30</v>
          </cell>
          <cell r="H606" t="str">
            <v>CJIRON@UTALCA.CL</v>
          </cell>
          <cell r="I606">
            <v>43466</v>
          </cell>
          <cell r="J606">
            <v>46387</v>
          </cell>
          <cell r="K606" t="str">
            <v>CONTRATA</v>
          </cell>
          <cell r="L606" t="str">
            <v>ADMINISTRATIVO</v>
          </cell>
          <cell r="M606" t="str">
            <v>ADMINISTRATIVO</v>
          </cell>
          <cell r="N606" t="str">
            <v>GRADO I.21</v>
          </cell>
          <cell r="O606" t="str">
            <v>TÍTULO PROFESIONAL</v>
          </cell>
          <cell r="P606" t="str">
            <v>GESTION ESTRATEGICA E INNOVACION EN COMU</v>
          </cell>
          <cell r="Q606" t="str">
            <v>TALCA</v>
          </cell>
          <cell r="R606" t="str">
            <v>DIRECCIÓN DE EXTENSIÓN</v>
          </cell>
          <cell r="S606" t="str">
            <v>DIRECCIÓN DE EXTENSIÓN</v>
          </cell>
        </row>
        <row r="607">
          <cell r="A607">
            <v>13950753</v>
          </cell>
          <cell r="B607" t="str">
            <v>13950753</v>
          </cell>
          <cell r="C607" t="str">
            <v>3</v>
          </cell>
          <cell r="D607" t="str">
            <v>MUÑOZ BRAVO GERALDINA VALERIA</v>
          </cell>
          <cell r="E607" t="str">
            <v>FAD200001</v>
          </cell>
          <cell r="F607">
            <v>44</v>
          </cell>
          <cell r="G607">
            <v>30</v>
          </cell>
          <cell r="H607" t="str">
            <v>GERALDINA.MUNOZ@UTALCA.CL</v>
          </cell>
          <cell r="I607">
            <v>45390</v>
          </cell>
          <cell r="J607">
            <v>46387</v>
          </cell>
          <cell r="K607" t="str">
            <v>CONTRATA</v>
          </cell>
          <cell r="L607" t="str">
            <v>AUXILIAR</v>
          </cell>
          <cell r="M607" t="str">
            <v>AUXILIAR</v>
          </cell>
          <cell r="N607" t="str">
            <v>GRADO I.24</v>
          </cell>
          <cell r="O607" t="str">
            <v>ESCOLARIDAD CIENT HU</v>
          </cell>
          <cell r="P607" t="str">
            <v/>
          </cell>
          <cell r="Q607" t="str">
            <v>TALCA</v>
          </cell>
          <cell r="R607" t="str">
            <v>FACULTAD DE ARQUITECTUR, MÚSICA Y DISEÑO</v>
          </cell>
          <cell r="S607" t="str">
            <v>FACULTAD DE ARQUITECTUR, MÚSICA Y DISEÑO</v>
          </cell>
        </row>
        <row r="608">
          <cell r="A608">
            <v>13950767</v>
          </cell>
          <cell r="B608" t="str">
            <v>13950767</v>
          </cell>
          <cell r="C608" t="str">
            <v>3</v>
          </cell>
          <cell r="D608" t="str">
            <v>GONZALEZ CANCINO KATHERINE MEL</v>
          </cell>
          <cell r="E608" t="str">
            <v>FPS340002</v>
          </cell>
          <cell r="F608">
            <v>44</v>
          </cell>
          <cell r="G608">
            <v>30</v>
          </cell>
          <cell r="H608" t="str">
            <v>KAGONZALEZ@UTALCA.CL</v>
          </cell>
          <cell r="I608">
            <v>43101</v>
          </cell>
          <cell r="J608">
            <v>46387</v>
          </cell>
          <cell r="K608" t="str">
            <v>CONTRATA</v>
          </cell>
          <cell r="L608" t="str">
            <v>ADMINISTRATIVO</v>
          </cell>
          <cell r="M608" t="str">
            <v>ADMINISTRATIVO</v>
          </cell>
          <cell r="N608" t="str">
            <v>GRADO I.21</v>
          </cell>
          <cell r="O608" t="str">
            <v>TÉC. NIVEL MEDIO</v>
          </cell>
          <cell r="P608" t="str">
            <v>TECNICO NIVEL MEDIO EN PROGR. OPERAC. EQUIPOS</v>
          </cell>
          <cell r="Q608" t="str">
            <v>TALCA</v>
          </cell>
          <cell r="R608" t="str">
            <v>FACULTAD DE PSICOLOGÍA</v>
          </cell>
          <cell r="S608" t="str">
            <v>CENTRO DE PSICOLOGÍA APLICADA</v>
          </cell>
        </row>
        <row r="609">
          <cell r="A609">
            <v>13952688</v>
          </cell>
          <cell r="B609" t="str">
            <v>13952688</v>
          </cell>
          <cell r="C609" t="str">
            <v>0</v>
          </cell>
          <cell r="D609" t="str">
            <v>RUBILAR MUÑOZ KAREN MABEL</v>
          </cell>
          <cell r="E609" t="str">
            <v>VGE400050</v>
          </cell>
          <cell r="F609">
            <v>44</v>
          </cell>
          <cell r="G609">
            <v>30</v>
          </cell>
          <cell r="H609" t="str">
            <v>KRUBILAR@UTALCA.CL</v>
          </cell>
          <cell r="I609">
            <v>39264</v>
          </cell>
          <cell r="J609">
            <v>2958465</v>
          </cell>
          <cell r="K609" t="str">
            <v>PLANTA</v>
          </cell>
          <cell r="L609" t="str">
            <v>ADMINISTRATIVO</v>
          </cell>
          <cell r="M609" t="str">
            <v>PROFESIONAL</v>
          </cell>
          <cell r="N609" t="str">
            <v>GRADO I.17</v>
          </cell>
          <cell r="O609" t="str">
            <v>MAGISTER</v>
          </cell>
          <cell r="P609" t="str">
            <v>MAGISTER EN PSICOLOGIA SOCIAL M/GESTION Y DES</v>
          </cell>
          <cell r="Q609" t="str">
            <v>TALCA</v>
          </cell>
          <cell r="R609" t="str">
            <v>VIC. GESTIÓN ECONÓMICA Y ADMINISTRACIÓN</v>
          </cell>
          <cell r="S609" t="str">
            <v>DEPARTAMENTO DE ADMINISTRACIÓN DE CAMPUS</v>
          </cell>
        </row>
        <row r="610">
          <cell r="A610">
            <v>13953657</v>
          </cell>
          <cell r="B610" t="str">
            <v>13953657</v>
          </cell>
          <cell r="C610" t="str">
            <v>6</v>
          </cell>
          <cell r="D610" t="str">
            <v>MERELLO PAPA HONORATO ALEJANDR</v>
          </cell>
          <cell r="E610" t="str">
            <v>FAD320003</v>
          </cell>
          <cell r="F610">
            <v>44</v>
          </cell>
          <cell r="G610">
            <v>30</v>
          </cell>
          <cell r="H610" t="str">
            <v>HONORATO.MERELLO@UTALCA.CL</v>
          </cell>
          <cell r="I610">
            <v>44683</v>
          </cell>
          <cell r="J610">
            <v>46446</v>
          </cell>
          <cell r="K610" t="str">
            <v>CONTRATA</v>
          </cell>
          <cell r="L610" t="str">
            <v>CA DOCENTE</v>
          </cell>
          <cell r="M610" t="str">
            <v>INSTRUCTOR</v>
          </cell>
          <cell r="N610" t="str">
            <v>GRADO D</v>
          </cell>
          <cell r="O610" t="str">
            <v>MAGISTER</v>
          </cell>
          <cell r="P610" t="str">
            <v>MAGISTER EN EDUCACION SUPERIOR</v>
          </cell>
          <cell r="Q610" t="str">
            <v>TALCA</v>
          </cell>
          <cell r="R610" t="str">
            <v>FACULTAD DE ARQUITECTUR, MÚSICA Y DISEÑO</v>
          </cell>
          <cell r="S610" t="str">
            <v>DEPARTAMENTO DE DISEÑO</v>
          </cell>
        </row>
        <row r="611">
          <cell r="A611">
            <v>13957242</v>
          </cell>
          <cell r="B611" t="str">
            <v>13957242</v>
          </cell>
          <cell r="C611" t="str">
            <v>4</v>
          </cell>
          <cell r="D611" t="str">
            <v>VALENZUELA CABEZAS CLAUDIO AND</v>
          </cell>
          <cell r="E611" t="str">
            <v>FAM320001</v>
          </cell>
          <cell r="F611">
            <v>44</v>
          </cell>
          <cell r="G611">
            <v>30</v>
          </cell>
          <cell r="H611" t="str">
            <v>CVALENZUELA@UTALCA.CL</v>
          </cell>
          <cell r="I611">
            <v>43040</v>
          </cell>
          <cell r="J611">
            <v>46446</v>
          </cell>
          <cell r="K611" t="str">
            <v>CONTRATA</v>
          </cell>
          <cell r="L611" t="str">
            <v>CA DOCENTE</v>
          </cell>
          <cell r="M611" t="str">
            <v>PROFESOR ASISTENTE</v>
          </cell>
          <cell r="N611" t="str">
            <v>GRADO C</v>
          </cell>
          <cell r="O611" t="str">
            <v>DOCTORADO</v>
          </cell>
          <cell r="P611" t="str">
            <v>DOCTOR EN CIENCIAS MENCIÓN INGENIERIA GENÉTIC</v>
          </cell>
          <cell r="Q611" t="str">
            <v>TALCA</v>
          </cell>
          <cell r="R611" t="str">
            <v>FACULTAD DE MEDICINA</v>
          </cell>
          <cell r="S611" t="str">
            <v>DEPARTAMENTO DE CIENCIAS PRECLÍNICAS</v>
          </cell>
        </row>
        <row r="612">
          <cell r="A612">
            <v>13957549</v>
          </cell>
          <cell r="B612" t="str">
            <v>13957549</v>
          </cell>
          <cell r="C612" t="str">
            <v>0</v>
          </cell>
          <cell r="D612" t="str">
            <v>ALVAREZ NOVOA CAROLINA ANDREA</v>
          </cell>
          <cell r="E612" t="str">
            <v>FOD200001</v>
          </cell>
          <cell r="F612">
            <v>8</v>
          </cell>
          <cell r="G612">
            <v>30</v>
          </cell>
          <cell r="H612" t="str">
            <v>CAALVAREZ@UTALCA.CL</v>
          </cell>
          <cell r="I612">
            <v>39539</v>
          </cell>
          <cell r="J612">
            <v>46387</v>
          </cell>
          <cell r="K612" t="str">
            <v>CONTRATA</v>
          </cell>
          <cell r="L612" t="str">
            <v>C ESPECIALES</v>
          </cell>
          <cell r="M612" t="str">
            <v>TUTOR(A) PRÁCTICA</v>
          </cell>
          <cell r="N612" t="str">
            <v>SIN GRADO</v>
          </cell>
          <cell r="O612" t="str">
            <v>ESPECIAL. ODONTOLÓG.</v>
          </cell>
          <cell r="P612" t="str">
            <v>ESPECIALIZACION EN CIRUGIA BUCAL</v>
          </cell>
          <cell r="Q612" t="str">
            <v>TALCA</v>
          </cell>
          <cell r="R612" t="str">
            <v>FACULTAD DE ODONTOLOGÍA</v>
          </cell>
          <cell r="S612" t="str">
            <v>FACULTAD DE ODONTOLOGÍA</v>
          </cell>
        </row>
        <row r="613">
          <cell r="A613">
            <v>13971764</v>
          </cell>
          <cell r="B613" t="str">
            <v>13971764</v>
          </cell>
          <cell r="C613" t="str">
            <v>3</v>
          </cell>
          <cell r="D613" t="str">
            <v>MARILAO GORIGOITIA JUAN ENRIQU</v>
          </cell>
          <cell r="E613" t="str">
            <v>FOD320001</v>
          </cell>
          <cell r="F613">
            <v>33</v>
          </cell>
          <cell r="G613">
            <v>30</v>
          </cell>
          <cell r="H613" t="str">
            <v>JMARILAO@UTALCA.CL</v>
          </cell>
          <cell r="I613">
            <v>39508</v>
          </cell>
          <cell r="J613">
            <v>46387</v>
          </cell>
          <cell r="K613" t="str">
            <v>CONTRATA</v>
          </cell>
          <cell r="L613" t="str">
            <v>CA DOCENTE</v>
          </cell>
          <cell r="M613" t="str">
            <v>INSTRUCTOR</v>
          </cell>
          <cell r="N613" t="str">
            <v>GRADO D</v>
          </cell>
          <cell r="O613" t="str">
            <v>ESPECIAL. ODONTOLÓG.</v>
          </cell>
          <cell r="P613" t="str">
            <v>ESPECIALISTA EN IMPLANTOLOGÍA OSEOINTEGRADA</v>
          </cell>
          <cell r="Q613" t="str">
            <v>TALCA</v>
          </cell>
          <cell r="R613" t="str">
            <v>FACULTAD DE ODONTOLOGÍA</v>
          </cell>
          <cell r="S613" t="str">
            <v>DPTO. REHABILITACIÓN BUCO-MAXILOFACIAL</v>
          </cell>
        </row>
        <row r="614">
          <cell r="A614">
            <v>13982419</v>
          </cell>
          <cell r="B614" t="str">
            <v>13982419</v>
          </cell>
          <cell r="C614" t="str">
            <v>9</v>
          </cell>
          <cell r="D614" t="str">
            <v>ARRIAGADA SILVA MIGUEL ANGEL</v>
          </cell>
          <cell r="E614" t="str">
            <v>FCI320005</v>
          </cell>
          <cell r="F614">
            <v>44</v>
          </cell>
          <cell r="G614">
            <v>30</v>
          </cell>
          <cell r="H614" t="str">
            <v>MARRIAGADAS@UTALCA.CL</v>
          </cell>
          <cell r="I614">
            <v>44984</v>
          </cell>
          <cell r="J614">
            <v>46446</v>
          </cell>
          <cell r="K614" t="str">
            <v>CONTRATA</v>
          </cell>
          <cell r="L614" t="str">
            <v>CA DE LA PROFESIÓN</v>
          </cell>
          <cell r="M614" t="str">
            <v>INSTRUCTOR</v>
          </cell>
          <cell r="N614" t="str">
            <v>GRADO D</v>
          </cell>
          <cell r="O614" t="str">
            <v>MAGISTER</v>
          </cell>
          <cell r="P614" t="str">
            <v>MAGISTER EN ADMINISTRACION DE EMPRESAS (M.B.A</v>
          </cell>
          <cell r="Q614" t="str">
            <v>CURICO</v>
          </cell>
          <cell r="R614" t="str">
            <v>FACULTAD DE INGENIERÍA</v>
          </cell>
          <cell r="S614" t="str">
            <v>DPTO. ING. Y GESTIÓN DE LA CONSTRUCCIÓN</v>
          </cell>
        </row>
        <row r="615">
          <cell r="A615">
            <v>13985844</v>
          </cell>
          <cell r="B615" t="str">
            <v>13985844</v>
          </cell>
          <cell r="C615" t="str">
            <v>1</v>
          </cell>
          <cell r="D615" t="str">
            <v>HINOJOSA REHBEIN JORGE ANDRES</v>
          </cell>
          <cell r="E615" t="str">
            <v>FCI320004</v>
          </cell>
          <cell r="F615">
            <v>44</v>
          </cell>
          <cell r="G615">
            <v>30</v>
          </cell>
          <cell r="H615" t="str">
            <v>JHINOJOSA@UTALCA.CL</v>
          </cell>
          <cell r="I615">
            <v>40980</v>
          </cell>
          <cell r="J615">
            <v>2958465</v>
          </cell>
          <cell r="K615" t="str">
            <v>PLANTA</v>
          </cell>
          <cell r="L615" t="str">
            <v>CA ORDINARIA</v>
          </cell>
          <cell r="M615" t="str">
            <v>PROFESOR ASISTENTE</v>
          </cell>
          <cell r="N615" t="str">
            <v>GRADO C</v>
          </cell>
          <cell r="O615" t="str">
            <v>DOCTORADO</v>
          </cell>
          <cell r="P615" t="str">
            <v>DOCTOR EN INGENIERIA MECANICA</v>
          </cell>
          <cell r="Q615" t="str">
            <v>CURICO</v>
          </cell>
          <cell r="R615" t="str">
            <v>FACULTAD DE INGENIERÍA</v>
          </cell>
          <cell r="S615" t="str">
            <v>DEPARTAMENTO DE TECNOLOGÍA INDUSTRIALES</v>
          </cell>
        </row>
        <row r="616">
          <cell r="A616">
            <v>14011885</v>
          </cell>
          <cell r="B616" t="str">
            <v>14011885</v>
          </cell>
          <cell r="C616" t="str">
            <v>0</v>
          </cell>
          <cell r="D616" t="str">
            <v>GUZMAN JOFRE LUIS ARMANDO</v>
          </cell>
          <cell r="E616" t="str">
            <v>FCS320001</v>
          </cell>
          <cell r="F616">
            <v>44</v>
          </cell>
          <cell r="G616">
            <v>30</v>
          </cell>
          <cell r="H616" t="str">
            <v>LGUZMAN@UTALCA.CL</v>
          </cell>
          <cell r="I616">
            <v>40179</v>
          </cell>
          <cell r="J616">
            <v>2958465</v>
          </cell>
          <cell r="K616" t="str">
            <v>PLANTA</v>
          </cell>
          <cell r="L616" t="str">
            <v>CA ORDINARIA</v>
          </cell>
          <cell r="M616" t="str">
            <v>PROFESOR ASOCIADO</v>
          </cell>
          <cell r="N616" t="str">
            <v>GRADO B</v>
          </cell>
          <cell r="O616" t="str">
            <v>DOCTORADO</v>
          </cell>
          <cell r="P616" t="str">
            <v>DOCTOR EN CS. CON MENCION EN INVESTIGACION Y</v>
          </cell>
          <cell r="Q616" t="str">
            <v>TALCA</v>
          </cell>
          <cell r="R616" t="str">
            <v>FACULTAD DE CIENCIAS DE LA SALUD</v>
          </cell>
          <cell r="S616" t="str">
            <v>DPTO. BIOQUÍM. CLÍN. E INMUNOHEMATOLOGÍA</v>
          </cell>
        </row>
        <row r="617">
          <cell r="A617">
            <v>14016177</v>
          </cell>
          <cell r="B617" t="str">
            <v>14016177</v>
          </cell>
          <cell r="C617" t="str">
            <v>2</v>
          </cell>
          <cell r="D617" t="str">
            <v>GAMBETTA TESSINI KARLA FRANCES</v>
          </cell>
          <cell r="E617" t="str">
            <v>FOD320001</v>
          </cell>
          <cell r="F617">
            <v>44</v>
          </cell>
          <cell r="G617">
            <v>30</v>
          </cell>
          <cell r="H617" t="str">
            <v>KGAMBETTA@UTALCA.CL</v>
          </cell>
          <cell r="I617">
            <v>39508</v>
          </cell>
          <cell r="J617">
            <v>46328</v>
          </cell>
          <cell r="K617" t="str">
            <v>PLANTA</v>
          </cell>
          <cell r="L617" t="str">
            <v>CA ORDINARIA</v>
          </cell>
          <cell r="M617" t="str">
            <v>PROFESOR ASISTENTE</v>
          </cell>
          <cell r="N617" t="str">
            <v>GRADO C</v>
          </cell>
          <cell r="O617" t="str">
            <v>DOCTORADO</v>
          </cell>
          <cell r="P617" t="str">
            <v>DOCTOR OF PHILOSOPHY</v>
          </cell>
          <cell r="Q617" t="str">
            <v>TALCA</v>
          </cell>
          <cell r="R617" t="str">
            <v>FACULTAD DE ODONTOLOGÍA</v>
          </cell>
          <cell r="S617" t="str">
            <v>DPTO. REHABILITACIÓN BUCO-MAXILOFACIAL</v>
          </cell>
        </row>
        <row r="618">
          <cell r="A618">
            <v>14016261</v>
          </cell>
          <cell r="B618" t="str">
            <v>14016261</v>
          </cell>
          <cell r="C618" t="str">
            <v>2</v>
          </cell>
          <cell r="D618" t="str">
            <v>CASTRO SALAZAR KAROL FABIOLA</v>
          </cell>
          <cell r="E618" t="str">
            <v/>
          </cell>
          <cell r="F618">
            <v>44</v>
          </cell>
          <cell r="G618">
            <v>30</v>
          </cell>
          <cell r="H618" t="str">
            <v>KCASTRO@UTALCA.CL</v>
          </cell>
          <cell r="I618">
            <v>45017</v>
          </cell>
          <cell r="J618">
            <v>46387</v>
          </cell>
          <cell r="K618" t="str">
            <v>CONTRATA</v>
          </cell>
          <cell r="L618" t="str">
            <v>PROFESIONAL</v>
          </cell>
          <cell r="M618" t="str">
            <v>PROFESIONAL</v>
          </cell>
          <cell r="N618" t="str">
            <v>GRADO I.17</v>
          </cell>
          <cell r="O618" t="str">
            <v>MAGISTER</v>
          </cell>
          <cell r="P618" t="str">
            <v>MAGISTER EN GESTION TECNOLOGICA CON ENFASIS E</v>
          </cell>
          <cell r="Q618" t="str">
            <v>TALCA</v>
          </cell>
          <cell r="R618" t="str">
            <v>VICERRECTORÍA ACADÉMICA</v>
          </cell>
          <cell r="S618" t="str">
            <v>UNIDAD DE PROYECTOS DE INNOVACIÓN Y TT</v>
          </cell>
        </row>
        <row r="619">
          <cell r="A619">
            <v>14016833</v>
          </cell>
          <cell r="B619" t="str">
            <v>14016833</v>
          </cell>
          <cell r="C619" t="str">
            <v>5</v>
          </cell>
          <cell r="D619" t="str">
            <v>GONZALEZ MOLINA EVELYN MACAREN</v>
          </cell>
          <cell r="E619" t="str">
            <v/>
          </cell>
          <cell r="F619">
            <v>44</v>
          </cell>
          <cell r="G619">
            <v>30</v>
          </cell>
          <cell r="H619" t="str">
            <v>EVGONZALEZ@UTALCA.CL</v>
          </cell>
          <cell r="I619">
            <v>44927</v>
          </cell>
          <cell r="J619">
            <v>46387</v>
          </cell>
          <cell r="K619" t="str">
            <v>CONTRATA</v>
          </cell>
          <cell r="L619" t="str">
            <v>AUXILIAR</v>
          </cell>
          <cell r="M619" t="str">
            <v>AUXILIAR</v>
          </cell>
          <cell r="N619" t="str">
            <v>GRADO I.24</v>
          </cell>
          <cell r="O619" t="str">
            <v>ESCOLARIDAD CIENT HU</v>
          </cell>
          <cell r="P619" t="str">
            <v>ENSEÑANZA MEDIA</v>
          </cell>
          <cell r="Q619" t="str">
            <v>TALCA</v>
          </cell>
          <cell r="R619" t="str">
            <v>FACULTAD DE CIENCIAS AGRARIAS</v>
          </cell>
          <cell r="S619" t="str">
            <v>CENTRO DE INOCUIDAD ALIMENTARIA</v>
          </cell>
        </row>
        <row r="620">
          <cell r="A620">
            <v>14016856</v>
          </cell>
          <cell r="B620" t="str">
            <v>14016856</v>
          </cell>
          <cell r="C620" t="str">
            <v>4</v>
          </cell>
          <cell r="D620" t="str">
            <v>RODRIGUEZ AULADELL ANA CAROLIN</v>
          </cell>
          <cell r="E620" t="str">
            <v>ADC024009</v>
          </cell>
          <cell r="F620">
            <v>44</v>
          </cell>
          <cell r="G620">
            <v>30</v>
          </cell>
          <cell r="H620" t="str">
            <v>ARODRIGUEZ@UTALCA.CL</v>
          </cell>
          <cell r="I620">
            <v>41275</v>
          </cell>
          <cell r="J620">
            <v>46387</v>
          </cell>
          <cell r="K620" t="str">
            <v>CONTRATA</v>
          </cell>
          <cell r="L620" t="str">
            <v>PROFESIONAL</v>
          </cell>
          <cell r="M620" t="str">
            <v>PROFESIONAL</v>
          </cell>
          <cell r="N620" t="str">
            <v>GRADO I.17</v>
          </cell>
          <cell r="O620" t="str">
            <v>TÍTULO PROFESIONAL</v>
          </cell>
          <cell r="P620" t="str">
            <v>INGENIERO COMERCIAL MENCIÓN INFORMÁTICA</v>
          </cell>
          <cell r="Q620" t="str">
            <v>TALCA</v>
          </cell>
          <cell r="R620" t="str">
            <v>DRCCIÓN. GNAL. VINCULACIÓN CON EL MEDIO</v>
          </cell>
          <cell r="S620" t="str">
            <v>UNIDAD DE DESARROLLO TERRITORIAL</v>
          </cell>
        </row>
        <row r="621">
          <cell r="A621">
            <v>14017228</v>
          </cell>
          <cell r="B621" t="str">
            <v>14017228</v>
          </cell>
          <cell r="C621" t="str">
            <v>6</v>
          </cell>
          <cell r="D621" t="str">
            <v>MARIATA ROJAS YENNY DEL PILAR</v>
          </cell>
          <cell r="E621" t="str">
            <v>FCS320007</v>
          </cell>
          <cell r="F621">
            <v>44</v>
          </cell>
          <cell r="G621">
            <v>30</v>
          </cell>
          <cell r="H621" t="str">
            <v>YMARIATA@UTALCA.CL</v>
          </cell>
          <cell r="I621">
            <v>43831</v>
          </cell>
          <cell r="J621">
            <v>46387</v>
          </cell>
          <cell r="K621" t="str">
            <v>CONTRATA</v>
          </cell>
          <cell r="L621" t="str">
            <v>ADMINISTRATIVO</v>
          </cell>
          <cell r="M621" t="str">
            <v>ADMINISTRATIVO</v>
          </cell>
          <cell r="N621" t="str">
            <v>GRADO I.21</v>
          </cell>
          <cell r="O621" t="str">
            <v>TÉC. NIVEL SUPERIOR</v>
          </cell>
          <cell r="P621" t="str">
            <v>TÉCNICO DE NIVEL SUPERIOR EN ENFERMERÍA</v>
          </cell>
          <cell r="Q621" t="str">
            <v>TALCA</v>
          </cell>
          <cell r="R621" t="str">
            <v>FACULTAD DE CIENCIAS DE LA SALUD</v>
          </cell>
          <cell r="S621" t="str">
            <v>DPTO. DE CIENCIAS BÁSICAS BIOMÉDICAS</v>
          </cell>
        </row>
        <row r="622">
          <cell r="A622">
            <v>14017842</v>
          </cell>
          <cell r="B622" t="str">
            <v>14017842</v>
          </cell>
          <cell r="C622" t="str">
            <v>K</v>
          </cell>
          <cell r="D622" t="str">
            <v>FARIAS LARA RONALD BRAULIO</v>
          </cell>
          <cell r="E622" t="str">
            <v>VGE400055</v>
          </cell>
          <cell r="F622">
            <v>44</v>
          </cell>
          <cell r="G622">
            <v>30</v>
          </cell>
          <cell r="H622" t="str">
            <v>R.FARIAS@UTALCA.CL</v>
          </cell>
          <cell r="I622">
            <v>43831</v>
          </cell>
          <cell r="J622">
            <v>46387</v>
          </cell>
          <cell r="K622" t="str">
            <v>CONTRATA</v>
          </cell>
          <cell r="L622" t="str">
            <v>ADMINISTRATIVO</v>
          </cell>
          <cell r="M622" t="str">
            <v>ADMINISTRATIVO</v>
          </cell>
          <cell r="N622" t="str">
            <v>GRADO I.21</v>
          </cell>
          <cell r="O622" t="str">
            <v>TÉC. NIVEL SUPERIOR</v>
          </cell>
          <cell r="P622" t="str">
            <v>TÉCNICO DE NIVEL SUPERIOR EN CONECTIVIDAD Y R</v>
          </cell>
          <cell r="Q622" t="str">
            <v>TALCA</v>
          </cell>
          <cell r="R622" t="str">
            <v>VIC. GESTIÓN ECONÓMICA Y ADMINISTRACIÓN</v>
          </cell>
          <cell r="S622" t="str">
            <v>DEPARTAMENTO DE PLATAFORMAS TI</v>
          </cell>
        </row>
        <row r="623">
          <cell r="A623">
            <v>14017941</v>
          </cell>
          <cell r="B623" t="str">
            <v>14017941</v>
          </cell>
          <cell r="C623" t="str">
            <v>8</v>
          </cell>
          <cell r="D623" t="str">
            <v>MASCARO ESPINOZA TANIA DE LOS</v>
          </cell>
          <cell r="E623" t="str">
            <v>VRF400042</v>
          </cell>
          <cell r="F623">
            <v>44</v>
          </cell>
          <cell r="G623">
            <v>30</v>
          </cell>
          <cell r="H623" t="str">
            <v>TMASCARO@UTALCA.CL</v>
          </cell>
          <cell r="I623">
            <v>43466</v>
          </cell>
          <cell r="J623">
            <v>46387</v>
          </cell>
          <cell r="K623" t="str">
            <v>CONTRATA</v>
          </cell>
          <cell r="L623" t="str">
            <v>PROFESIONAL</v>
          </cell>
          <cell r="M623" t="str">
            <v>PROFESIONAL</v>
          </cell>
          <cell r="N623" t="str">
            <v>GRADO I.17</v>
          </cell>
          <cell r="O623" t="str">
            <v>MAGISTER</v>
          </cell>
          <cell r="P623" t="str">
            <v>MAGISTER EN ENSEÑANZA DE LAS CIENCIAS MENCION</v>
          </cell>
          <cell r="Q623" t="str">
            <v>TALCA</v>
          </cell>
          <cell r="R623" t="str">
            <v>VICERRECTORÍA DE FORMACIÓN</v>
          </cell>
          <cell r="S623" t="str">
            <v>UNIDAD DE ADMISIÓN Y ACCESO</v>
          </cell>
        </row>
        <row r="624">
          <cell r="A624">
            <v>14018076</v>
          </cell>
          <cell r="B624" t="str">
            <v>14018076</v>
          </cell>
          <cell r="C624" t="str">
            <v>9</v>
          </cell>
          <cell r="D624" t="str">
            <v>OYARZO OLAVE NAYARETH ESTELA</v>
          </cell>
          <cell r="E624" t="str">
            <v>FAM200001</v>
          </cell>
          <cell r="F624">
            <v>44</v>
          </cell>
          <cell r="G624">
            <v>30</v>
          </cell>
          <cell r="H624" t="str">
            <v>NOYARZO@UTALCA.CL</v>
          </cell>
          <cell r="I624">
            <v>43466</v>
          </cell>
          <cell r="J624">
            <v>46387</v>
          </cell>
          <cell r="K624" t="str">
            <v>CONTRATA</v>
          </cell>
          <cell r="L624" t="str">
            <v>ADMINISTRATIVO</v>
          </cell>
          <cell r="M624" t="str">
            <v>ADMINISTRATIVO</v>
          </cell>
          <cell r="N624" t="str">
            <v>GRADO I.21</v>
          </cell>
          <cell r="O624" t="str">
            <v>TÉC. NIVEL SUPERIOR</v>
          </cell>
          <cell r="P624" t="str">
            <v>TÉCNICO EN ENFERMERÍA CON MENCIÓN EN GERIATRÍ</v>
          </cell>
          <cell r="Q624" t="str">
            <v>TALCA</v>
          </cell>
          <cell r="R624" t="str">
            <v>FACULTAD DE MEDICINA</v>
          </cell>
          <cell r="S624" t="str">
            <v>FACULTAD DE MEDICINA</v>
          </cell>
        </row>
        <row r="625">
          <cell r="A625">
            <v>14018384</v>
          </cell>
          <cell r="B625" t="str">
            <v>14018384</v>
          </cell>
          <cell r="C625" t="str">
            <v>9</v>
          </cell>
          <cell r="D625" t="str">
            <v>JOFRE BUSTOS MARIA SOLEDAD</v>
          </cell>
          <cell r="E625" t="str">
            <v>FCJ320001</v>
          </cell>
          <cell r="F625">
            <v>44</v>
          </cell>
          <cell r="G625">
            <v>30</v>
          </cell>
          <cell r="H625" t="str">
            <v>MAJOFRE@UTALCA.CL</v>
          </cell>
          <cell r="I625">
            <v>42795</v>
          </cell>
          <cell r="J625">
            <v>46446</v>
          </cell>
          <cell r="K625" t="str">
            <v>CONTRATA</v>
          </cell>
          <cell r="L625" t="str">
            <v>CA DOCENTE</v>
          </cell>
          <cell r="M625" t="str">
            <v>PROFESOR ASOCIADO</v>
          </cell>
          <cell r="N625" t="str">
            <v>GRADO B</v>
          </cell>
          <cell r="O625" t="str">
            <v>MAGISTER</v>
          </cell>
          <cell r="P625" t="str">
            <v>MAGÍSTER EN DERECHO DEL TRABAJO Y LA SEGURIDA</v>
          </cell>
          <cell r="Q625" t="str">
            <v>SANTIAGO</v>
          </cell>
          <cell r="R625" t="str">
            <v>FACULTAD CIENCIAS JURÍDICAS Y SOCIALES</v>
          </cell>
          <cell r="S625" t="str">
            <v>DPTO. DERECHO PENAL PROCESAL Y  TRABAJO</v>
          </cell>
        </row>
        <row r="626">
          <cell r="A626">
            <v>14018402</v>
          </cell>
          <cell r="B626" t="str">
            <v>14018402</v>
          </cell>
          <cell r="C626" t="str">
            <v>0</v>
          </cell>
          <cell r="D626" t="str">
            <v>FLORES DAZA CECILIA ALEJANDRA</v>
          </cell>
          <cell r="E626" t="str">
            <v>FCI320008</v>
          </cell>
          <cell r="F626">
            <v>44</v>
          </cell>
          <cell r="G626">
            <v>30</v>
          </cell>
          <cell r="H626" t="str">
            <v>CECILIA.FLORES@UTALCA.CL</v>
          </cell>
          <cell r="I626">
            <v>45658</v>
          </cell>
          <cell r="J626">
            <v>46446</v>
          </cell>
          <cell r="K626" t="str">
            <v>CONTRATA</v>
          </cell>
          <cell r="L626" t="str">
            <v>CA DE LA PROFESIÓN</v>
          </cell>
          <cell r="M626" t="str">
            <v>PROFESOR ASISTENTE</v>
          </cell>
          <cell r="N626" t="str">
            <v>GRADO C</v>
          </cell>
          <cell r="O626" t="str">
            <v>MAGISTER</v>
          </cell>
          <cell r="P626" t="str">
            <v>MAGISTER EN ECONOMÍA ENERGÉTICA</v>
          </cell>
          <cell r="Q626" t="str">
            <v>CURICO</v>
          </cell>
          <cell r="R626" t="str">
            <v>FACULTAD DE INGENIERÍA</v>
          </cell>
          <cell r="S626" t="str">
            <v>DEPARTAMENTO DE INGENIERÍA DE MINAS</v>
          </cell>
        </row>
        <row r="627">
          <cell r="A627">
            <v>14018450</v>
          </cell>
          <cell r="B627" t="str">
            <v>14018450</v>
          </cell>
          <cell r="C627" t="str">
            <v>0</v>
          </cell>
          <cell r="D627" t="str">
            <v>TORRES GOMEZ MARCELA DEL PILAR</v>
          </cell>
          <cell r="E627" t="str">
            <v>VGE400050</v>
          </cell>
          <cell r="F627">
            <v>44</v>
          </cell>
          <cell r="G627">
            <v>30</v>
          </cell>
          <cell r="H627" t="str">
            <v>MTORRESG@UTALCA.CL</v>
          </cell>
          <cell r="I627">
            <v>41275</v>
          </cell>
          <cell r="J627">
            <v>46387</v>
          </cell>
          <cell r="K627" t="str">
            <v>CONTRATA</v>
          </cell>
          <cell r="L627" t="str">
            <v>PROFESIONAL</v>
          </cell>
          <cell r="M627" t="str">
            <v>PROFESIONAL</v>
          </cell>
          <cell r="N627" t="str">
            <v>GRADO I.17</v>
          </cell>
          <cell r="O627" t="str">
            <v>TÍTULO PROFESIONAL</v>
          </cell>
          <cell r="P627" t="str">
            <v>INGENIERO CIVIL AMBIENTAL</v>
          </cell>
          <cell r="Q627" t="str">
            <v>TALCA</v>
          </cell>
          <cell r="R627" t="str">
            <v>VIC. GESTIÓN ECONÓMICA Y ADMINISTRACIÓN</v>
          </cell>
          <cell r="S627" t="str">
            <v>DEPARTAMENTO DE ADMINISTRACIÓN DE CAMPUS</v>
          </cell>
        </row>
        <row r="628">
          <cell r="A628">
            <v>14018541</v>
          </cell>
          <cell r="B628" t="str">
            <v>14018541</v>
          </cell>
          <cell r="C628" t="str">
            <v>8</v>
          </cell>
          <cell r="D628" t="str">
            <v>PINCHEIRA VALDES KARIN ALEJAND</v>
          </cell>
          <cell r="E628" t="str">
            <v>FCS320007</v>
          </cell>
          <cell r="F628">
            <v>44</v>
          </cell>
          <cell r="G628">
            <v>30</v>
          </cell>
          <cell r="H628" t="str">
            <v>KPINCHEIRA@UTALCA.CL</v>
          </cell>
          <cell r="I628">
            <v>42095</v>
          </cell>
          <cell r="J628">
            <v>2958465</v>
          </cell>
          <cell r="K628" t="str">
            <v>PLANTA</v>
          </cell>
          <cell r="L628" t="str">
            <v>ADMINISTRATIVO</v>
          </cell>
          <cell r="M628" t="str">
            <v>ADMINISTRATIVO</v>
          </cell>
          <cell r="N628" t="str">
            <v>GRADO I.17</v>
          </cell>
          <cell r="O628" t="str">
            <v>TÉC. NIVEL SUPERIOR</v>
          </cell>
          <cell r="P628" t="str">
            <v>TÉCNICO EN AUDITORÍA CON MENCIÓN EN COMPUTACI</v>
          </cell>
          <cell r="Q628" t="str">
            <v>TALCA</v>
          </cell>
          <cell r="R628" t="str">
            <v>FACULTAD DE CIENCIAS DE LA SALUD</v>
          </cell>
          <cell r="S628" t="str">
            <v>DPTO. DE CIENCIAS BÁSICAS BIOMÉDICAS</v>
          </cell>
        </row>
        <row r="629">
          <cell r="A629">
            <v>14018780</v>
          </cell>
          <cell r="B629" t="str">
            <v>14018780</v>
          </cell>
          <cell r="C629" t="str">
            <v>1</v>
          </cell>
          <cell r="D629" t="str">
            <v>TRONCOSO MARIATA THAIS DAMARIS</v>
          </cell>
          <cell r="E629" t="str">
            <v/>
          </cell>
          <cell r="F629">
            <v>44</v>
          </cell>
          <cell r="G629">
            <v>30</v>
          </cell>
          <cell r="H629" t="str">
            <v>TTRONCOSO@UTALCA.CL</v>
          </cell>
          <cell r="I629">
            <v>44927</v>
          </cell>
          <cell r="J629">
            <v>46387</v>
          </cell>
          <cell r="K629" t="str">
            <v>CONTRATA</v>
          </cell>
          <cell r="L629" t="str">
            <v>PROFESIONAL</v>
          </cell>
          <cell r="M629" t="str">
            <v>PROFESIONAL</v>
          </cell>
          <cell r="N629" t="str">
            <v>GRADO I.17</v>
          </cell>
          <cell r="O629" t="str">
            <v>MAGISTER</v>
          </cell>
          <cell r="P629" t="str">
            <v>MAGISTER EN FINANZAS APLICADAS</v>
          </cell>
          <cell r="Q629" t="str">
            <v>TALCA</v>
          </cell>
          <cell r="R629" t="str">
            <v>VICERRECTORÍA DE FORMACIÓN</v>
          </cell>
          <cell r="S629" t="str">
            <v>DIRECCIÓN DE CICLO DE VIDA ESTUDIANTIL</v>
          </cell>
        </row>
        <row r="630">
          <cell r="A630">
            <v>14018926</v>
          </cell>
          <cell r="B630" t="str">
            <v>14018926</v>
          </cell>
          <cell r="C630" t="str">
            <v>K</v>
          </cell>
          <cell r="D630" t="str">
            <v>RUIZ PINO ALEJANDRA ANTONIETA</v>
          </cell>
          <cell r="E630" t="str">
            <v>VGE400020</v>
          </cell>
          <cell r="F630">
            <v>44</v>
          </cell>
          <cell r="G630">
            <v>30</v>
          </cell>
          <cell r="H630" t="str">
            <v>ALRUIZ@UTALCA.CL</v>
          </cell>
          <cell r="I630">
            <v>42095</v>
          </cell>
          <cell r="J630">
            <v>2958465</v>
          </cell>
          <cell r="K630" t="str">
            <v>PLANTA</v>
          </cell>
          <cell r="L630" t="str">
            <v>ADMINISTRATIVO</v>
          </cell>
          <cell r="M630" t="str">
            <v>ADMINISTRATIVO</v>
          </cell>
          <cell r="N630" t="str">
            <v>GRADO I.20</v>
          </cell>
          <cell r="O630" t="str">
            <v>TÍTULO PROFESIONAL</v>
          </cell>
          <cell r="P630" t="str">
            <v>CONTADOR PÚBLICO Y AUDITOR</v>
          </cell>
          <cell r="Q630" t="str">
            <v>TALCA</v>
          </cell>
          <cell r="R630" t="str">
            <v>VIC. GESTIÓN ECONÓMICA Y ADMINISTRACIÓN</v>
          </cell>
          <cell r="S630" t="str">
            <v>DEPARTAMENTO DE TESORERÍA</v>
          </cell>
        </row>
        <row r="631">
          <cell r="A631">
            <v>14019305</v>
          </cell>
          <cell r="B631" t="str">
            <v>14019305</v>
          </cell>
          <cell r="C631" t="str">
            <v>4</v>
          </cell>
          <cell r="D631" t="str">
            <v>RIVAS FLIES PATRICIO ANTONIO</v>
          </cell>
          <cell r="E631" t="str">
            <v>VGE400057</v>
          </cell>
          <cell r="F631">
            <v>44</v>
          </cell>
          <cell r="G631">
            <v>30</v>
          </cell>
          <cell r="H631" t="str">
            <v>PRIVAS@UTALCA.CL</v>
          </cell>
          <cell r="I631">
            <v>43466</v>
          </cell>
          <cell r="J631">
            <v>46387</v>
          </cell>
          <cell r="K631" t="str">
            <v>CONTRATA</v>
          </cell>
          <cell r="L631" t="str">
            <v>PROFESIONAL</v>
          </cell>
          <cell r="M631" t="str">
            <v>PROFESIONAL</v>
          </cell>
          <cell r="N631" t="str">
            <v>GRADO I.17</v>
          </cell>
          <cell r="O631" t="str">
            <v>TÍTULO PROFESIONAL</v>
          </cell>
          <cell r="P631" t="str">
            <v>CONTADOR PUBLICO Y AUDITOR, LINCENCIADO</v>
          </cell>
          <cell r="Q631" t="str">
            <v>TALCA</v>
          </cell>
          <cell r="R631" t="str">
            <v>VIC. GESTIÓN ECONÓMICA Y ADMINISTRACIÓN</v>
          </cell>
          <cell r="S631" t="str">
            <v>UNIDAD DE COMPRAS ESTRATÉGICAS</v>
          </cell>
        </row>
        <row r="632">
          <cell r="A632">
            <v>14020049</v>
          </cell>
          <cell r="B632" t="str">
            <v>14020049</v>
          </cell>
          <cell r="C632" t="str">
            <v>2</v>
          </cell>
          <cell r="D632" t="str">
            <v>QUINTEROS CACERES MARIA ELISA</v>
          </cell>
          <cell r="E632" t="str">
            <v>FCS320003</v>
          </cell>
          <cell r="F632">
            <v>44</v>
          </cell>
          <cell r="G632">
            <v>30</v>
          </cell>
          <cell r="H632" t="str">
            <v>MAQUINTEROS@UTALCA.CL</v>
          </cell>
          <cell r="I632">
            <v>44896</v>
          </cell>
          <cell r="J632">
            <v>46830</v>
          </cell>
          <cell r="K632" t="str">
            <v>PLANTA</v>
          </cell>
          <cell r="L632" t="str">
            <v>CA ORDINARIA</v>
          </cell>
          <cell r="M632" t="str">
            <v>PROFESOR ASISTENTE</v>
          </cell>
          <cell r="N632" t="str">
            <v>GRADO C</v>
          </cell>
          <cell r="O632" t="str">
            <v>DOCTORADO</v>
          </cell>
          <cell r="P632" t="str">
            <v>DOCTORA EN SALUD PÚBLICA</v>
          </cell>
          <cell r="Q632" t="str">
            <v>TALCA</v>
          </cell>
          <cell r="R632" t="str">
            <v>FACULTAD DE CIENCIAS DE LA SALUD</v>
          </cell>
          <cell r="S632" t="str">
            <v>DEPARTAMENTO DE SALUD PÚBLICA</v>
          </cell>
        </row>
        <row r="633">
          <cell r="A633">
            <v>14050695</v>
          </cell>
          <cell r="B633" t="str">
            <v>14050695</v>
          </cell>
          <cell r="C633" t="str">
            <v>8</v>
          </cell>
          <cell r="D633" t="str">
            <v>GONZALEZ MELENDEZ PAULINA VICT</v>
          </cell>
          <cell r="E633" t="str">
            <v>VDE400011</v>
          </cell>
          <cell r="F633">
            <v>33</v>
          </cell>
          <cell r="G633">
            <v>30</v>
          </cell>
          <cell r="H633" t="str">
            <v>PAULINA.GONZALEZ@UTALCA.CL</v>
          </cell>
          <cell r="I633">
            <v>44197</v>
          </cell>
          <cell r="J633">
            <v>46387</v>
          </cell>
          <cell r="K633" t="str">
            <v>CONTRATA</v>
          </cell>
          <cell r="L633" t="str">
            <v>PROFESIONAL</v>
          </cell>
          <cell r="M633" t="str">
            <v>PROFESIONAL</v>
          </cell>
          <cell r="N633" t="str">
            <v>GRADO I.17</v>
          </cell>
          <cell r="O633" t="str">
            <v>TÍTULO PROFESIONAL</v>
          </cell>
          <cell r="P633" t="str">
            <v>PSICOLOGO</v>
          </cell>
          <cell r="Q633" t="str">
            <v>CURICO</v>
          </cell>
          <cell r="R633" t="str">
            <v>VICERRECTORÍA DE DESARROLLO ESTUDIANTIL</v>
          </cell>
          <cell r="S633" t="str">
            <v>DIRECCIÓN DE SALUD ESTUDIANTIL</v>
          </cell>
        </row>
        <row r="634">
          <cell r="A634">
            <v>14050985</v>
          </cell>
          <cell r="B634" t="str">
            <v>14050985</v>
          </cell>
          <cell r="C634" t="str">
            <v>K</v>
          </cell>
          <cell r="D634" t="str">
            <v>ARROYO NUÑEZ CRISTIAN PATRICIO</v>
          </cell>
          <cell r="E634" t="str">
            <v>VGE400055</v>
          </cell>
          <cell r="F634">
            <v>44</v>
          </cell>
          <cell r="G634">
            <v>30</v>
          </cell>
          <cell r="H634" t="str">
            <v>CARROYO@UTALCA.CL</v>
          </cell>
          <cell r="I634">
            <v>41275</v>
          </cell>
          <cell r="J634">
            <v>46387</v>
          </cell>
          <cell r="K634" t="str">
            <v>CONTRATA</v>
          </cell>
          <cell r="L634" t="str">
            <v>PROFESIONAL</v>
          </cell>
          <cell r="M634" t="str">
            <v>PROFESIONAL</v>
          </cell>
          <cell r="N634" t="str">
            <v>GRADO I.17</v>
          </cell>
          <cell r="O634" t="str">
            <v>TÍTULO PROFESIONAL</v>
          </cell>
          <cell r="P634" t="str">
            <v>INGENIERO CIVIL EN COMPUTACIÓN</v>
          </cell>
          <cell r="Q634" t="str">
            <v>TALCA</v>
          </cell>
          <cell r="R634" t="str">
            <v>VIC. GESTIÓN ECONÓMICA Y ADMINISTRACIÓN</v>
          </cell>
          <cell r="S634" t="str">
            <v>DEPARTAMENTO DE PLATAFORMAS TI</v>
          </cell>
        </row>
        <row r="635">
          <cell r="A635">
            <v>14051512</v>
          </cell>
          <cell r="B635" t="str">
            <v>14051512</v>
          </cell>
          <cell r="C635" t="str">
            <v>4</v>
          </cell>
          <cell r="D635" t="str">
            <v>BRAVO GONZALEZ GERMAN ANDRES</v>
          </cell>
          <cell r="E635" t="str">
            <v>VRF400043</v>
          </cell>
          <cell r="F635">
            <v>44</v>
          </cell>
          <cell r="G635">
            <v>30</v>
          </cell>
          <cell r="H635" t="str">
            <v>GERMAN.BRAVO@UTALCA.CL</v>
          </cell>
          <cell r="I635">
            <v>43831</v>
          </cell>
          <cell r="J635">
            <v>46387</v>
          </cell>
          <cell r="K635" t="str">
            <v>CONTRATA</v>
          </cell>
          <cell r="L635" t="str">
            <v>PROFESIONAL</v>
          </cell>
          <cell r="M635" t="str">
            <v>PROFESIONAL</v>
          </cell>
          <cell r="N635" t="str">
            <v>GRADO I.17</v>
          </cell>
          <cell r="O635" t="str">
            <v>TÍTULO PROFESIONAL</v>
          </cell>
          <cell r="P635" t="str">
            <v>INGENIERO CIVIL EN COMPUTACIÓN</v>
          </cell>
          <cell r="Q635" t="str">
            <v>TALCA</v>
          </cell>
          <cell r="R635" t="str">
            <v>VICERRECTORÍA DE FORMACIÓN</v>
          </cell>
          <cell r="S635" t="str">
            <v>DPTO. DE GESTIÓN DE INFORM. ESTUDIANTIL</v>
          </cell>
        </row>
        <row r="636">
          <cell r="A636">
            <v>14051910</v>
          </cell>
          <cell r="B636" t="str">
            <v>14051910</v>
          </cell>
          <cell r="C636" t="str">
            <v>3</v>
          </cell>
          <cell r="D636" t="str">
            <v>RODRIGUEZ OLIVOS FRANCISCO JAV</v>
          </cell>
          <cell r="E636" t="str">
            <v>ADC011001</v>
          </cell>
          <cell r="F636">
            <v>44</v>
          </cell>
          <cell r="G636">
            <v>30</v>
          </cell>
          <cell r="H636" t="str">
            <v>FRANCISCO.RODRIGUEZ@UTALCA.CL</v>
          </cell>
          <cell r="I636">
            <v>44697</v>
          </cell>
          <cell r="J636">
            <v>46387</v>
          </cell>
          <cell r="K636" t="str">
            <v>CONTRATA</v>
          </cell>
          <cell r="L636" t="str">
            <v>AUXILIAR</v>
          </cell>
          <cell r="M636" t="str">
            <v>AUXILIAR</v>
          </cell>
          <cell r="N636" t="str">
            <v>GRADO I.24</v>
          </cell>
          <cell r="O636" t="str">
            <v>ESCOLARIDAD CIENT HU</v>
          </cell>
          <cell r="P636" t="str">
            <v>ENSEÑANZA MEDIA</v>
          </cell>
          <cell r="Q636" t="str">
            <v>TALCA</v>
          </cell>
          <cell r="R636" t="str">
            <v/>
          </cell>
          <cell r="S636" t="str">
            <v>RECTORÍA</v>
          </cell>
        </row>
        <row r="637">
          <cell r="A637">
            <v>14052035</v>
          </cell>
          <cell r="B637" t="str">
            <v>14052035</v>
          </cell>
          <cell r="C637" t="str">
            <v>7</v>
          </cell>
          <cell r="D637" t="str">
            <v>DURAN LARA ESTEBAN FRANCISCO</v>
          </cell>
          <cell r="E637" t="str">
            <v>FCS320002</v>
          </cell>
          <cell r="F637">
            <v>44</v>
          </cell>
          <cell r="G637">
            <v>30</v>
          </cell>
          <cell r="H637" t="str">
            <v>EDURAN@UTALCA.CL</v>
          </cell>
          <cell r="I637">
            <v>42005</v>
          </cell>
          <cell r="J637">
            <v>2958465</v>
          </cell>
          <cell r="K637" t="str">
            <v>PLANTA</v>
          </cell>
          <cell r="L637" t="str">
            <v>CA ORDINARIA</v>
          </cell>
          <cell r="M637" t="str">
            <v>PROFESOR ASOCIADO</v>
          </cell>
          <cell r="N637" t="str">
            <v>GRADO B</v>
          </cell>
          <cell r="O637" t="str">
            <v>DOCTORADO</v>
          </cell>
          <cell r="P637" t="str">
            <v>DOCTOR EN CIENCIAS CON MENCIÓN EN INVESTIGACI</v>
          </cell>
          <cell r="Q637" t="str">
            <v>TALCA</v>
          </cell>
          <cell r="R637" t="str">
            <v>FACULTAD DE CIENCIAS DE LA SALUD</v>
          </cell>
          <cell r="S637" t="str">
            <v>DEPARTAMENTO DE MICROBIOLOGÍA</v>
          </cell>
        </row>
        <row r="638">
          <cell r="A638">
            <v>14053006</v>
          </cell>
          <cell r="B638" t="str">
            <v>14053006</v>
          </cell>
          <cell r="C638" t="str">
            <v>9</v>
          </cell>
          <cell r="D638" t="str">
            <v>DONOSO SABANDO CLAUDIA ANDREA</v>
          </cell>
          <cell r="E638" t="str">
            <v>FAM200001</v>
          </cell>
          <cell r="F638">
            <v>6</v>
          </cell>
          <cell r="G638">
            <v>30</v>
          </cell>
          <cell r="H638" t="str">
            <v>CLDONOSO@UTALCA.CL</v>
          </cell>
          <cell r="I638">
            <v>39508</v>
          </cell>
          <cell r="J638">
            <v>46387</v>
          </cell>
          <cell r="K638" t="str">
            <v>CONTRATA</v>
          </cell>
          <cell r="L638" t="str">
            <v>C ESPECIALES</v>
          </cell>
          <cell r="M638" t="str">
            <v>TUTOR(A) PRÁCTICA</v>
          </cell>
          <cell r="N638" t="str">
            <v>SIN GRADO</v>
          </cell>
          <cell r="O638" t="str">
            <v>DOCTORADO</v>
          </cell>
          <cell r="P638" t="str">
            <v>DOCTORA EN FILOSOFÍA, CON MENCIÓN EN FILOSOFÍ</v>
          </cell>
          <cell r="Q638" t="str">
            <v>TALCA</v>
          </cell>
          <cell r="R638" t="str">
            <v>FACULTAD DE MEDICINA</v>
          </cell>
          <cell r="S638" t="str">
            <v>FACULTAD DE MEDICINA</v>
          </cell>
        </row>
        <row r="639">
          <cell r="A639">
            <v>14053444</v>
          </cell>
          <cell r="B639" t="str">
            <v>14053444</v>
          </cell>
          <cell r="C639" t="str">
            <v>7</v>
          </cell>
          <cell r="D639" t="str">
            <v>CORNEJO PULGAR FRANCISCA ELIAN</v>
          </cell>
          <cell r="E639" t="str">
            <v>FAD310004</v>
          </cell>
          <cell r="F639">
            <v>44</v>
          </cell>
          <cell r="G639">
            <v>30</v>
          </cell>
          <cell r="H639" t="str">
            <v>FRCORNEJO@UTALCA.CL</v>
          </cell>
          <cell r="I639">
            <v>44837</v>
          </cell>
          <cell r="J639">
            <v>46387</v>
          </cell>
          <cell r="K639" t="str">
            <v>CONTRATA</v>
          </cell>
          <cell r="L639" t="str">
            <v>ADMINISTRATIVO</v>
          </cell>
          <cell r="M639" t="str">
            <v>ADMINISTRATIVO</v>
          </cell>
          <cell r="N639" t="str">
            <v>GRADO I.21</v>
          </cell>
          <cell r="O639" t="str">
            <v>TÍTULO PROFESIONAL</v>
          </cell>
          <cell r="P639" t="str">
            <v>ADMINISTRADOR PUBLICO</v>
          </cell>
          <cell r="Q639" t="str">
            <v>TALCA</v>
          </cell>
          <cell r="R639" t="str">
            <v>FACULTAD DE ARQUITECTUR, MÚSICA Y DISEÑO</v>
          </cell>
          <cell r="S639" t="str">
            <v>ESCUELA DE MÚSICA</v>
          </cell>
        </row>
        <row r="640">
          <cell r="A640">
            <v>14053807</v>
          </cell>
          <cell r="B640" t="str">
            <v>14053807</v>
          </cell>
          <cell r="C640" t="str">
            <v>8</v>
          </cell>
          <cell r="D640" t="str">
            <v>CABRERA SEPULVEDA JESSICA DEL</v>
          </cell>
          <cell r="E640" t="str">
            <v>FCI200001</v>
          </cell>
          <cell r="F640">
            <v>44</v>
          </cell>
          <cell r="G640">
            <v>30</v>
          </cell>
          <cell r="H640" t="str">
            <v>JECABRERA@UTALCA.CL</v>
          </cell>
          <cell r="I640">
            <v>44197</v>
          </cell>
          <cell r="J640">
            <v>46387</v>
          </cell>
          <cell r="K640" t="str">
            <v>CONTRATA</v>
          </cell>
          <cell r="L640" t="str">
            <v>ADMINISTRATIVO</v>
          </cell>
          <cell r="M640" t="str">
            <v>ADMINISTRATIVO</v>
          </cell>
          <cell r="N640" t="str">
            <v>GRADO I.21</v>
          </cell>
          <cell r="O640" t="str">
            <v>TÍTULO PROFESIONAL</v>
          </cell>
          <cell r="P640" t="str">
            <v>ADMINISTRADOR UNIVERSITARIO DE EMPRESAS</v>
          </cell>
          <cell r="Q640" t="str">
            <v>CURICO</v>
          </cell>
          <cell r="R640" t="str">
            <v>FACULTAD DE INGENIERÍA</v>
          </cell>
          <cell r="S640" t="str">
            <v>FACULTAD DE INGENIERÍA</v>
          </cell>
        </row>
        <row r="641">
          <cell r="A641">
            <v>14056691</v>
          </cell>
          <cell r="B641" t="str">
            <v>14056691</v>
          </cell>
          <cell r="C641" t="str">
            <v>8</v>
          </cell>
          <cell r="D641" t="str">
            <v>SOTO SOLIS NATALIA ANDREA</v>
          </cell>
          <cell r="E641" t="str">
            <v>ADC015001</v>
          </cell>
          <cell r="F641">
            <v>44</v>
          </cell>
          <cell r="G641">
            <v>30</v>
          </cell>
          <cell r="H641" t="str">
            <v/>
          </cell>
          <cell r="I641">
            <v>45748</v>
          </cell>
          <cell r="J641">
            <v>46387</v>
          </cell>
          <cell r="K641" t="str">
            <v>CONTRATA</v>
          </cell>
          <cell r="L641" t="str">
            <v>PROFESIONAL</v>
          </cell>
          <cell r="M641" t="str">
            <v>PROFESIONAL</v>
          </cell>
          <cell r="N641" t="str">
            <v>GRADO I.8</v>
          </cell>
          <cell r="O641" t="str">
            <v>TÍTULO PROFESIONAL</v>
          </cell>
          <cell r="P641" t="str">
            <v>ABOGADA</v>
          </cell>
          <cell r="Q641" t="str">
            <v>TALCA</v>
          </cell>
          <cell r="R641" t="str">
            <v>DIRECCIÓN DE ASUNTOS JURÍDICOS</v>
          </cell>
          <cell r="S641" t="str">
            <v>DIRECCIÓN DE ASUNTOS JURÍDICOS</v>
          </cell>
        </row>
        <row r="642">
          <cell r="A642">
            <v>14067285</v>
          </cell>
          <cell r="B642" t="str">
            <v>14067285</v>
          </cell>
          <cell r="C642" t="str">
            <v>8</v>
          </cell>
          <cell r="D642" t="str">
            <v>MUÑOZ PARRA DANIELA</v>
          </cell>
          <cell r="E642" t="str">
            <v/>
          </cell>
          <cell r="F642">
            <v>44</v>
          </cell>
          <cell r="G642">
            <v>30</v>
          </cell>
          <cell r="H642" t="str">
            <v>DAMUNOZ@UTALCA.CL</v>
          </cell>
          <cell r="I642">
            <v>44927</v>
          </cell>
          <cell r="J642">
            <v>46387</v>
          </cell>
          <cell r="K642" t="str">
            <v>CONTRATA</v>
          </cell>
          <cell r="L642" t="str">
            <v>TÉCNICO</v>
          </cell>
          <cell r="M642" t="str">
            <v>TÉCNICO</v>
          </cell>
          <cell r="N642" t="str">
            <v>GRADO I.23</v>
          </cell>
          <cell r="O642" t="str">
            <v>TÉC. NIVEL SUPERIOR</v>
          </cell>
          <cell r="P642" t="str">
            <v>TECNICO DE NIVEL SUPERIOR EN VITIVINICULTURA</v>
          </cell>
          <cell r="Q642" t="str">
            <v>TALCA</v>
          </cell>
          <cell r="R642" t="str">
            <v/>
          </cell>
          <cell r="S642" t="str">
            <v/>
          </cell>
        </row>
        <row r="643">
          <cell r="A643">
            <v>14096334</v>
          </cell>
          <cell r="B643" t="str">
            <v>14096334</v>
          </cell>
          <cell r="C643" t="str">
            <v>8</v>
          </cell>
          <cell r="D643" t="str">
            <v>BARRIGA RICHARDS NICOLAS ARTUR</v>
          </cell>
          <cell r="E643" t="str">
            <v>FCI320009</v>
          </cell>
          <cell r="F643">
            <v>44</v>
          </cell>
          <cell r="G643">
            <v>30</v>
          </cell>
          <cell r="H643" t="str">
            <v>NBARRIGA@UTALCA.CL</v>
          </cell>
          <cell r="I643">
            <v>43101</v>
          </cell>
          <cell r="J643">
            <v>46151</v>
          </cell>
          <cell r="K643" t="str">
            <v>PLANTA</v>
          </cell>
          <cell r="L643" t="str">
            <v>CA ORDINARIA</v>
          </cell>
          <cell r="M643" t="str">
            <v>PROFESOR ASISTENTE</v>
          </cell>
          <cell r="N643" t="str">
            <v>GRADO C</v>
          </cell>
          <cell r="O643" t="str">
            <v>DOCTORADO</v>
          </cell>
          <cell r="P643" t="str">
            <v>DOCTOR OF PHILOSOPHY IN COMPUTING SCIENCE</v>
          </cell>
          <cell r="Q643" t="str">
            <v>TALCA</v>
          </cell>
          <cell r="R643" t="str">
            <v>FACULTAD DE INGENIERÍA</v>
          </cell>
          <cell r="S643" t="str">
            <v>DPTO. VISUALI. INTERACTIVA Y REA.VIRTUAL</v>
          </cell>
        </row>
        <row r="644">
          <cell r="A644">
            <v>14126708</v>
          </cell>
          <cell r="B644" t="str">
            <v>14126708</v>
          </cell>
          <cell r="C644" t="str">
            <v>6</v>
          </cell>
          <cell r="D644" t="str">
            <v>FUENTES HENNY CRISTOBAL NICOLÁ</v>
          </cell>
          <cell r="E644" t="str">
            <v>FAD310001</v>
          </cell>
          <cell r="F644">
            <v>44</v>
          </cell>
          <cell r="G644">
            <v>30</v>
          </cell>
          <cell r="H644" t="str">
            <v>CRISTOBAL.FUENTES@UTALCA.CL</v>
          </cell>
          <cell r="I644">
            <v>44682</v>
          </cell>
          <cell r="J644">
            <v>46446</v>
          </cell>
          <cell r="K644" t="str">
            <v>CONTRATA</v>
          </cell>
          <cell r="L644" t="str">
            <v>CA DOCENTE</v>
          </cell>
          <cell r="M644" t="str">
            <v>PROFESOR ASISTENTE</v>
          </cell>
          <cell r="N644" t="str">
            <v>GRADO C</v>
          </cell>
          <cell r="O644" t="str">
            <v>MAGISTER</v>
          </cell>
          <cell r="P644" t="str">
            <v>MAGISTER EN PROYECTO URBANO</v>
          </cell>
          <cell r="Q644" t="str">
            <v>TALCA</v>
          </cell>
          <cell r="R644" t="str">
            <v>FACULTAD DE ARQUITECTUR, MÚSICA Y DISEÑO</v>
          </cell>
          <cell r="S644" t="str">
            <v>ESCUELA DE ARQUITECTURA</v>
          </cell>
        </row>
        <row r="645">
          <cell r="A645">
            <v>14151897</v>
          </cell>
          <cell r="B645" t="str">
            <v>14151897</v>
          </cell>
          <cell r="C645" t="str">
            <v>6</v>
          </cell>
          <cell r="D645" t="str">
            <v>CARRASCO MARDONES OMAR FRANK</v>
          </cell>
          <cell r="E645" t="str">
            <v>VAC400074</v>
          </cell>
          <cell r="F645">
            <v>44</v>
          </cell>
          <cell r="G645">
            <v>30</v>
          </cell>
          <cell r="H645" t="str">
            <v>OCARRASCO@UTALCA.CL</v>
          </cell>
          <cell r="I645">
            <v>43101</v>
          </cell>
          <cell r="J645">
            <v>46387</v>
          </cell>
          <cell r="K645" t="str">
            <v>CONTRATA</v>
          </cell>
          <cell r="L645" t="str">
            <v>PROFESIONAL</v>
          </cell>
          <cell r="M645" t="str">
            <v>PROFESIONAL</v>
          </cell>
          <cell r="N645" t="str">
            <v>GRADO I.17</v>
          </cell>
          <cell r="O645" t="str">
            <v>TÍTULO PROFESIONAL</v>
          </cell>
          <cell r="P645" t="str">
            <v>INGENIERO DE EJECUCIÓN EN PREVENCIÓN DE RIESG</v>
          </cell>
          <cell r="Q645" t="str">
            <v>TALCA</v>
          </cell>
          <cell r="R645" t="str">
            <v>VICERRECTORÍA ACADÉMICA</v>
          </cell>
          <cell r="S645" t="str">
            <v>UNIDA DE GESTIÓN DE LA INVESTIGACIÓN</v>
          </cell>
        </row>
        <row r="646">
          <cell r="A646">
            <v>14192164</v>
          </cell>
          <cell r="B646" t="str">
            <v>14192164</v>
          </cell>
          <cell r="C646" t="str">
            <v>9</v>
          </cell>
          <cell r="D646" t="str">
            <v>QUINTANA LAGOS ALVARO ANDRES</v>
          </cell>
          <cell r="E646" t="str">
            <v>VAC400001</v>
          </cell>
          <cell r="F646">
            <v>44</v>
          </cell>
          <cell r="G646">
            <v>30</v>
          </cell>
          <cell r="H646" t="str">
            <v>ALVARO.QUINTANA@UTALCA.CL</v>
          </cell>
          <cell r="I646">
            <v>44927</v>
          </cell>
          <cell r="J646">
            <v>46387</v>
          </cell>
          <cell r="K646" t="str">
            <v>CONTRATA</v>
          </cell>
          <cell r="L646" t="str">
            <v>TÉCNICO</v>
          </cell>
          <cell r="M646" t="str">
            <v>TÉCNICO</v>
          </cell>
          <cell r="N646" t="str">
            <v>GRADO I.23</v>
          </cell>
          <cell r="O646" t="str">
            <v>TÉC. NIVEL MEDIO</v>
          </cell>
          <cell r="P646" t="str">
            <v>TECNICO EN BIBLIOTECOLOGIA Y CENTROS DE INFOR</v>
          </cell>
          <cell r="Q646" t="str">
            <v>SANTIAGO</v>
          </cell>
          <cell r="R646" t="str">
            <v>VICERRECTORÍA ACADÉMICA</v>
          </cell>
          <cell r="S646" t="str">
            <v>DIRECCIÓN DE BIBLIOTECAS</v>
          </cell>
        </row>
        <row r="647">
          <cell r="A647">
            <v>14200190</v>
          </cell>
          <cell r="B647" t="str">
            <v>14200190</v>
          </cell>
          <cell r="C647" t="str">
            <v>K</v>
          </cell>
          <cell r="D647" t="str">
            <v>ZUÑIGA HERNANDEZ JESSICA PAMEL</v>
          </cell>
          <cell r="E647" t="str">
            <v>FCS320007</v>
          </cell>
          <cell r="F647">
            <v>44</v>
          </cell>
          <cell r="G647">
            <v>30</v>
          </cell>
          <cell r="H647" t="str">
            <v>JEZUNIGA@UTALCA.CL</v>
          </cell>
          <cell r="I647">
            <v>40878</v>
          </cell>
          <cell r="J647">
            <v>46752</v>
          </cell>
          <cell r="K647" t="str">
            <v>CONTRATA</v>
          </cell>
          <cell r="L647" t="str">
            <v>CA DOCENTE</v>
          </cell>
          <cell r="M647" t="str">
            <v>PROFESOR TITULAR</v>
          </cell>
          <cell r="N647" t="str">
            <v>GRADO A</v>
          </cell>
          <cell r="O647" t="str">
            <v>DOCTORADO</v>
          </cell>
          <cell r="P647" t="str">
            <v>DOCTOR EN CIENCIAS BIOMÉDICAS</v>
          </cell>
          <cell r="Q647" t="str">
            <v>TALCA</v>
          </cell>
          <cell r="R647" t="str">
            <v>FACULTAD DE CIENCIAS DE LA SALUD</v>
          </cell>
          <cell r="S647" t="str">
            <v>DPTO. DE CIENCIAS BÁSICAS BIOMÉDICAS</v>
          </cell>
        </row>
        <row r="648">
          <cell r="A648">
            <v>14208108</v>
          </cell>
          <cell r="B648" t="str">
            <v>14208108</v>
          </cell>
          <cell r="C648" t="str">
            <v>3</v>
          </cell>
          <cell r="D648" t="str">
            <v>NEUDORFER RETAMAL PABLO JOSÉ</v>
          </cell>
          <cell r="E648" t="str">
            <v>FEN310001</v>
          </cell>
          <cell r="F648">
            <v>44</v>
          </cell>
          <cell r="G648">
            <v>30</v>
          </cell>
          <cell r="H648" t="str">
            <v>PABLO.NEUDORFER@UTALCA.CL</v>
          </cell>
          <cell r="I648">
            <v>44743</v>
          </cell>
          <cell r="J648">
            <v>46446</v>
          </cell>
          <cell r="K648" t="str">
            <v>CONTRATA</v>
          </cell>
          <cell r="L648" t="str">
            <v>CA DOCENTE</v>
          </cell>
          <cell r="M648" t="str">
            <v>PROFESOR ASISTENTE</v>
          </cell>
          <cell r="N648" t="str">
            <v>GRADO C</v>
          </cell>
          <cell r="O648" t="str">
            <v>DOCTORADO</v>
          </cell>
          <cell r="P648" t="str">
            <v>DOCTOR OF PHILOSOPHY</v>
          </cell>
          <cell r="Q648" t="str">
            <v>TALCA</v>
          </cell>
          <cell r="R648" t="str">
            <v>FACULTAD DE ECONOMÍA Y NEGOCIOS</v>
          </cell>
          <cell r="S648" t="str">
            <v>ESCUELA DE INGENIERÍA COMERCIAL DE TALCA</v>
          </cell>
        </row>
        <row r="649">
          <cell r="A649">
            <v>14211653</v>
          </cell>
          <cell r="B649" t="str">
            <v>14211653</v>
          </cell>
          <cell r="C649" t="str">
            <v>7</v>
          </cell>
          <cell r="D649" t="str">
            <v>QUIROZ JARA MAURICIO ALEJANDRO</v>
          </cell>
          <cell r="E649" t="str">
            <v>ICB300001</v>
          </cell>
          <cell r="F649">
            <v>44</v>
          </cell>
          <cell r="G649">
            <v>30</v>
          </cell>
          <cell r="H649" t="str">
            <v>MAURICIO.QUIROZ@UTALCA.CL</v>
          </cell>
          <cell r="I649">
            <v>43922</v>
          </cell>
          <cell r="J649">
            <v>46446</v>
          </cell>
          <cell r="K649" t="str">
            <v>CONTRATA</v>
          </cell>
          <cell r="L649" t="str">
            <v>CA DOCENTE</v>
          </cell>
          <cell r="M649" t="str">
            <v>INSTRUCTOR</v>
          </cell>
          <cell r="N649" t="str">
            <v>GRADO D</v>
          </cell>
          <cell r="O649" t="str">
            <v>DOCTORADO</v>
          </cell>
          <cell r="P649" t="str">
            <v>DOCTOR EN CIENCIAS AMBIENTALES CON MENCIÓN EN</v>
          </cell>
          <cell r="Q649" t="str">
            <v>TALCA</v>
          </cell>
          <cell r="R649" t="str">
            <v>INSTITUTO DE CIENCIAS BIOLÓGICAS</v>
          </cell>
          <cell r="S649" t="str">
            <v>INSTITUTO DE CIENCIAS BIOLÓGICAS</v>
          </cell>
        </row>
        <row r="650">
          <cell r="A650">
            <v>14220214</v>
          </cell>
          <cell r="B650" t="str">
            <v>14220214</v>
          </cell>
          <cell r="C650" t="str">
            <v>K</v>
          </cell>
          <cell r="D650" t="str">
            <v>HERNANDEZ REYES JONATHAN ROBER</v>
          </cell>
          <cell r="E650" t="str">
            <v>VRF400044</v>
          </cell>
          <cell r="F650">
            <v>44</v>
          </cell>
          <cell r="G650">
            <v>30</v>
          </cell>
          <cell r="H650" t="str">
            <v>JOHERNANDEZ@UTALCA.CL</v>
          </cell>
          <cell r="I650">
            <v>43101</v>
          </cell>
          <cell r="J650">
            <v>2958465</v>
          </cell>
          <cell r="K650" t="str">
            <v>PLANTA</v>
          </cell>
          <cell r="L650" t="str">
            <v>ADMINISTRATIVO</v>
          </cell>
          <cell r="M650" t="str">
            <v>ADMINISTRATIVO</v>
          </cell>
          <cell r="N650" t="str">
            <v>GRADO I.20</v>
          </cell>
          <cell r="O650" t="str">
            <v>TÍTULO PROFESIONAL</v>
          </cell>
          <cell r="P650" t="str">
            <v>INGENIERO COMERCIAL MENCIÓN INFORMÁTICA</v>
          </cell>
          <cell r="Q650" t="str">
            <v>TALCA</v>
          </cell>
          <cell r="R650" t="str">
            <v>VICERRECTORÍA DE FORMACIÓN</v>
          </cell>
          <cell r="S650" t="str">
            <v>UNIDAD ALUMNI E INSERCIÓN LABORAL</v>
          </cell>
        </row>
        <row r="651">
          <cell r="A651">
            <v>14253940</v>
          </cell>
          <cell r="B651" t="str">
            <v>14253940</v>
          </cell>
          <cell r="C651" t="str">
            <v>3</v>
          </cell>
          <cell r="D651" t="str">
            <v>JIMENEZ FIGUEROA ANDRES EDUARD</v>
          </cell>
          <cell r="E651" t="str">
            <v>FPS200001</v>
          </cell>
          <cell r="F651">
            <v>44</v>
          </cell>
          <cell r="G651">
            <v>30</v>
          </cell>
          <cell r="H651" t="str">
            <v>ANJIMENEZ@UTALCA.CL</v>
          </cell>
          <cell r="I651">
            <v>38808</v>
          </cell>
          <cell r="J651">
            <v>2958465</v>
          </cell>
          <cell r="K651" t="str">
            <v>PLANTA</v>
          </cell>
          <cell r="L651" t="str">
            <v>CA ORDINARIA</v>
          </cell>
          <cell r="M651" t="str">
            <v>PROFESOR ASISTENTE</v>
          </cell>
          <cell r="N651" t="str">
            <v>GRADO C</v>
          </cell>
          <cell r="O651" t="str">
            <v>DOCTORADO</v>
          </cell>
          <cell r="P651" t="str">
            <v>DOCTOR EN ADMINISTRACION DE EMPRESAS</v>
          </cell>
          <cell r="Q651" t="str">
            <v>TALCA</v>
          </cell>
          <cell r="R651" t="str">
            <v>FACULTAD DE PSICOLOGÍA</v>
          </cell>
          <cell r="S651" t="str">
            <v>FACULTAD DE PSICOLOGÍA</v>
          </cell>
        </row>
        <row r="652">
          <cell r="A652">
            <v>14278209</v>
          </cell>
          <cell r="B652" t="str">
            <v>14278209</v>
          </cell>
          <cell r="C652" t="str">
            <v>K</v>
          </cell>
          <cell r="D652" t="str">
            <v>MARTINEZ SALAZAR RUTH JANNETTE</v>
          </cell>
          <cell r="E652" t="str">
            <v>FCS340007</v>
          </cell>
          <cell r="F652">
            <v>44</v>
          </cell>
          <cell r="G652">
            <v>30</v>
          </cell>
          <cell r="H652" t="str">
            <v>RUMARTINEZ@UTALCA.CL</v>
          </cell>
          <cell r="I652">
            <v>43466</v>
          </cell>
          <cell r="J652">
            <v>46387</v>
          </cell>
          <cell r="K652" t="str">
            <v>CONTRATA</v>
          </cell>
          <cell r="L652" t="str">
            <v>ADMINISTRATIVO</v>
          </cell>
          <cell r="M652" t="str">
            <v>ADMINISTRATIVO</v>
          </cell>
          <cell r="N652" t="str">
            <v>GRADO I.21</v>
          </cell>
          <cell r="O652" t="str">
            <v>TÉC. NIVEL MEDIO</v>
          </cell>
          <cell r="P652" t="str">
            <v>CONTADOR</v>
          </cell>
          <cell r="Q652" t="str">
            <v>TALCA</v>
          </cell>
          <cell r="R652" t="str">
            <v>FACULTAD DE CIENCIAS DE LA SALUD</v>
          </cell>
          <cell r="S652" t="str">
            <v>CLÍNICAS DE KINESIOLOGÍA</v>
          </cell>
        </row>
        <row r="653">
          <cell r="A653">
            <v>14302931</v>
          </cell>
          <cell r="B653" t="str">
            <v>14302931</v>
          </cell>
          <cell r="C653" t="str">
            <v>K</v>
          </cell>
          <cell r="D653" t="str">
            <v>FUENZALIDA DONOSO ELIANA ANDRE</v>
          </cell>
          <cell r="E653" t="str">
            <v>VRF400008</v>
          </cell>
          <cell r="F653">
            <v>44</v>
          </cell>
          <cell r="G653">
            <v>30</v>
          </cell>
          <cell r="H653" t="str">
            <v>EFUENZALIDAD@UTALCA.CL</v>
          </cell>
          <cell r="I653">
            <v>42058</v>
          </cell>
          <cell r="J653">
            <v>46446</v>
          </cell>
          <cell r="K653" t="str">
            <v>CONTRATA</v>
          </cell>
          <cell r="L653" t="str">
            <v>CA DOCENTE</v>
          </cell>
          <cell r="M653" t="str">
            <v>INSTRUCTOR</v>
          </cell>
          <cell r="N653" t="str">
            <v>GRADO D</v>
          </cell>
          <cell r="O653" t="str">
            <v>MAGISTER</v>
          </cell>
          <cell r="P653" t="str">
            <v>MAGISTER EN GESTION TECNOLOGICA</v>
          </cell>
          <cell r="Q653" t="str">
            <v>TALCA</v>
          </cell>
          <cell r="R653" t="str">
            <v>DIRECCIÓN DE PREGRADO</v>
          </cell>
          <cell r="S653" t="str">
            <v>PROGRAMA DE IDIOMAS</v>
          </cell>
        </row>
        <row r="654">
          <cell r="A654">
            <v>14305451</v>
          </cell>
          <cell r="B654" t="str">
            <v>14305451</v>
          </cell>
          <cell r="C654" t="str">
            <v>9</v>
          </cell>
          <cell r="D654" t="str">
            <v>ROJO BUGUEÑO JAVIER IVAN</v>
          </cell>
          <cell r="E654" t="str">
            <v>VGE400031</v>
          </cell>
          <cell r="F654">
            <v>44</v>
          </cell>
          <cell r="G654">
            <v>30</v>
          </cell>
          <cell r="H654" t="str">
            <v>JROJO@UTALCA.CL</v>
          </cell>
          <cell r="I654">
            <v>37464</v>
          </cell>
          <cell r="J654">
            <v>46387</v>
          </cell>
          <cell r="K654" t="str">
            <v>CONTRATA</v>
          </cell>
          <cell r="L654" t="str">
            <v>ADMINISTRATIVO</v>
          </cell>
          <cell r="M654" t="str">
            <v>PROFESIONAL</v>
          </cell>
          <cell r="N654" t="str">
            <v>GRADO I.17</v>
          </cell>
          <cell r="O654" t="str">
            <v>TÍTULO PROFESIONAL</v>
          </cell>
          <cell r="P654" t="str">
            <v>CONTADOR PUBLICO Y AUDITOR</v>
          </cell>
          <cell r="Q654" t="str">
            <v>TALCA</v>
          </cell>
          <cell r="R654" t="str">
            <v>VIC. GESTIÓN ECONÓMICA Y ADMINISTRACIÓN</v>
          </cell>
          <cell r="S654" t="str">
            <v>DPTO. DE APOYO FINANCIERO AL ESTUDIANTE</v>
          </cell>
        </row>
        <row r="655">
          <cell r="A655">
            <v>14306810</v>
          </cell>
          <cell r="B655" t="str">
            <v>14306810</v>
          </cell>
          <cell r="C655" t="str">
            <v>2</v>
          </cell>
          <cell r="D655" t="str">
            <v>ZUÑIGA HORMAZABAL LEANDRO ANTO</v>
          </cell>
          <cell r="E655" t="str">
            <v>FAM320001</v>
          </cell>
          <cell r="F655">
            <v>44</v>
          </cell>
          <cell r="G655">
            <v>30</v>
          </cell>
          <cell r="H655" t="str">
            <v>LZUNIGA@UTALCA.CL</v>
          </cell>
          <cell r="I655">
            <v>41334</v>
          </cell>
          <cell r="J655">
            <v>2958465</v>
          </cell>
          <cell r="K655" t="str">
            <v>PLANTA</v>
          </cell>
          <cell r="L655" t="str">
            <v>CA ORDINARIA</v>
          </cell>
          <cell r="M655" t="str">
            <v>PROFESOR ASOCIADO</v>
          </cell>
          <cell r="N655" t="str">
            <v>GRADO B</v>
          </cell>
          <cell r="O655" t="str">
            <v>DOCTORADO</v>
          </cell>
          <cell r="P655" t="str">
            <v>DOCTOR IN BIOLOGICAL SCIENCES</v>
          </cell>
          <cell r="Q655" t="str">
            <v>TALCA</v>
          </cell>
          <cell r="R655" t="str">
            <v>FACULTAD DE MEDICINA</v>
          </cell>
          <cell r="S655" t="str">
            <v>DEPARTAMENTO DE CIENCIAS PRECLÍNICAS</v>
          </cell>
        </row>
        <row r="656">
          <cell r="A656">
            <v>14325568</v>
          </cell>
          <cell r="B656" t="str">
            <v>14325568</v>
          </cell>
          <cell r="C656" t="str">
            <v>9</v>
          </cell>
          <cell r="D656" t="str">
            <v>WEHINGER WEHINGER SERGIO ANTON</v>
          </cell>
          <cell r="E656" t="str">
            <v>FCS320001</v>
          </cell>
          <cell r="F656">
            <v>44</v>
          </cell>
          <cell r="G656">
            <v>30</v>
          </cell>
          <cell r="H656" t="str">
            <v>SNUNEZ@UTALCA.CL</v>
          </cell>
          <cell r="I656">
            <v>40179</v>
          </cell>
          <cell r="J656">
            <v>2958465</v>
          </cell>
          <cell r="K656" t="str">
            <v>PLANTA</v>
          </cell>
          <cell r="L656" t="str">
            <v>CA ORDINARIA</v>
          </cell>
          <cell r="M656" t="str">
            <v>PROFESOR ASOCIADO</v>
          </cell>
          <cell r="N656" t="str">
            <v>GRADO B</v>
          </cell>
          <cell r="O656" t="str">
            <v>DOCTORADO</v>
          </cell>
          <cell r="P656" t="str">
            <v>DOCTOR EN CIENCIAS BIOMÉDICAS</v>
          </cell>
          <cell r="Q656" t="str">
            <v>TALCA</v>
          </cell>
          <cell r="R656" t="str">
            <v>FACULTAD DE CIENCIAS DE LA SALUD</v>
          </cell>
          <cell r="S656" t="str">
            <v>DPTO. BIOQUÍM. CLÍN. E INMUNOHEMATOLOGÍA</v>
          </cell>
        </row>
        <row r="657">
          <cell r="A657">
            <v>14326971</v>
          </cell>
          <cell r="B657" t="str">
            <v>14326971</v>
          </cell>
          <cell r="C657" t="str">
            <v>K</v>
          </cell>
          <cell r="D657" t="str">
            <v>BRAVO GONZALEZ JORGE ANDRES</v>
          </cell>
          <cell r="E657" t="str">
            <v>FCI320005</v>
          </cell>
          <cell r="F657">
            <v>44</v>
          </cell>
          <cell r="G657">
            <v>30</v>
          </cell>
          <cell r="H657" t="str">
            <v>JBRAVOG@UTALCA.CL</v>
          </cell>
          <cell r="I657">
            <v>42430</v>
          </cell>
          <cell r="J657">
            <v>46446</v>
          </cell>
          <cell r="K657" t="str">
            <v>CONTRATA</v>
          </cell>
          <cell r="L657" t="str">
            <v>CA DOCENTE</v>
          </cell>
          <cell r="M657" t="str">
            <v>INSTRUCTOR</v>
          </cell>
          <cell r="N657" t="str">
            <v>GRADO D</v>
          </cell>
          <cell r="O657" t="str">
            <v>MAGISTER</v>
          </cell>
          <cell r="P657" t="str">
            <v>MASTER EN BIM Y DISEÑO INTEGRADO</v>
          </cell>
          <cell r="Q657" t="str">
            <v>CURICO</v>
          </cell>
          <cell r="R657" t="str">
            <v>FACULTAD DE INGENIERÍA</v>
          </cell>
          <cell r="S657" t="str">
            <v>DPTO. ING. Y GESTIÓN DE LA CONSTRUCCIÓN</v>
          </cell>
        </row>
        <row r="658">
          <cell r="A658">
            <v>14327311</v>
          </cell>
          <cell r="B658" t="str">
            <v>14327311</v>
          </cell>
          <cell r="C658" t="str">
            <v>3</v>
          </cell>
          <cell r="D658" t="str">
            <v>JARA PEÑA CINTHIA WALEWSKA</v>
          </cell>
          <cell r="E658" t="str">
            <v/>
          </cell>
          <cell r="F658">
            <v>44</v>
          </cell>
          <cell r="G658">
            <v>30</v>
          </cell>
          <cell r="H658" t="str">
            <v>CTJARA@UTALCA.CL</v>
          </cell>
          <cell r="I658">
            <v>38534</v>
          </cell>
          <cell r="J658">
            <v>46387</v>
          </cell>
          <cell r="K658" t="str">
            <v>CONTRATA</v>
          </cell>
          <cell r="L658" t="str">
            <v>TÉCNICO</v>
          </cell>
          <cell r="M658" t="str">
            <v>TÉCNICO</v>
          </cell>
          <cell r="N658" t="str">
            <v>GRADO I.21</v>
          </cell>
          <cell r="O658" t="str">
            <v>TÉC. NIVEL SUPERIOR</v>
          </cell>
          <cell r="P658" t="str">
            <v>TECNICO LABORATORISTA QUIMICO INDUSTRIAL</v>
          </cell>
          <cell r="Q658" t="str">
            <v>TALCA</v>
          </cell>
          <cell r="R658" t="str">
            <v>FACULTAD DE CIENCIAS AGRARIAS</v>
          </cell>
          <cell r="S658" t="str">
            <v>CENTRO TECNOLÓGICO DE SUELOS Y CULTIVOS</v>
          </cell>
        </row>
        <row r="659">
          <cell r="A659">
            <v>14341849</v>
          </cell>
          <cell r="B659" t="str">
            <v>14341849</v>
          </cell>
          <cell r="C659" t="str">
            <v>9</v>
          </cell>
          <cell r="D659" t="str">
            <v>CERDA ROJAS LUIS FERNANDO</v>
          </cell>
          <cell r="E659" t="str">
            <v>FCI320002</v>
          </cell>
          <cell r="F659">
            <v>22</v>
          </cell>
          <cell r="G659">
            <v>30</v>
          </cell>
          <cell r="H659" t="str">
            <v>LCERDA@UTALCA.CL</v>
          </cell>
          <cell r="I659">
            <v>43344</v>
          </cell>
          <cell r="J659">
            <v>46446</v>
          </cell>
          <cell r="K659" t="str">
            <v>CONTRATA</v>
          </cell>
          <cell r="L659" t="str">
            <v>CA DOCENTE</v>
          </cell>
          <cell r="M659" t="str">
            <v>INSTRUCTOR</v>
          </cell>
          <cell r="N659" t="str">
            <v>GRADO D</v>
          </cell>
          <cell r="O659" t="str">
            <v>MAGISTER</v>
          </cell>
          <cell r="P659" t="str">
            <v>MAGÍSTER EN ADMINISTRACIÓN DE EMPRESAS</v>
          </cell>
          <cell r="Q659" t="str">
            <v>CURICO</v>
          </cell>
          <cell r="R659" t="str">
            <v>FACULTAD DE INGENIERÍA</v>
          </cell>
          <cell r="S659" t="str">
            <v>DEPARTAMENTO DE INGENIERÍA INDUSTRIAL</v>
          </cell>
        </row>
        <row r="660">
          <cell r="A660">
            <v>14343518</v>
          </cell>
          <cell r="B660" t="str">
            <v>14343518</v>
          </cell>
          <cell r="C660" t="str">
            <v>0</v>
          </cell>
          <cell r="D660" t="str">
            <v>VALLADARES BURGOS MARIO ALEJAN</v>
          </cell>
          <cell r="E660" t="str">
            <v>ICB300001</v>
          </cell>
          <cell r="F660">
            <v>44</v>
          </cell>
          <cell r="G660">
            <v>30</v>
          </cell>
          <cell r="H660" t="str">
            <v>MARIO.VALLADARES@UTALCA.CL</v>
          </cell>
          <cell r="I660">
            <v>44711</v>
          </cell>
          <cell r="J660">
            <v>46387</v>
          </cell>
          <cell r="K660" t="str">
            <v>CONTRATA</v>
          </cell>
          <cell r="L660" t="str">
            <v>AUXILIAR</v>
          </cell>
          <cell r="M660" t="str">
            <v>AUXILIAR</v>
          </cell>
          <cell r="N660" t="str">
            <v>GRADO I.24</v>
          </cell>
          <cell r="O660" t="str">
            <v>TÉC. NIVEL MEDIO</v>
          </cell>
          <cell r="P660" t="str">
            <v>TECNICO INDUSTRIAL DE ARTES GRAFICAS, IMPRENT</v>
          </cell>
          <cell r="Q660" t="str">
            <v>TALCA</v>
          </cell>
          <cell r="R660" t="str">
            <v>INSTITUTO DE CIENCIAS BIOLÓGICAS</v>
          </cell>
          <cell r="S660" t="str">
            <v>INSTITUTO DE CIENCIAS BIOLÓGICAS</v>
          </cell>
        </row>
        <row r="661">
          <cell r="A661">
            <v>14343652</v>
          </cell>
          <cell r="B661" t="str">
            <v>14343652</v>
          </cell>
          <cell r="C661" t="str">
            <v>7</v>
          </cell>
          <cell r="D661" t="str">
            <v>RUBIO GONZALEZ MARISOL ANDREA</v>
          </cell>
          <cell r="E661" t="str">
            <v>ICB300001</v>
          </cell>
          <cell r="F661">
            <v>44</v>
          </cell>
          <cell r="G661">
            <v>30</v>
          </cell>
          <cell r="H661" t="str">
            <v>MRUBIO@UTALCA.CL</v>
          </cell>
          <cell r="I661">
            <v>43313</v>
          </cell>
          <cell r="J661">
            <v>46387</v>
          </cell>
          <cell r="K661" t="str">
            <v>CONTRATA</v>
          </cell>
          <cell r="L661" t="str">
            <v>PROFESIONAL</v>
          </cell>
          <cell r="M661" t="str">
            <v>PROFESIONAL</v>
          </cell>
          <cell r="N661" t="str">
            <v>GRADO I.17</v>
          </cell>
          <cell r="O661" t="str">
            <v>TÍTULO PROFESIONAL</v>
          </cell>
          <cell r="P661" t="str">
            <v>INGENIERO COMERCIAL MENCIÓN ADMINISTRACIÓN</v>
          </cell>
          <cell r="Q661" t="str">
            <v>TALCA</v>
          </cell>
          <cell r="R661" t="str">
            <v>INSTITUTO DE CIENCIAS BIOLÓGICAS</v>
          </cell>
          <cell r="S661" t="str">
            <v>INSTITUTO DE CIENCIAS BIOLÓGICAS</v>
          </cell>
        </row>
        <row r="662">
          <cell r="A662">
            <v>14343800</v>
          </cell>
          <cell r="B662" t="str">
            <v>14343800</v>
          </cell>
          <cell r="C662" t="str">
            <v>7</v>
          </cell>
          <cell r="D662" t="str">
            <v>VALDES MUÑOZ EUGENIA ROMINA</v>
          </cell>
          <cell r="E662" t="str">
            <v>FAM200001</v>
          </cell>
          <cell r="F662">
            <v>44</v>
          </cell>
          <cell r="G662">
            <v>30</v>
          </cell>
          <cell r="H662" t="str">
            <v>ROMINA.VALDES@UTALCA.CL</v>
          </cell>
          <cell r="I662">
            <v>43466</v>
          </cell>
          <cell r="J662">
            <v>46387</v>
          </cell>
          <cell r="K662" t="str">
            <v>CONTRATA</v>
          </cell>
          <cell r="L662" t="str">
            <v>ADMINISTRATIVO</v>
          </cell>
          <cell r="M662" t="str">
            <v>ADMINISTRATIVO</v>
          </cell>
          <cell r="N662" t="str">
            <v>GRADO I.21</v>
          </cell>
          <cell r="O662" t="str">
            <v>TÉC. NIVEL MEDIO</v>
          </cell>
          <cell r="P662" t="str">
            <v>SECRETARIA EJECUTIVA</v>
          </cell>
          <cell r="Q662" t="str">
            <v>TALCA</v>
          </cell>
          <cell r="R662" t="str">
            <v>FACULTAD DE MEDICINA</v>
          </cell>
          <cell r="S662" t="str">
            <v>FACULTAD DE MEDICINA</v>
          </cell>
        </row>
        <row r="663">
          <cell r="A663">
            <v>14343833</v>
          </cell>
          <cell r="B663" t="str">
            <v>14343833</v>
          </cell>
          <cell r="C663" t="str">
            <v>3</v>
          </cell>
          <cell r="D663" t="str">
            <v>ARRIAGADA VERGARA ALVARO ANDRE</v>
          </cell>
          <cell r="E663" t="str">
            <v>FOD200001</v>
          </cell>
          <cell r="F663">
            <v>7</v>
          </cell>
          <cell r="G663">
            <v>13</v>
          </cell>
          <cell r="H663" t="str">
            <v>AARRIAGADA@UTALCA.CL</v>
          </cell>
          <cell r="I663">
            <v>44348</v>
          </cell>
          <cell r="J663">
            <v>46094</v>
          </cell>
          <cell r="K663" t="str">
            <v>CONTRATA</v>
          </cell>
          <cell r="L663" t="str">
            <v>C ESPECIALES</v>
          </cell>
          <cell r="M663" t="str">
            <v>TUTOR(A) PRÁCTICA</v>
          </cell>
          <cell r="N663" t="str">
            <v>SIN GRADO</v>
          </cell>
          <cell r="O663" t="str">
            <v>ESPECIAL. ODONTOLÓG.</v>
          </cell>
          <cell r="P663" t="str">
            <v>ESPECIALISTA EN CIRUGIA Y TRAUMATOLOGIA BUCO</v>
          </cell>
          <cell r="Q663" t="str">
            <v>TALCA</v>
          </cell>
          <cell r="R663" t="str">
            <v>FACULTAD DE ODONTOLOGÍA</v>
          </cell>
          <cell r="S663" t="str">
            <v>FACULTAD DE ODONTOLOGÍA</v>
          </cell>
        </row>
        <row r="664">
          <cell r="A664">
            <v>14343914</v>
          </cell>
          <cell r="B664" t="str">
            <v>14343914</v>
          </cell>
          <cell r="C664" t="str">
            <v>3</v>
          </cell>
          <cell r="D664" t="str">
            <v>GUTIERREZ VARAS LORENA DEL CAR</v>
          </cell>
          <cell r="E664" t="str">
            <v>VGE400006</v>
          </cell>
          <cell r="F664">
            <v>44</v>
          </cell>
          <cell r="G664">
            <v>30</v>
          </cell>
          <cell r="H664" t="str">
            <v>LGUTIERREZ@UTALCA.CL</v>
          </cell>
          <cell r="I664">
            <v>42095</v>
          </cell>
          <cell r="J664">
            <v>2958465</v>
          </cell>
          <cell r="K664" t="str">
            <v>PLANTA</v>
          </cell>
          <cell r="L664" t="str">
            <v>ADMINISTRATIVO</v>
          </cell>
          <cell r="M664" t="str">
            <v>ADMINISTRATIVO</v>
          </cell>
          <cell r="N664" t="str">
            <v>GRADO I.19</v>
          </cell>
          <cell r="O664" t="str">
            <v>TÉC. NIVEL MEDIO</v>
          </cell>
          <cell r="P664" t="str">
            <v>CONTADOR</v>
          </cell>
          <cell r="Q664" t="str">
            <v>TALCA</v>
          </cell>
          <cell r="R664" t="str">
            <v>VIC. GESTIÓN ECONÓMICA Y ADMINISTRACIÓN</v>
          </cell>
          <cell r="S664" t="str">
            <v>BIENESTAR DEL PERSONAL</v>
          </cell>
        </row>
        <row r="665">
          <cell r="A665">
            <v>14344170</v>
          </cell>
          <cell r="B665" t="str">
            <v>14344170</v>
          </cell>
          <cell r="C665" t="str">
            <v>9</v>
          </cell>
          <cell r="D665" t="str">
            <v>COFRE MORALES SANDRA VERONICA</v>
          </cell>
          <cell r="E665" t="str">
            <v>FOD200001</v>
          </cell>
          <cell r="F665">
            <v>44</v>
          </cell>
          <cell r="G665">
            <v>30</v>
          </cell>
          <cell r="H665" t="str">
            <v>SCOFRE@UTALCA.CL</v>
          </cell>
          <cell r="I665">
            <v>41275</v>
          </cell>
          <cell r="J665">
            <v>46387</v>
          </cell>
          <cell r="K665" t="str">
            <v>CONTRATA</v>
          </cell>
          <cell r="L665" t="str">
            <v>PROFESIONAL</v>
          </cell>
          <cell r="M665" t="str">
            <v>PROFESIONAL</v>
          </cell>
          <cell r="N665" t="str">
            <v>GRADO I.17</v>
          </cell>
          <cell r="O665" t="str">
            <v>TÍTULO PROFESIONAL</v>
          </cell>
          <cell r="P665" t="str">
            <v>INGENIERO COMERCIAL MENCIÓN ADMINISTRACIÓN</v>
          </cell>
          <cell r="Q665" t="str">
            <v>TALCA</v>
          </cell>
          <cell r="R665" t="str">
            <v>FACULTAD DE ODONTOLOGÍA</v>
          </cell>
          <cell r="S665" t="str">
            <v>FACULTAD DE ODONTOLOGÍA</v>
          </cell>
        </row>
        <row r="666">
          <cell r="A666">
            <v>14344246</v>
          </cell>
          <cell r="B666" t="str">
            <v>14344246</v>
          </cell>
          <cell r="C666" t="str">
            <v>2</v>
          </cell>
          <cell r="D666" t="str">
            <v>ROJAS CACERES MIGUEL ANGEL</v>
          </cell>
          <cell r="E666" t="str">
            <v>FOD320002</v>
          </cell>
          <cell r="F666">
            <v>33</v>
          </cell>
          <cell r="G666">
            <v>30</v>
          </cell>
          <cell r="H666" t="str">
            <v>MROJASC@UTALCA.CL</v>
          </cell>
          <cell r="I666">
            <v>38777</v>
          </cell>
          <cell r="J666">
            <v>46446</v>
          </cell>
          <cell r="K666" t="str">
            <v>CONTRATA</v>
          </cell>
          <cell r="L666" t="str">
            <v>CA DOCENTE</v>
          </cell>
          <cell r="M666" t="str">
            <v>PROFESOR ASISTENTE</v>
          </cell>
          <cell r="N666" t="str">
            <v>GRADO C</v>
          </cell>
          <cell r="O666" t="str">
            <v>MAGISTER</v>
          </cell>
          <cell r="P666" t="str">
            <v>MAGISTER EN CIENCIAS BIOMEDICAS</v>
          </cell>
          <cell r="Q666" t="str">
            <v>TALCA</v>
          </cell>
          <cell r="R666" t="str">
            <v>FACULTAD DE ODONTOLOGÍA</v>
          </cell>
          <cell r="S666" t="str">
            <v>DEPARTAMENTO DE ESTOMATOLOGÍA</v>
          </cell>
        </row>
        <row r="667">
          <cell r="A667">
            <v>14344636</v>
          </cell>
          <cell r="B667" t="str">
            <v>14344636</v>
          </cell>
          <cell r="C667" t="str">
            <v>0</v>
          </cell>
          <cell r="D667" t="str">
            <v>JARA VALDES ERICA ELENA</v>
          </cell>
          <cell r="E667" t="str">
            <v>FOD350001</v>
          </cell>
          <cell r="F667">
            <v>44</v>
          </cell>
          <cell r="G667">
            <v>30</v>
          </cell>
          <cell r="H667" t="str">
            <v>ERIJARA@UTALCA.CL</v>
          </cell>
          <cell r="I667">
            <v>43831</v>
          </cell>
          <cell r="J667">
            <v>46387</v>
          </cell>
          <cell r="K667" t="str">
            <v>CONTRATA</v>
          </cell>
          <cell r="L667" t="str">
            <v>ADMINISTRATIVO</v>
          </cell>
          <cell r="M667" t="str">
            <v>ADMINISTRATIVO</v>
          </cell>
          <cell r="N667" t="str">
            <v>GRADO I.21</v>
          </cell>
          <cell r="O667" t="str">
            <v>ESCOLARIDAD CIENT HU</v>
          </cell>
          <cell r="P667" t="str">
            <v>LICENCIA ENSEÑANZA MEDIA</v>
          </cell>
          <cell r="Q667" t="str">
            <v>TALCA</v>
          </cell>
          <cell r="R667" t="str">
            <v>FACULTAD DE ODONTOLOGÍA</v>
          </cell>
          <cell r="S667" t="str">
            <v>CLÍNICAS ODONTOLÓGICAS</v>
          </cell>
        </row>
        <row r="668">
          <cell r="A668">
            <v>14345177</v>
          </cell>
          <cell r="B668" t="str">
            <v>14345177</v>
          </cell>
          <cell r="C668" t="str">
            <v>1</v>
          </cell>
          <cell r="D668" t="str">
            <v>HENRIQUEZ VERA PATRICIA FABIOL</v>
          </cell>
          <cell r="E668" t="str">
            <v>VGE400021</v>
          </cell>
          <cell r="F668">
            <v>44</v>
          </cell>
          <cell r="G668">
            <v>30</v>
          </cell>
          <cell r="H668" t="str">
            <v>PHENRIQUEZ@UTALCA.CL</v>
          </cell>
          <cell r="I668">
            <v>37719</v>
          </cell>
          <cell r="J668">
            <v>2958465</v>
          </cell>
          <cell r="K668" t="str">
            <v>PLANTA</v>
          </cell>
          <cell r="L668" t="str">
            <v>PROFESIONAL</v>
          </cell>
          <cell r="M668" t="str">
            <v>PROFESIONAL</v>
          </cell>
          <cell r="N668" t="str">
            <v>GRADO I.17</v>
          </cell>
          <cell r="O668" t="str">
            <v>MAGISTER</v>
          </cell>
          <cell r="P668" t="str">
            <v>MAGÍSTER EN ADMINISTRACIÓN DE EMPRESAS MENCIÓ</v>
          </cell>
          <cell r="Q668" t="str">
            <v>TALCA</v>
          </cell>
          <cell r="R668" t="str">
            <v>VIC. GESTIÓN ECONÓMICA Y ADMINISTRACIÓN</v>
          </cell>
          <cell r="S668" t="str">
            <v>DEPARTAMENTO DE PRESUPUESTO</v>
          </cell>
        </row>
        <row r="669">
          <cell r="A669">
            <v>14345178</v>
          </cell>
          <cell r="B669" t="str">
            <v>14345178</v>
          </cell>
          <cell r="C669" t="str">
            <v>K</v>
          </cell>
          <cell r="D669" t="str">
            <v>PAZ MELLADO MARIEL DE LOS ANGE</v>
          </cell>
          <cell r="E669" t="str">
            <v>FPS310001</v>
          </cell>
          <cell r="F669">
            <v>44</v>
          </cell>
          <cell r="G669">
            <v>30</v>
          </cell>
          <cell r="H669" t="str">
            <v>MPAZ@UTALCA.CL</v>
          </cell>
          <cell r="I669">
            <v>43101</v>
          </cell>
          <cell r="J669">
            <v>46387</v>
          </cell>
          <cell r="K669" t="str">
            <v>CONTRATA</v>
          </cell>
          <cell r="L669" t="str">
            <v>ADMINISTRATIVO</v>
          </cell>
          <cell r="M669" t="str">
            <v>ADMINISTRATIVO</v>
          </cell>
          <cell r="N669" t="str">
            <v>GRADO I.21</v>
          </cell>
          <cell r="O669" t="str">
            <v>TÉC. NIVEL MEDIO</v>
          </cell>
          <cell r="P669" t="str">
            <v>SECRETARIA EJECUTIVA</v>
          </cell>
          <cell r="Q669" t="str">
            <v>TALCA</v>
          </cell>
          <cell r="R669" t="str">
            <v>FACULTAD DE PSICOLOGÍA</v>
          </cell>
          <cell r="S669" t="str">
            <v>ESCUELA DE PSICOLOGÍA</v>
          </cell>
        </row>
        <row r="670">
          <cell r="A670">
            <v>14345477</v>
          </cell>
          <cell r="B670" t="str">
            <v>14345477</v>
          </cell>
          <cell r="C670" t="str">
            <v>0</v>
          </cell>
          <cell r="D670" t="str">
            <v>MARTINEZ MOYA CESAR RODRIGO</v>
          </cell>
          <cell r="E670" t="str">
            <v>ADC021005</v>
          </cell>
          <cell r="F670">
            <v>44</v>
          </cell>
          <cell r="G670">
            <v>30</v>
          </cell>
          <cell r="H670" t="str">
            <v>CMARTINEZ@UTALCA.CL</v>
          </cell>
          <cell r="I670">
            <v>43101</v>
          </cell>
          <cell r="J670">
            <v>46387</v>
          </cell>
          <cell r="K670" t="str">
            <v>CONTRATA</v>
          </cell>
          <cell r="L670" t="str">
            <v>ADMINISTRATIVO</v>
          </cell>
          <cell r="M670" t="str">
            <v>ADMINISTRATIVO</v>
          </cell>
          <cell r="N670" t="str">
            <v>GRADO I.21</v>
          </cell>
          <cell r="O670" t="str">
            <v>ESCOLARIDAD CIENT HU</v>
          </cell>
          <cell r="P670" t="str">
            <v>LICENCIA ENSEÑANZA MEDIA</v>
          </cell>
          <cell r="Q670" t="str">
            <v>TALCA</v>
          </cell>
          <cell r="R670" t="str">
            <v>DIRECCIÓN DE COMUNICACIONES CORPORATIVAS</v>
          </cell>
          <cell r="S670" t="str">
            <v>DPTO. DE COMUNICACIÓN EXTERNA Y MEDIOS</v>
          </cell>
        </row>
        <row r="671">
          <cell r="A671">
            <v>14345544</v>
          </cell>
          <cell r="B671" t="str">
            <v>14345544</v>
          </cell>
          <cell r="C671" t="str">
            <v>0</v>
          </cell>
          <cell r="D671" t="str">
            <v>POBLETE CALDERON CAROLINA ANDR</v>
          </cell>
          <cell r="E671" t="str">
            <v>ADC024001</v>
          </cell>
          <cell r="F671">
            <v>44</v>
          </cell>
          <cell r="G671">
            <v>30</v>
          </cell>
          <cell r="H671" t="str">
            <v>CAROLINA.POBLETE@UTALCA.CL</v>
          </cell>
          <cell r="I671">
            <v>44927</v>
          </cell>
          <cell r="J671">
            <v>46387</v>
          </cell>
          <cell r="K671" t="str">
            <v>CONTRATA</v>
          </cell>
          <cell r="L671" t="str">
            <v>PROFESIONAL</v>
          </cell>
          <cell r="M671" t="str">
            <v>ADMINISTRATIVO</v>
          </cell>
          <cell r="N671" t="str">
            <v>GRADO I.21</v>
          </cell>
          <cell r="O671" t="str">
            <v>TÉC. NIVEL MEDIO</v>
          </cell>
          <cell r="P671" t="str">
            <v>CONTADOR</v>
          </cell>
          <cell r="Q671" t="str">
            <v>TALCA</v>
          </cell>
          <cell r="R671" t="str">
            <v>DRCCIÓN. GNAL. VINCULACIÓN CON EL MEDIO</v>
          </cell>
          <cell r="S671" t="str">
            <v>DRCCIÓN. GNAL. VINCULACIÓN CON EL MEDIO</v>
          </cell>
        </row>
        <row r="672">
          <cell r="A672">
            <v>14372275</v>
          </cell>
          <cell r="B672" t="str">
            <v>14372275</v>
          </cell>
          <cell r="C672" t="str">
            <v>9</v>
          </cell>
          <cell r="D672" t="str">
            <v>GUTIERREZ RIQUELME IVAN FERNAN</v>
          </cell>
          <cell r="E672" t="str">
            <v>FOD200001</v>
          </cell>
          <cell r="F672">
            <v>22</v>
          </cell>
          <cell r="G672">
            <v>30</v>
          </cell>
          <cell r="H672" t="str">
            <v>IGUTIERREZ@UTALCA.CL</v>
          </cell>
          <cell r="I672">
            <v>39508</v>
          </cell>
          <cell r="J672">
            <v>46387</v>
          </cell>
          <cell r="K672" t="str">
            <v>CONTRATA</v>
          </cell>
          <cell r="L672" t="str">
            <v>C ESPECIALES</v>
          </cell>
          <cell r="M672" t="str">
            <v>TUTOR(A) PRÁCTICA</v>
          </cell>
          <cell r="N672" t="str">
            <v>SIN GRADO</v>
          </cell>
          <cell r="O672" t="str">
            <v>ESPECIAL. ODONTOLÓG.</v>
          </cell>
          <cell r="P672" t="str">
            <v>CIRUJANO DENTISTA - ESPECIALIDAD EN PERIODONC</v>
          </cell>
          <cell r="Q672" t="str">
            <v>TALCA</v>
          </cell>
          <cell r="R672" t="str">
            <v>FACULTAD DE ODONTOLOGÍA</v>
          </cell>
          <cell r="S672" t="str">
            <v>FACULTAD DE ODONTOLOGÍA</v>
          </cell>
        </row>
        <row r="673">
          <cell r="A673">
            <v>14372571</v>
          </cell>
          <cell r="B673" t="str">
            <v>14372571</v>
          </cell>
          <cell r="C673" t="str">
            <v>5</v>
          </cell>
          <cell r="D673" t="str">
            <v>BELTRAN VALDEBENITO JAVIER AND</v>
          </cell>
          <cell r="E673" t="str">
            <v>FEN310001</v>
          </cell>
          <cell r="F673">
            <v>33</v>
          </cell>
          <cell r="G673">
            <v>30</v>
          </cell>
          <cell r="H673" t="str">
            <v>JBELTRAN@UTALCA.CL</v>
          </cell>
          <cell r="I673">
            <v>39873</v>
          </cell>
          <cell r="J673">
            <v>46446</v>
          </cell>
          <cell r="K673" t="str">
            <v>CONTRATA</v>
          </cell>
          <cell r="L673" t="str">
            <v>CA DOCENTE</v>
          </cell>
          <cell r="M673" t="str">
            <v>INSTRUCTOR</v>
          </cell>
          <cell r="N673" t="str">
            <v>GRADO D</v>
          </cell>
          <cell r="O673" t="str">
            <v>DOCTORADO</v>
          </cell>
          <cell r="P673" t="str">
            <v>DOCTOR OF PHILOSOPHY</v>
          </cell>
          <cell r="Q673" t="str">
            <v>TALCA</v>
          </cell>
          <cell r="R673" t="str">
            <v>FACULTAD DE ECONOMÍA Y NEGOCIOS</v>
          </cell>
          <cell r="S673" t="str">
            <v>ESCUELA DE INGENIERÍA COMERCIAL DE TALCA</v>
          </cell>
        </row>
        <row r="674">
          <cell r="A674">
            <v>14389283</v>
          </cell>
          <cell r="B674" t="str">
            <v>14389283</v>
          </cell>
          <cell r="C674" t="str">
            <v>2</v>
          </cell>
          <cell r="D674" t="str">
            <v>CASTILLO GUZMÁN VILMA LETICIA</v>
          </cell>
          <cell r="E674" t="str">
            <v>FCJ310004</v>
          </cell>
          <cell r="F674">
            <v>44</v>
          </cell>
          <cell r="G674">
            <v>30</v>
          </cell>
          <cell r="H674" t="str">
            <v>VILMA.CASTILLO@UTALCA.CL</v>
          </cell>
          <cell r="I674">
            <v>44713</v>
          </cell>
          <cell r="J674">
            <v>46387</v>
          </cell>
          <cell r="K674" t="str">
            <v>CONTRATA</v>
          </cell>
          <cell r="L674" t="str">
            <v>ADMINISTRATIVO</v>
          </cell>
          <cell r="M674" t="str">
            <v>ADMINISTRATIVO</v>
          </cell>
          <cell r="N674" t="str">
            <v>GRADO I.21</v>
          </cell>
          <cell r="O674" t="str">
            <v>TÍTULO PROFESIONAL</v>
          </cell>
          <cell r="P674" t="str">
            <v>RELACIONADORA PUBLICA</v>
          </cell>
          <cell r="Q674" t="str">
            <v>TALCA</v>
          </cell>
          <cell r="R674" t="str">
            <v>FACULTAD CIENCIAS JURÍDICAS Y SOCIALES</v>
          </cell>
          <cell r="S674" t="str">
            <v>ESC. CNCIA. POLÍTICA Y ADMÓN. PÚBLICA TA</v>
          </cell>
        </row>
        <row r="675">
          <cell r="A675">
            <v>14389316</v>
          </cell>
          <cell r="B675" t="str">
            <v>14389316</v>
          </cell>
          <cell r="C675" t="str">
            <v>2</v>
          </cell>
          <cell r="D675" t="str">
            <v>FUENTES RAMIREZ MIGUEL ANGEL</v>
          </cell>
          <cell r="E675" t="str">
            <v>VGE400056</v>
          </cell>
          <cell r="F675">
            <v>44</v>
          </cell>
          <cell r="G675">
            <v>30</v>
          </cell>
          <cell r="H675" t="str">
            <v>MIGUEL.FUENTES@UTALCA.CL</v>
          </cell>
          <cell r="I675">
            <v>44197</v>
          </cell>
          <cell r="J675">
            <v>46387</v>
          </cell>
          <cell r="K675" t="str">
            <v>CONTRATA</v>
          </cell>
          <cell r="L675" t="str">
            <v>PROFESIONAL</v>
          </cell>
          <cell r="M675" t="str">
            <v>PROFESIONAL</v>
          </cell>
          <cell r="N675" t="str">
            <v>GRADO I.17</v>
          </cell>
          <cell r="O675" t="str">
            <v>TÍTULO PROFESIONAL</v>
          </cell>
          <cell r="P675" t="str">
            <v>INGENIERO DE EJECUCIÓN EN INFORMÁTICA</v>
          </cell>
          <cell r="Q675" t="str">
            <v>TALCA</v>
          </cell>
          <cell r="R675" t="str">
            <v>VIC. GESTIÓN ECONÓMICA Y ADMINISTRACIÓN</v>
          </cell>
          <cell r="S675" t="str">
            <v>DEPARTAMENTO DE SISTEMAS</v>
          </cell>
        </row>
        <row r="676">
          <cell r="A676">
            <v>14397622</v>
          </cell>
          <cell r="B676" t="str">
            <v>14397622</v>
          </cell>
          <cell r="C676" t="str">
            <v>K</v>
          </cell>
          <cell r="D676" t="str">
            <v>QUINTEROS QUEZADA KARINA ANDRE</v>
          </cell>
          <cell r="E676" t="str">
            <v>FCA200001</v>
          </cell>
          <cell r="F676">
            <v>44</v>
          </cell>
          <cell r="G676">
            <v>30</v>
          </cell>
          <cell r="H676" t="str">
            <v>KQUINTEROS@UTALCA.CL</v>
          </cell>
          <cell r="I676">
            <v>44927</v>
          </cell>
          <cell r="J676">
            <v>46387</v>
          </cell>
          <cell r="K676" t="str">
            <v>CONTRATA</v>
          </cell>
          <cell r="L676" t="str">
            <v>TÉCNICO</v>
          </cell>
          <cell r="M676" t="str">
            <v>TÉCNICO</v>
          </cell>
          <cell r="N676" t="str">
            <v>GRADO I.23</v>
          </cell>
          <cell r="O676" t="str">
            <v>TÍTULO PROFESIONAL</v>
          </cell>
          <cell r="P676" t="str">
            <v>TECNICO ASISTENTE JUDICIAL</v>
          </cell>
          <cell r="Q676" t="str">
            <v>TALCA</v>
          </cell>
          <cell r="R676" t="str">
            <v>FACULTAD DE CIENCIAS AGRARIAS</v>
          </cell>
          <cell r="S676" t="str">
            <v>CNTR.INVES. TRANSFER. RIEGO AGROCLIMATO.</v>
          </cell>
        </row>
        <row r="677">
          <cell r="A677">
            <v>14397731</v>
          </cell>
          <cell r="B677" t="str">
            <v>14397731</v>
          </cell>
          <cell r="C677" t="str">
            <v>5</v>
          </cell>
          <cell r="D677" t="str">
            <v>FLORES ORTEGA INGRID LORENA</v>
          </cell>
          <cell r="E677" t="str">
            <v>ADC013001</v>
          </cell>
          <cell r="F677">
            <v>44</v>
          </cell>
          <cell r="G677">
            <v>30</v>
          </cell>
          <cell r="H677" t="str">
            <v>IFLORES@UTALCA.CL</v>
          </cell>
          <cell r="I677">
            <v>40179</v>
          </cell>
          <cell r="J677">
            <v>46387</v>
          </cell>
          <cell r="K677" t="str">
            <v>CONTRATA</v>
          </cell>
          <cell r="L677" t="str">
            <v>PROFESIONAL</v>
          </cell>
          <cell r="M677" t="str">
            <v>PROFESIONAL</v>
          </cell>
          <cell r="N677" t="str">
            <v>GRADO I.15</v>
          </cell>
          <cell r="O677" t="str">
            <v>MAGISTER</v>
          </cell>
          <cell r="P677" t="str">
            <v>MAGÍSTER EN CONTABILIDAD Y AUDITORÍA M/  EN T</v>
          </cell>
          <cell r="Q677" t="str">
            <v>TALCA</v>
          </cell>
          <cell r="R677" t="str">
            <v>CONTRALORÍA UNIVERSITARIA</v>
          </cell>
          <cell r="S677" t="str">
            <v>DEPARTAMENTO DE AUDITORÍA INTERNA</v>
          </cell>
        </row>
        <row r="678">
          <cell r="A678">
            <v>14398129</v>
          </cell>
          <cell r="B678" t="str">
            <v>14398129</v>
          </cell>
          <cell r="C678" t="str">
            <v>0</v>
          </cell>
          <cell r="D678" t="str">
            <v>AREVALO MEDEL JUAN LUIS</v>
          </cell>
          <cell r="E678" t="str">
            <v>FEN310001</v>
          </cell>
          <cell r="F678">
            <v>22</v>
          </cell>
          <cell r="G678">
            <v>30</v>
          </cell>
          <cell r="H678" t="str">
            <v>JUAN.AREVALO@UTALCA.CL</v>
          </cell>
          <cell r="I678">
            <v>45017</v>
          </cell>
          <cell r="J678">
            <v>46446</v>
          </cell>
          <cell r="K678" t="str">
            <v>CONTRATA</v>
          </cell>
          <cell r="L678" t="str">
            <v>CA DOCENTE</v>
          </cell>
          <cell r="M678" t="str">
            <v>INSTRUCTOR</v>
          </cell>
          <cell r="N678" t="str">
            <v>GRADO D</v>
          </cell>
          <cell r="O678" t="str">
            <v>MAGISTER</v>
          </cell>
          <cell r="P678" t="str">
            <v>MAGISTER EN GESTION DE PERSONAS EN ORGANIZACI</v>
          </cell>
          <cell r="Q678" t="str">
            <v>TALCA</v>
          </cell>
          <cell r="R678" t="str">
            <v>FACULTAD DE ECONOMÍA Y NEGOCIOS</v>
          </cell>
          <cell r="S678" t="str">
            <v>ESCUELA DE INGENIERÍA COMERCIAL DE TALCA</v>
          </cell>
        </row>
        <row r="679">
          <cell r="A679">
            <v>14398514</v>
          </cell>
          <cell r="B679" t="str">
            <v>14398514</v>
          </cell>
          <cell r="C679" t="str">
            <v>8</v>
          </cell>
          <cell r="D679" t="str">
            <v>PEREZ NORAMBUENA GUILLERMO AND</v>
          </cell>
          <cell r="E679" t="str">
            <v>ADC021004</v>
          </cell>
          <cell r="F679">
            <v>44</v>
          </cell>
          <cell r="G679">
            <v>30</v>
          </cell>
          <cell r="H679" t="str">
            <v>GUPEREZ@UTALCA.CL</v>
          </cell>
          <cell r="I679">
            <v>43101</v>
          </cell>
          <cell r="J679">
            <v>46387</v>
          </cell>
          <cell r="K679" t="str">
            <v>CONTRATA</v>
          </cell>
          <cell r="L679" t="str">
            <v>ADMINISTRATIVO</v>
          </cell>
          <cell r="M679" t="str">
            <v>ADMINISTRATIVO</v>
          </cell>
          <cell r="N679" t="str">
            <v>GRADO I.21</v>
          </cell>
          <cell r="O679" t="str">
            <v>TÍTULO PROFESIONAL</v>
          </cell>
          <cell r="P679" t="str">
            <v>DISEÑADOR GRAFICO PUBLICITARIO</v>
          </cell>
          <cell r="Q679" t="str">
            <v>TALCA</v>
          </cell>
          <cell r="R679" t="str">
            <v>DIRECCIÓN DE COMUNICACIONES CORPORATIVAS</v>
          </cell>
          <cell r="S679" t="str">
            <v>DEPARTAMENTO DE BRANDING</v>
          </cell>
        </row>
        <row r="680">
          <cell r="A680">
            <v>14398525</v>
          </cell>
          <cell r="B680" t="str">
            <v>14398525</v>
          </cell>
          <cell r="C680" t="str">
            <v>3</v>
          </cell>
          <cell r="D680" t="str">
            <v>SUAZO PINTO LUIS HUMBERTO</v>
          </cell>
          <cell r="E680" t="str">
            <v>FCS320002</v>
          </cell>
          <cell r="F680">
            <v>44</v>
          </cell>
          <cell r="G680">
            <v>30</v>
          </cell>
          <cell r="H680" t="str">
            <v>LUIS.SUAZO@UTALCA.CL</v>
          </cell>
          <cell r="I680">
            <v>44197</v>
          </cell>
          <cell r="J680">
            <v>46387</v>
          </cell>
          <cell r="K680" t="str">
            <v>CONTRATA</v>
          </cell>
          <cell r="L680" t="str">
            <v>AUXILIAR</v>
          </cell>
          <cell r="M680" t="str">
            <v>AUXILIAR</v>
          </cell>
          <cell r="N680" t="str">
            <v>GRADO I.24</v>
          </cell>
          <cell r="O680" t="str">
            <v>ESCOLARIDAD CIENT HU</v>
          </cell>
          <cell r="P680" t="str">
            <v>MEDIA CIENTÍFICO HUMANISTA INCOMPLETA</v>
          </cell>
          <cell r="Q680" t="str">
            <v>TALCA</v>
          </cell>
          <cell r="R680" t="str">
            <v>FACULTAD DE CIENCIAS DE LA SALUD</v>
          </cell>
          <cell r="S680" t="str">
            <v>DEPARTAMENTO DE MICROBIOLOGÍA</v>
          </cell>
        </row>
        <row r="681">
          <cell r="A681">
            <v>14398885</v>
          </cell>
          <cell r="B681" t="str">
            <v>14398885</v>
          </cell>
          <cell r="C681" t="str">
            <v>6</v>
          </cell>
          <cell r="D681" t="str">
            <v>VALENZUELA BRAVO CRISTIAN ATIL</v>
          </cell>
          <cell r="E681" t="str">
            <v/>
          </cell>
          <cell r="F681">
            <v>44</v>
          </cell>
          <cell r="G681">
            <v>30</v>
          </cell>
          <cell r="H681" t="str">
            <v>C.VALENZUELA@UTALCA.CL</v>
          </cell>
          <cell r="I681">
            <v>44927</v>
          </cell>
          <cell r="J681">
            <v>46387</v>
          </cell>
          <cell r="K681" t="str">
            <v>CONTRATA</v>
          </cell>
          <cell r="L681" t="str">
            <v>PROFESIONAL</v>
          </cell>
          <cell r="M681" t="str">
            <v>PROFESIONAL</v>
          </cell>
          <cell r="N681" t="str">
            <v>GRADO I.17</v>
          </cell>
          <cell r="O681" t="str">
            <v>MAGISTER</v>
          </cell>
          <cell r="P681" t="str">
            <v>MAGISTER EN GESTION TECNOLOGICA CON ENFASIS E</v>
          </cell>
          <cell r="Q681" t="str">
            <v>TALCA</v>
          </cell>
          <cell r="R681" t="str">
            <v>FACULTAD DE CIENCIAS AGRARIAS</v>
          </cell>
          <cell r="S681" t="str">
            <v>CENTRO DE INOCUIDAD ALIMENTARIA</v>
          </cell>
        </row>
        <row r="682">
          <cell r="A682">
            <v>14399417</v>
          </cell>
          <cell r="B682" t="str">
            <v>14399417</v>
          </cell>
          <cell r="C682" t="str">
            <v>1</v>
          </cell>
          <cell r="D682" t="str">
            <v>GONZALEZ GUTIERREZ PAULO ALEJA</v>
          </cell>
          <cell r="E682" t="str">
            <v>FEN310002</v>
          </cell>
          <cell r="F682">
            <v>44</v>
          </cell>
          <cell r="G682">
            <v>30</v>
          </cell>
          <cell r="H682" t="str">
            <v>PAULO.GONZALEZG@UTALCA.CL</v>
          </cell>
          <cell r="I682">
            <v>45108</v>
          </cell>
          <cell r="J682">
            <v>46446</v>
          </cell>
          <cell r="K682" t="str">
            <v>CONTRATA</v>
          </cell>
          <cell r="L682" t="str">
            <v>CA DOCENTE</v>
          </cell>
          <cell r="M682" t="str">
            <v>PROFESOR ASISTENTE</v>
          </cell>
          <cell r="N682" t="str">
            <v>GRADO C</v>
          </cell>
          <cell r="O682" t="str">
            <v>DOCTORADO</v>
          </cell>
          <cell r="P682" t="str">
            <v>DOCTORAT EN SCIENCES DE LA VIE ET DE LA SANTÉ</v>
          </cell>
          <cell r="Q682" t="str">
            <v>TALCA</v>
          </cell>
          <cell r="R682" t="str">
            <v>FACULTAD DE ECONOMÍA Y NEGOCIOS</v>
          </cell>
          <cell r="S682" t="str">
            <v>ESC. DE ING. INFORMÁTICA EMPRESARIAL</v>
          </cell>
        </row>
        <row r="683">
          <cell r="A683">
            <v>14399474</v>
          </cell>
          <cell r="B683" t="str">
            <v>14399474</v>
          </cell>
          <cell r="C683" t="str">
            <v>0</v>
          </cell>
          <cell r="D683" t="str">
            <v>SEPULVEDA GENERAL SUSANA CONST</v>
          </cell>
          <cell r="E683" t="str">
            <v>FAD310001</v>
          </cell>
          <cell r="F683">
            <v>44</v>
          </cell>
          <cell r="G683">
            <v>30</v>
          </cell>
          <cell r="H683" t="str">
            <v>SUSANA.SEPULVEDA@UTALCA.CL</v>
          </cell>
          <cell r="I683">
            <v>41334</v>
          </cell>
          <cell r="J683">
            <v>46858</v>
          </cell>
          <cell r="K683" t="str">
            <v>CONTRATA</v>
          </cell>
          <cell r="L683" t="str">
            <v>CA DOCENTE</v>
          </cell>
          <cell r="M683" t="str">
            <v>PROFESOR ASISTENTE</v>
          </cell>
          <cell r="N683" t="str">
            <v>GRADO C</v>
          </cell>
          <cell r="O683" t="str">
            <v>MAGISTER</v>
          </cell>
          <cell r="P683" t="str">
            <v>MAGISTER EN CONSTRUCCION Y TECNOLOGIAS ARQUIT</v>
          </cell>
          <cell r="Q683" t="str">
            <v>TALCA</v>
          </cell>
          <cell r="R683" t="str">
            <v>FACULTAD DE ARQUITECTUR, MÚSICA Y DISEÑO</v>
          </cell>
          <cell r="S683" t="str">
            <v>ESCUELA DE ARQUITECTURA</v>
          </cell>
        </row>
        <row r="684">
          <cell r="A684">
            <v>14399511</v>
          </cell>
          <cell r="B684" t="str">
            <v>14399511</v>
          </cell>
          <cell r="C684" t="str">
            <v>9</v>
          </cell>
          <cell r="D684" t="str">
            <v>MORA PAREJA CLAUDIA ANDREA</v>
          </cell>
          <cell r="E684" t="str">
            <v>FCS320002</v>
          </cell>
          <cell r="F684">
            <v>44</v>
          </cell>
          <cell r="G684">
            <v>30</v>
          </cell>
          <cell r="H684" t="str">
            <v>CLMORA@UTALCA.CL</v>
          </cell>
          <cell r="I684">
            <v>39142</v>
          </cell>
          <cell r="J684">
            <v>46446</v>
          </cell>
          <cell r="K684" t="str">
            <v>CONTRATA</v>
          </cell>
          <cell r="L684" t="str">
            <v>CA DOCENTE</v>
          </cell>
          <cell r="M684" t="str">
            <v>INSTRUCTOR</v>
          </cell>
          <cell r="N684" t="str">
            <v>GRADO D</v>
          </cell>
          <cell r="O684" t="str">
            <v>MAGISTER</v>
          </cell>
          <cell r="P684" t="str">
            <v>MAGISTER EN CIENCIAS BIOMEDICAS, MENCIÓN: MIC</v>
          </cell>
          <cell r="Q684" t="str">
            <v>TALCA</v>
          </cell>
          <cell r="R684" t="str">
            <v>FACULTAD DE CIENCIAS DE LA SALUD</v>
          </cell>
          <cell r="S684" t="str">
            <v>DEPARTAMENTO DE MICROBIOLOGÍA</v>
          </cell>
        </row>
        <row r="685">
          <cell r="A685">
            <v>14399572</v>
          </cell>
          <cell r="B685" t="str">
            <v>14399572</v>
          </cell>
          <cell r="C685" t="str">
            <v>0</v>
          </cell>
          <cell r="D685" t="str">
            <v>FUENTES MONTECINOS EDITH PAULI</v>
          </cell>
          <cell r="E685" t="str">
            <v>VGE400031</v>
          </cell>
          <cell r="F685">
            <v>44</v>
          </cell>
          <cell r="G685">
            <v>30</v>
          </cell>
          <cell r="H685" t="str">
            <v>EDIFUENTES@UTALCA.CL</v>
          </cell>
          <cell r="I685">
            <v>43466</v>
          </cell>
          <cell r="J685">
            <v>46387</v>
          </cell>
          <cell r="K685" t="str">
            <v>CONTRATA</v>
          </cell>
          <cell r="L685" t="str">
            <v>ADMINISTRATIVO</v>
          </cell>
          <cell r="M685" t="str">
            <v>ADMINISTRATIVO</v>
          </cell>
          <cell r="N685" t="str">
            <v>GRADO I.21</v>
          </cell>
          <cell r="O685" t="str">
            <v>TÉC. NIVEL SUPERIOR</v>
          </cell>
          <cell r="P685" t="str">
            <v>SECRETARIA EJECUTIVA COMPUTACIONAL MENCION RE</v>
          </cell>
          <cell r="Q685" t="str">
            <v>TALCA</v>
          </cell>
          <cell r="R685" t="str">
            <v>VIC. GESTIÓN ECONÓMICA Y ADMINISTRACIÓN</v>
          </cell>
          <cell r="S685" t="str">
            <v>DPTO. DE APOYO FINANCIERO AL ESTUDIANTE</v>
          </cell>
        </row>
        <row r="686">
          <cell r="A686">
            <v>14399847</v>
          </cell>
          <cell r="B686" t="str">
            <v>14399847</v>
          </cell>
          <cell r="C686" t="str">
            <v>9</v>
          </cell>
          <cell r="D686" t="str">
            <v>GAJARDO CONTRERAS CAROLINA HAY</v>
          </cell>
          <cell r="E686" t="str">
            <v>FCS320009</v>
          </cell>
          <cell r="F686">
            <v>44</v>
          </cell>
          <cell r="G686">
            <v>30</v>
          </cell>
          <cell r="H686" t="str">
            <v>CGAJARDO@UTALCA.CL</v>
          </cell>
          <cell r="I686">
            <v>38777</v>
          </cell>
          <cell r="J686">
            <v>2958465</v>
          </cell>
          <cell r="K686" t="str">
            <v>PLANTA</v>
          </cell>
          <cell r="L686" t="str">
            <v>CA DOCENTE</v>
          </cell>
          <cell r="M686" t="str">
            <v>PROFESOR ASISTENTE</v>
          </cell>
          <cell r="N686" t="str">
            <v>GRADO C</v>
          </cell>
          <cell r="O686" t="str">
            <v>MAGISTER</v>
          </cell>
          <cell r="P686" t="str">
            <v>MAGISTER EN DOCENCIA PARA LA EDUCACIÓN SUPERI</v>
          </cell>
          <cell r="Q686" t="str">
            <v>TALCA</v>
          </cell>
          <cell r="R686" t="str">
            <v>FACULTAD DE CIENCIAS DE LA SALUD</v>
          </cell>
          <cell r="S686" t="str">
            <v>DPTO. DE CIENCIAS DEL MOVIMIENTO HUMANO</v>
          </cell>
        </row>
        <row r="687">
          <cell r="A687">
            <v>14413138</v>
          </cell>
          <cell r="B687" t="str">
            <v>14413138</v>
          </cell>
          <cell r="C687" t="str">
            <v>K</v>
          </cell>
          <cell r="D687" t="str">
            <v>MALDONADO CASANOVA MONICA ALEJ</v>
          </cell>
          <cell r="E687" t="str">
            <v>FCA200001</v>
          </cell>
          <cell r="F687">
            <v>44</v>
          </cell>
          <cell r="G687">
            <v>30</v>
          </cell>
          <cell r="H687" t="str">
            <v>MMALDONADO@UTALCA.CL</v>
          </cell>
          <cell r="I687">
            <v>42095</v>
          </cell>
          <cell r="J687">
            <v>2958465</v>
          </cell>
          <cell r="K687" t="str">
            <v>PLANTA</v>
          </cell>
          <cell r="L687" t="str">
            <v>ADMINISTRATIVO</v>
          </cell>
          <cell r="M687" t="str">
            <v>ADMINISTRATIVO</v>
          </cell>
          <cell r="N687" t="str">
            <v>GRADO I.18</v>
          </cell>
          <cell r="O687" t="str">
            <v>MAGISTER</v>
          </cell>
          <cell r="P687" t="str">
            <v>MAGISTER EN ADMINISTRACION DE EMPRESAS-EXECUT</v>
          </cell>
          <cell r="Q687" t="str">
            <v>TALCA</v>
          </cell>
          <cell r="R687" t="str">
            <v>FACULTAD DE CIENCIAS AGRARIAS</v>
          </cell>
          <cell r="S687" t="str">
            <v>FACULTAD DE CIENCIAS AGRARIAS</v>
          </cell>
        </row>
        <row r="688">
          <cell r="A688">
            <v>14422007</v>
          </cell>
          <cell r="B688" t="str">
            <v>14422007</v>
          </cell>
          <cell r="C688" t="str">
            <v>2</v>
          </cell>
          <cell r="D688" t="str">
            <v>IBAÑEZ CAMPOS MARLENNE IVONNE</v>
          </cell>
          <cell r="E688" t="str">
            <v>VGE400050</v>
          </cell>
          <cell r="F688">
            <v>44</v>
          </cell>
          <cell r="G688">
            <v>30</v>
          </cell>
          <cell r="H688" t="str">
            <v>MIBANEZ@UTALCA.CL</v>
          </cell>
          <cell r="I688">
            <v>43466</v>
          </cell>
          <cell r="J688">
            <v>46387</v>
          </cell>
          <cell r="K688" t="str">
            <v>CONTRATA</v>
          </cell>
          <cell r="L688" t="str">
            <v>ADMINISTRATIVO</v>
          </cell>
          <cell r="M688" t="str">
            <v>ADMINISTRATIVO</v>
          </cell>
          <cell r="N688" t="str">
            <v>GRADO I.21</v>
          </cell>
          <cell r="O688" t="str">
            <v>TÉC. NIVEL SUPERIOR</v>
          </cell>
          <cell r="P688" t="str">
            <v>TECNICO SUPERIOR SECRETARIA EJECUTIVA</v>
          </cell>
          <cell r="Q688" t="str">
            <v>LINARES</v>
          </cell>
          <cell r="R688" t="str">
            <v>VIC. GESTIÓN ECONÓMICA Y ADMINISTRACIÓN</v>
          </cell>
          <cell r="S688" t="str">
            <v>DEPARTAMENTO DE ADMINISTRACIÓN DE CAMPUS</v>
          </cell>
        </row>
        <row r="689">
          <cell r="A689">
            <v>14427969</v>
          </cell>
          <cell r="B689" t="str">
            <v>14427969</v>
          </cell>
          <cell r="C689" t="str">
            <v>7</v>
          </cell>
          <cell r="D689" t="str">
            <v>LLANQUIN SALINAS ENGELBERT AGU</v>
          </cell>
          <cell r="E689" t="str">
            <v>VGE400054</v>
          </cell>
          <cell r="F689">
            <v>44</v>
          </cell>
          <cell r="G689">
            <v>30</v>
          </cell>
          <cell r="H689" t="str">
            <v>ELLANQUIN@UTALCA.CL</v>
          </cell>
          <cell r="I689">
            <v>43101</v>
          </cell>
          <cell r="J689">
            <v>46387</v>
          </cell>
          <cell r="K689" t="str">
            <v>CONTRATA</v>
          </cell>
          <cell r="L689" t="str">
            <v>ADMINISTRATIVO</v>
          </cell>
          <cell r="M689" t="str">
            <v>ADMINISTRATIVO</v>
          </cell>
          <cell r="N689" t="str">
            <v>GRADO I.21</v>
          </cell>
          <cell r="O689" t="str">
            <v>TÉC. NIVEL MEDIO</v>
          </cell>
          <cell r="P689" t="str">
            <v>TECNICO EN ELECTRONICA MENCIÓN MANTENCIÓN DE</v>
          </cell>
          <cell r="Q689" t="str">
            <v>SANTIAGO</v>
          </cell>
          <cell r="R689" t="str">
            <v>VIC. GESTIÓN ECONÓMICA Y ADMINISTRACIÓN</v>
          </cell>
          <cell r="S689" t="str">
            <v>DEPARTAMENTO DE SERVICIOS  Y PROCESOS TI</v>
          </cell>
        </row>
        <row r="690">
          <cell r="A690">
            <v>14428458</v>
          </cell>
          <cell r="B690" t="str">
            <v>14428458</v>
          </cell>
          <cell r="C690" t="str">
            <v>5</v>
          </cell>
          <cell r="D690" t="str">
            <v>VALENZUELA MUÑOZ CLAUDIO MARCE</v>
          </cell>
          <cell r="E690" t="str">
            <v>ADC021004</v>
          </cell>
          <cell r="F690">
            <v>44</v>
          </cell>
          <cell r="G690">
            <v>30</v>
          </cell>
          <cell r="H690" t="str">
            <v>CVALENZU@UTALCA.CL</v>
          </cell>
          <cell r="I690">
            <v>37683</v>
          </cell>
          <cell r="J690">
            <v>2958465</v>
          </cell>
          <cell r="K690" t="str">
            <v>PLANTA</v>
          </cell>
          <cell r="L690" t="str">
            <v>TÉCNICO</v>
          </cell>
          <cell r="M690" t="str">
            <v>PROFESIONAL</v>
          </cell>
          <cell r="N690" t="str">
            <v>GRADO I.17</v>
          </cell>
          <cell r="O690" t="str">
            <v>TÉC. NIVEL SUPERIOR</v>
          </cell>
          <cell r="P690" t="str">
            <v>DISEÑADOR GRÁFICO PUBLICITARIO</v>
          </cell>
          <cell r="Q690" t="str">
            <v>TALCA</v>
          </cell>
          <cell r="R690" t="str">
            <v>DIRECCIÓN DE COMUNICACIONES CORPORATIVAS</v>
          </cell>
          <cell r="S690" t="str">
            <v>DEPARTAMENTO DE BRANDING</v>
          </cell>
        </row>
        <row r="691">
          <cell r="A691">
            <v>14457057</v>
          </cell>
          <cell r="B691" t="str">
            <v>14457057</v>
          </cell>
          <cell r="C691" t="str">
            <v>K</v>
          </cell>
          <cell r="D691" t="str">
            <v>SCHMEDA HIRSCHMANN GUILLERMO</v>
          </cell>
          <cell r="E691" t="str">
            <v>IQR300001</v>
          </cell>
          <cell r="F691">
            <v>44</v>
          </cell>
          <cell r="G691">
            <v>30</v>
          </cell>
          <cell r="H691" t="str">
            <v>SCHMEDA@UTALCA.CL</v>
          </cell>
          <cell r="I691">
            <v>35065</v>
          </cell>
          <cell r="J691">
            <v>2958465</v>
          </cell>
          <cell r="K691" t="str">
            <v>PLANTA</v>
          </cell>
          <cell r="L691" t="str">
            <v>CA ORDINARIA</v>
          </cell>
          <cell r="M691" t="str">
            <v>PROFESOR TITULAR</v>
          </cell>
          <cell r="N691" t="str">
            <v>GRADO A</v>
          </cell>
          <cell r="O691" t="str">
            <v>DOCTORADO</v>
          </cell>
          <cell r="P691" t="str">
            <v>DOKTOR DER NATURWISSENSCHAFTEN</v>
          </cell>
          <cell r="Q691" t="str">
            <v>TALCA</v>
          </cell>
          <cell r="R691" t="str">
            <v>INSTITUTO QUÍMICA DE RECURSOS NATURALES</v>
          </cell>
          <cell r="S691" t="str">
            <v>INSTITUTO QUÍMICA DE RECURSOS NATURALES</v>
          </cell>
        </row>
        <row r="692">
          <cell r="A692">
            <v>14458765</v>
          </cell>
          <cell r="B692" t="str">
            <v>14458765</v>
          </cell>
          <cell r="C692" t="str">
            <v>0</v>
          </cell>
          <cell r="D692" t="str">
            <v>GUSENBAUER . ARMIN</v>
          </cell>
          <cell r="E692" t="str">
            <v>IMF300001</v>
          </cell>
          <cell r="F692">
            <v>44</v>
          </cell>
          <cell r="G692">
            <v>30</v>
          </cell>
          <cell r="H692" t="str">
            <v>AGUSENBAUER@UTALCA.CL</v>
          </cell>
          <cell r="I692">
            <v>43221</v>
          </cell>
          <cell r="J692">
            <v>46446</v>
          </cell>
          <cell r="K692" t="str">
            <v>CONTRATA</v>
          </cell>
          <cell r="L692" t="str">
            <v>CA DOCENTE</v>
          </cell>
          <cell r="M692" t="str">
            <v>INSTRUCTOR</v>
          </cell>
          <cell r="N692" t="str">
            <v>GRADO D</v>
          </cell>
          <cell r="O692" t="str">
            <v>DOCTORADO</v>
          </cell>
          <cell r="P692" t="str">
            <v>DOCTOR EN MATEMÁTICAS</v>
          </cell>
          <cell r="Q692" t="str">
            <v>CURICO</v>
          </cell>
          <cell r="R692" t="str">
            <v>INSTITUTO DE MATEMÁTICAS</v>
          </cell>
          <cell r="S692" t="str">
            <v>INSTITUTO DE MATEMÁTICAS</v>
          </cell>
        </row>
        <row r="693">
          <cell r="A693">
            <v>14461400</v>
          </cell>
          <cell r="B693" t="str">
            <v>14461400</v>
          </cell>
          <cell r="C693" t="str">
            <v>3</v>
          </cell>
          <cell r="D693" t="str">
            <v>SEGOVIA LETELIER PAULINA ANDRE</v>
          </cell>
          <cell r="E693" t="str">
            <v>ADC040001</v>
          </cell>
          <cell r="F693">
            <v>33</v>
          </cell>
          <cell r="G693">
            <v>30</v>
          </cell>
          <cell r="H693" t="str">
            <v>PSEGOVIA@UTALCA.CL</v>
          </cell>
          <cell r="I693">
            <v>34973</v>
          </cell>
          <cell r="J693">
            <v>46387</v>
          </cell>
          <cell r="K693" t="str">
            <v>CONTRATA</v>
          </cell>
          <cell r="L693" t="str">
            <v>ADMINISTRATIVO</v>
          </cell>
          <cell r="M693" t="str">
            <v>PROFESIONAL</v>
          </cell>
          <cell r="N693" t="str">
            <v>GRADO I.17</v>
          </cell>
          <cell r="O693" t="str">
            <v>TÍTULO PROFESIONAL</v>
          </cell>
          <cell r="P693" t="str">
            <v>INGENIERO DE EJECUCION EN COMPUTACION E INFOR</v>
          </cell>
          <cell r="Q693" t="str">
            <v>COLCHAGUA</v>
          </cell>
          <cell r="R693" t="str">
            <v>DIRECCIÓN DE SEDE SANTA CRUZ</v>
          </cell>
          <cell r="S693" t="str">
            <v>DIRECCIÓN DE SEDE SANTA CRUZ</v>
          </cell>
        </row>
        <row r="694">
          <cell r="A694">
            <v>14464462</v>
          </cell>
          <cell r="B694" t="str">
            <v>14464462</v>
          </cell>
          <cell r="C694" t="str">
            <v>K</v>
          </cell>
          <cell r="D694" t="str">
            <v>RETAMAL BRAVO CESAR MAURICIO</v>
          </cell>
          <cell r="E694" t="str">
            <v>FCI320005</v>
          </cell>
          <cell r="F694">
            <v>44</v>
          </cell>
          <cell r="G694">
            <v>30</v>
          </cell>
          <cell r="H694" t="str">
            <v>CERETAMAL@UTALCA.CL</v>
          </cell>
          <cell r="I694">
            <v>41365</v>
          </cell>
          <cell r="J694">
            <v>2958465</v>
          </cell>
          <cell r="K694" t="str">
            <v>PLANTA</v>
          </cell>
          <cell r="L694" t="str">
            <v>CA ORDINARIA</v>
          </cell>
          <cell r="M694" t="str">
            <v>PROFESOR ASISTENTE</v>
          </cell>
          <cell r="N694" t="str">
            <v>GRADO C</v>
          </cell>
          <cell r="O694" t="str">
            <v>DOCTORADO</v>
          </cell>
          <cell r="P694" t="str">
            <v>DOCTOR EN CIENCIAS APLICADAS</v>
          </cell>
          <cell r="Q694" t="str">
            <v>CURICO</v>
          </cell>
          <cell r="R694" t="str">
            <v>FACULTAD DE INGENIERÍA</v>
          </cell>
          <cell r="S694" t="str">
            <v>DPTO. ING. Y GESTIÓN DE LA CONSTRUCCIÓN</v>
          </cell>
        </row>
        <row r="695">
          <cell r="A695">
            <v>14466571</v>
          </cell>
          <cell r="B695" t="str">
            <v>14466571</v>
          </cell>
          <cell r="C695" t="str">
            <v>6</v>
          </cell>
          <cell r="D695" t="str">
            <v>HUERTA MEDEL CAROLINA DEL PILA</v>
          </cell>
          <cell r="E695" t="str">
            <v>VGE400003</v>
          </cell>
          <cell r="F695">
            <v>44</v>
          </cell>
          <cell r="G695">
            <v>30</v>
          </cell>
          <cell r="H695" t="str">
            <v>CHUERTA@UTALCA.CL</v>
          </cell>
          <cell r="I695">
            <v>39264</v>
          </cell>
          <cell r="J695">
            <v>2958465</v>
          </cell>
          <cell r="K695" t="str">
            <v>PLANTA</v>
          </cell>
          <cell r="L695" t="str">
            <v>ADMINISTRATIVO</v>
          </cell>
          <cell r="M695" t="str">
            <v>ADMINISTRATIVO</v>
          </cell>
          <cell r="N695" t="str">
            <v>GRADO I.19</v>
          </cell>
          <cell r="O695" t="str">
            <v>TÉC. NIVEL MEDIO</v>
          </cell>
          <cell r="P695" t="str">
            <v>CONTADOR</v>
          </cell>
          <cell r="Q695" t="str">
            <v>TALCA</v>
          </cell>
          <cell r="R695" t="str">
            <v>VIC. GESTIÓN ECONÓMICA Y ADMINISTRACIÓN</v>
          </cell>
          <cell r="S695" t="str">
            <v>DEPARTAMENTO DE GESTIÓN DE PERSONAS</v>
          </cell>
        </row>
        <row r="696">
          <cell r="A696">
            <v>14468205</v>
          </cell>
          <cell r="B696" t="str">
            <v>14468205</v>
          </cell>
          <cell r="C696" t="str">
            <v>K</v>
          </cell>
          <cell r="D696" t="str">
            <v>GONZALEZ BRAVO VICTOR MANUEL</v>
          </cell>
          <cell r="E696" t="str">
            <v/>
          </cell>
          <cell r="F696">
            <v>44</v>
          </cell>
          <cell r="G696">
            <v>30</v>
          </cell>
          <cell r="H696" t="str">
            <v>VICTOR.GONZALEZ@UTALCA.CL</v>
          </cell>
          <cell r="I696">
            <v>44927</v>
          </cell>
          <cell r="J696">
            <v>46387</v>
          </cell>
          <cell r="K696" t="str">
            <v>CONTRATA</v>
          </cell>
          <cell r="L696" t="str">
            <v>PROFESIONAL</v>
          </cell>
          <cell r="M696" t="str">
            <v>PROFESIONAL</v>
          </cell>
          <cell r="N696" t="str">
            <v>GRADO I.17</v>
          </cell>
          <cell r="O696" t="str">
            <v>TÍTULO PROFESIONAL</v>
          </cell>
          <cell r="P696" t="str">
            <v>DISEÑADOR GRAFICO</v>
          </cell>
          <cell r="Q696" t="str">
            <v>TALCA</v>
          </cell>
          <cell r="R696" t="str">
            <v>VICERRECTORÍA DE FORMACIÓN</v>
          </cell>
          <cell r="S696" t="str">
            <v>DIRECCIÓN DE CICLO DE VIDA ESTUDIANTIL</v>
          </cell>
        </row>
        <row r="697">
          <cell r="A697">
            <v>14470445</v>
          </cell>
          <cell r="B697" t="str">
            <v>14470445</v>
          </cell>
          <cell r="C697" t="str">
            <v>2</v>
          </cell>
          <cell r="D697" t="str">
            <v>DEULOFEU FULLER GLENN ANDRES</v>
          </cell>
          <cell r="E697" t="str">
            <v>FAD310001</v>
          </cell>
          <cell r="F697">
            <v>44</v>
          </cell>
          <cell r="G697">
            <v>30</v>
          </cell>
          <cell r="H697" t="str">
            <v>GDEULOFEU@UTALCA.CL</v>
          </cell>
          <cell r="I697">
            <v>42795</v>
          </cell>
          <cell r="J697">
            <v>2958465</v>
          </cell>
          <cell r="K697" t="str">
            <v>PLANTA</v>
          </cell>
          <cell r="L697" t="str">
            <v>CA ORDINARIA</v>
          </cell>
          <cell r="M697" t="str">
            <v>PROFESOR ASISTENTE</v>
          </cell>
          <cell r="N697" t="str">
            <v>GRADO C</v>
          </cell>
          <cell r="O697" t="str">
            <v>DOCTORADO</v>
          </cell>
          <cell r="P697" t="str">
            <v>DOCTORADO PROYECTOS ARQUITECTONICOS</v>
          </cell>
          <cell r="Q697" t="str">
            <v>TALCA</v>
          </cell>
          <cell r="R697" t="str">
            <v>FACULTAD DE ARQUITECTUR, MÚSICA Y DISEÑO</v>
          </cell>
          <cell r="S697" t="str">
            <v>ESCUELA DE ARQUITECTURA</v>
          </cell>
        </row>
        <row r="698">
          <cell r="A698">
            <v>14473648</v>
          </cell>
          <cell r="B698" t="str">
            <v>14473648</v>
          </cell>
          <cell r="C698" t="str">
            <v>6</v>
          </cell>
          <cell r="D698" t="str">
            <v>RIVERA HERNANDEZ JESSICA BEATR</v>
          </cell>
          <cell r="E698" t="str">
            <v>FAD320001</v>
          </cell>
          <cell r="F698">
            <v>44</v>
          </cell>
          <cell r="G698">
            <v>30</v>
          </cell>
          <cell r="H698" t="str">
            <v>JESRIVERA@UTALCA.CL</v>
          </cell>
          <cell r="I698">
            <v>43466</v>
          </cell>
          <cell r="J698">
            <v>46387</v>
          </cell>
          <cell r="K698" t="str">
            <v>CONTRATA</v>
          </cell>
          <cell r="L698" t="str">
            <v>ADMINISTRATIVO</v>
          </cell>
          <cell r="M698" t="str">
            <v>ADMINISTRATIVO</v>
          </cell>
          <cell r="N698" t="str">
            <v>GRADO I.21</v>
          </cell>
          <cell r="O698" t="str">
            <v>TÉC. NIVEL MEDIO</v>
          </cell>
          <cell r="P698" t="str">
            <v>SECRETARIA EJECUTIVA</v>
          </cell>
          <cell r="Q698" t="str">
            <v>TALCA</v>
          </cell>
          <cell r="R698" t="str">
            <v>FACULTAD DE ARQUITECTUR, MÚSICA Y DISEÑO</v>
          </cell>
          <cell r="S698" t="str">
            <v>CONSERVATORIO DE MÚSICA</v>
          </cell>
        </row>
        <row r="699">
          <cell r="A699">
            <v>14473869</v>
          </cell>
          <cell r="B699" t="str">
            <v>14473869</v>
          </cell>
          <cell r="C699" t="str">
            <v>1</v>
          </cell>
          <cell r="D699" t="str">
            <v>MORIS MOYANO MARCELA ROCIO</v>
          </cell>
          <cell r="E699" t="str">
            <v>VRF100003</v>
          </cell>
          <cell r="F699">
            <v>44</v>
          </cell>
          <cell r="G699">
            <v>30</v>
          </cell>
          <cell r="H699" t="str">
            <v>MMORIS@UTALCA.CL</v>
          </cell>
          <cell r="I699">
            <v>43101</v>
          </cell>
          <cell r="J699">
            <v>2958465</v>
          </cell>
          <cell r="K699" t="str">
            <v>PLANTA</v>
          </cell>
          <cell r="L699" t="str">
            <v>ADMINISTRATIVO</v>
          </cell>
          <cell r="M699" t="str">
            <v>ADMINISTRATIVO</v>
          </cell>
          <cell r="N699" t="str">
            <v>GRADO I.20</v>
          </cell>
          <cell r="O699" t="str">
            <v>MAGISTER</v>
          </cell>
          <cell r="P699" t="str">
            <v>MAGÍSTER EN EDUCACIÓN CON MENCIÓN EN CURRICUL</v>
          </cell>
          <cell r="Q699" t="str">
            <v>TALCA</v>
          </cell>
          <cell r="R699" t="str">
            <v>VICERRECTORÍA DE FORMACIÓN</v>
          </cell>
          <cell r="S699" t="str">
            <v>ACADEMIA DOCENTE</v>
          </cell>
        </row>
        <row r="700">
          <cell r="A700">
            <v>14474364</v>
          </cell>
          <cell r="B700" t="str">
            <v>14474364</v>
          </cell>
          <cell r="C700" t="str">
            <v>4</v>
          </cell>
          <cell r="D700" t="str">
            <v>SAID GALINDO MACARENA DEL PILA</v>
          </cell>
          <cell r="E700" t="str">
            <v>FCS320003</v>
          </cell>
          <cell r="F700">
            <v>22</v>
          </cell>
          <cell r="G700">
            <v>30</v>
          </cell>
          <cell r="H700" t="str">
            <v>MACARENA.SAID@UTALCA.CL</v>
          </cell>
          <cell r="I700">
            <v>44774</v>
          </cell>
          <cell r="J700">
            <v>46446</v>
          </cell>
          <cell r="K700" t="str">
            <v>CONTRATA</v>
          </cell>
          <cell r="L700" t="str">
            <v>CA DOCENTE</v>
          </cell>
          <cell r="M700" t="str">
            <v>INSTRUCTOR</v>
          </cell>
          <cell r="N700" t="str">
            <v>GRADO D</v>
          </cell>
          <cell r="O700" t="str">
            <v>MAGISTER</v>
          </cell>
          <cell r="P700" t="str">
            <v>MAGISTER EN SALUD PUBLICA CON MENCION EN GEST</v>
          </cell>
          <cell r="Q700" t="str">
            <v>TALCA</v>
          </cell>
          <cell r="R700" t="str">
            <v>FACULTAD DE CIENCIAS DE LA SALUD</v>
          </cell>
          <cell r="S700" t="str">
            <v>DEPARTAMENTO DE SALUD PÚBLICA</v>
          </cell>
        </row>
        <row r="701">
          <cell r="A701">
            <v>14486406</v>
          </cell>
          <cell r="B701" t="str">
            <v>14486406</v>
          </cell>
          <cell r="C701" t="str">
            <v>9</v>
          </cell>
          <cell r="D701" t="str">
            <v>ESPINOZA URBINA FRANCISCA ANDR</v>
          </cell>
          <cell r="E701" t="str">
            <v>FAM200001</v>
          </cell>
          <cell r="F701">
            <v>44</v>
          </cell>
          <cell r="G701">
            <v>30</v>
          </cell>
          <cell r="H701" t="str">
            <v>FRANCISCA.ESPINOZA@UTALCA.CL</v>
          </cell>
          <cell r="I701">
            <v>44927</v>
          </cell>
          <cell r="J701">
            <v>46387</v>
          </cell>
          <cell r="K701" t="str">
            <v>CONTRATA</v>
          </cell>
          <cell r="L701" t="str">
            <v>TÉCNICO</v>
          </cell>
          <cell r="M701" t="str">
            <v>TÉCNICO</v>
          </cell>
          <cell r="N701" t="str">
            <v>GRADO I.23</v>
          </cell>
          <cell r="O701" t="str">
            <v>TÍTULO PROFESIONAL</v>
          </cell>
          <cell r="P701" t="str">
            <v>TECNICO FORESTAL</v>
          </cell>
          <cell r="Q701" t="str">
            <v>TALCA</v>
          </cell>
          <cell r="R701" t="str">
            <v>FACULTAD DE MEDICINA</v>
          </cell>
          <cell r="S701" t="str">
            <v>FACULTAD DE MEDICINA</v>
          </cell>
        </row>
        <row r="702">
          <cell r="A702">
            <v>14487837</v>
          </cell>
          <cell r="B702" t="str">
            <v>14487837</v>
          </cell>
          <cell r="C702" t="str">
            <v>K</v>
          </cell>
          <cell r="D702" t="str">
            <v>VARGAS CONTRERAS MAURICIO ANTO</v>
          </cell>
          <cell r="E702" t="str">
            <v>IMF300001</v>
          </cell>
          <cell r="F702">
            <v>44</v>
          </cell>
          <cell r="G702">
            <v>30</v>
          </cell>
          <cell r="H702" t="str">
            <v>MVARGAS@UTALCA.CL</v>
          </cell>
          <cell r="I702">
            <v>43313</v>
          </cell>
          <cell r="J702">
            <v>46446</v>
          </cell>
          <cell r="K702" t="str">
            <v>CONTRATA</v>
          </cell>
          <cell r="L702" t="str">
            <v>CA DOCENTE</v>
          </cell>
          <cell r="M702" t="str">
            <v>INSTRUCTOR</v>
          </cell>
          <cell r="N702" t="str">
            <v>GRADO D</v>
          </cell>
          <cell r="O702" t="str">
            <v>MAGISTER</v>
          </cell>
          <cell r="P702" t="str">
            <v>MAGISTER EN CIENCIAS CON MENCION EN MATEMÁTIC</v>
          </cell>
          <cell r="Q702" t="str">
            <v>TALCA</v>
          </cell>
          <cell r="R702" t="str">
            <v>INSTITUTO DE MATEMÁTICAS</v>
          </cell>
          <cell r="S702" t="str">
            <v>INSTITUTO DE MATEMÁTICAS</v>
          </cell>
        </row>
        <row r="703">
          <cell r="A703">
            <v>14491476</v>
          </cell>
          <cell r="B703" t="str">
            <v>14491476</v>
          </cell>
          <cell r="C703" t="str">
            <v>7</v>
          </cell>
          <cell r="D703" t="str">
            <v>MUÑOZ MUÑOZ RODRIGO ALEJANDRO</v>
          </cell>
          <cell r="E703" t="str">
            <v>FOD320001</v>
          </cell>
          <cell r="F703">
            <v>21</v>
          </cell>
          <cell r="G703">
            <v>30</v>
          </cell>
          <cell r="H703" t="str">
            <v>RMUNOZM@UTALCA.CL</v>
          </cell>
          <cell r="I703">
            <v>44713</v>
          </cell>
          <cell r="J703">
            <v>46446</v>
          </cell>
          <cell r="K703" t="str">
            <v>CONTRATA</v>
          </cell>
          <cell r="L703" t="str">
            <v>CA DOCENTE</v>
          </cell>
          <cell r="M703" t="str">
            <v>INSTRUCTOR</v>
          </cell>
          <cell r="N703" t="str">
            <v>GRADO D</v>
          </cell>
          <cell r="O703" t="str">
            <v>TÍTULO PROFESIONAL</v>
          </cell>
          <cell r="P703" t="str">
            <v>CIRUJANO DENTISTA</v>
          </cell>
          <cell r="Q703" t="str">
            <v>TALCA</v>
          </cell>
          <cell r="R703" t="str">
            <v>FACULTAD DE ODONTOLOGÍA</v>
          </cell>
          <cell r="S703" t="str">
            <v>DPTO. REHABILITACIÓN BUCO-MAXILOFACIAL</v>
          </cell>
        </row>
        <row r="704">
          <cell r="A704">
            <v>14495385</v>
          </cell>
          <cell r="B704" t="str">
            <v>14495385</v>
          </cell>
          <cell r="C704" t="str">
            <v>1</v>
          </cell>
          <cell r="D704" t="str">
            <v>BRAVO CASTRO MODESTO LEOPOLDO</v>
          </cell>
          <cell r="E704" t="str">
            <v/>
          </cell>
          <cell r="F704">
            <v>42</v>
          </cell>
          <cell r="G704">
            <v>30</v>
          </cell>
          <cell r="H704" t="str">
            <v>MOBRAVO@UTALCA.CL</v>
          </cell>
          <cell r="I704">
            <v>44927</v>
          </cell>
          <cell r="J704">
            <v>46387</v>
          </cell>
          <cell r="K704" t="str">
            <v>CONTRATA</v>
          </cell>
          <cell r="L704" t="str">
            <v>TÉCNICO</v>
          </cell>
          <cell r="M704" t="str">
            <v>TÉCNICO</v>
          </cell>
          <cell r="N704" t="str">
            <v>GRADO I.23</v>
          </cell>
          <cell r="O704" t="str">
            <v>TÉC. NIVEL SUPERIOR</v>
          </cell>
          <cell r="P704" t="str">
            <v>TECNICO LABORATORISTA QUIMICO INDUSTRIAL</v>
          </cell>
          <cell r="Q704" t="str">
            <v>TALCA</v>
          </cell>
          <cell r="R704" t="str">
            <v>FACULTAD DE CIENCIAS AGRARIAS</v>
          </cell>
          <cell r="S704" t="str">
            <v>CENTRO TECNOLÓGICO DE SUELOS Y CULTIVOS</v>
          </cell>
        </row>
        <row r="705">
          <cell r="A705">
            <v>14495469</v>
          </cell>
          <cell r="B705" t="str">
            <v>14495469</v>
          </cell>
          <cell r="C705" t="str">
            <v>6</v>
          </cell>
          <cell r="D705" t="str">
            <v>MUÑOZ ARANCIBIA MACARENA DEL P</v>
          </cell>
          <cell r="E705" t="str">
            <v>FOD320001</v>
          </cell>
          <cell r="F705">
            <v>26</v>
          </cell>
          <cell r="G705">
            <v>30</v>
          </cell>
          <cell r="H705" t="str">
            <v>MMUNOZA@UTALCA.CL</v>
          </cell>
          <cell r="I705">
            <v>38777</v>
          </cell>
          <cell r="J705">
            <v>46446</v>
          </cell>
          <cell r="K705" t="str">
            <v>CONTRATA</v>
          </cell>
          <cell r="L705" t="str">
            <v>CA DOCENTE</v>
          </cell>
          <cell r="M705" t="str">
            <v>INSTRUCTOR</v>
          </cell>
          <cell r="N705" t="str">
            <v>GRADO D</v>
          </cell>
          <cell r="O705" t="str">
            <v>MAGISTER</v>
          </cell>
          <cell r="P705" t="str">
            <v>MAGISTER FISIOPATOLOGIA CRANEO CERVICAL CRANE</v>
          </cell>
          <cell r="Q705" t="str">
            <v>TALCA</v>
          </cell>
          <cell r="R705" t="str">
            <v>FACULTAD DE ODONTOLOGÍA</v>
          </cell>
          <cell r="S705" t="str">
            <v>DPTO. REHABILITACIÓN BUCO-MAXILOFACIAL</v>
          </cell>
        </row>
        <row r="706">
          <cell r="A706">
            <v>14499460</v>
          </cell>
          <cell r="B706" t="str">
            <v>14499460</v>
          </cell>
          <cell r="C706" t="str">
            <v>4</v>
          </cell>
          <cell r="D706" t="str">
            <v>PETERS PEREZ PAULA PATRICIA</v>
          </cell>
          <cell r="E706" t="str">
            <v>FAM200001</v>
          </cell>
          <cell r="F706">
            <v>22</v>
          </cell>
          <cell r="G706">
            <v>30</v>
          </cell>
          <cell r="H706" t="str">
            <v>PAULA.PETERS@UTALCA.CL</v>
          </cell>
          <cell r="I706">
            <v>45352</v>
          </cell>
          <cell r="J706">
            <v>46387</v>
          </cell>
          <cell r="K706" t="str">
            <v>CONTRATA</v>
          </cell>
          <cell r="L706" t="str">
            <v>C ESPECIALES</v>
          </cell>
          <cell r="M706" t="str">
            <v>TUTOR(A) PRÁCTICA</v>
          </cell>
          <cell r="N706" t="str">
            <v>SIN GRADO</v>
          </cell>
          <cell r="O706" t="str">
            <v>ESPECIAL. MÉDICA</v>
          </cell>
          <cell r="P706" t="str">
            <v>PSIQUIATRIA INFANTIL Y DEL ADOLESCENTE</v>
          </cell>
          <cell r="Q706" t="str">
            <v>TALCA</v>
          </cell>
          <cell r="R706" t="str">
            <v>FACULTAD DE MEDICINA</v>
          </cell>
          <cell r="S706" t="str">
            <v>FACULTAD DE MEDICINA</v>
          </cell>
        </row>
        <row r="707">
          <cell r="A707">
            <v>14499993</v>
          </cell>
          <cell r="B707" t="str">
            <v>14499993</v>
          </cell>
          <cell r="C707" t="str">
            <v>2</v>
          </cell>
          <cell r="D707" t="str">
            <v>AYALA MIRANDA RITA ALEJANDRA</v>
          </cell>
          <cell r="E707" t="str">
            <v>IQR300001</v>
          </cell>
          <cell r="F707">
            <v>33</v>
          </cell>
          <cell r="G707">
            <v>30</v>
          </cell>
          <cell r="H707" t="str">
            <v>RAYALA@UTALCA.CL</v>
          </cell>
          <cell r="I707">
            <v>43466</v>
          </cell>
          <cell r="J707">
            <v>46387</v>
          </cell>
          <cell r="K707" t="str">
            <v>CONTRATA</v>
          </cell>
          <cell r="L707" t="str">
            <v>ADMINISTRATIVO</v>
          </cell>
          <cell r="M707" t="str">
            <v>ADMINISTRATIVO</v>
          </cell>
          <cell r="N707" t="str">
            <v>GRADO I.21</v>
          </cell>
          <cell r="O707" t="str">
            <v>TÉC. NIVEL SUPERIOR</v>
          </cell>
          <cell r="P707" t="str">
            <v>TÉCNICO LABORATORIO QUÍMICO INDUSTRIAL</v>
          </cell>
          <cell r="Q707" t="str">
            <v>TALCA</v>
          </cell>
          <cell r="R707" t="str">
            <v>INSTITUTO QUÍMICA DE RECURSOS NATURALES</v>
          </cell>
          <cell r="S707" t="str">
            <v>INSTITUTO QUÍMICA DE RECURSOS NATURALES</v>
          </cell>
        </row>
        <row r="708">
          <cell r="A708">
            <v>14504863</v>
          </cell>
          <cell r="B708" t="str">
            <v>14504863</v>
          </cell>
          <cell r="C708" t="str">
            <v>K</v>
          </cell>
          <cell r="D708" t="str">
            <v>VEJARES ALCANTARA CRISTIAN</v>
          </cell>
          <cell r="E708" t="str">
            <v>FCI310007</v>
          </cell>
          <cell r="F708">
            <v>44</v>
          </cell>
          <cell r="G708">
            <v>30</v>
          </cell>
          <cell r="H708" t="str">
            <v>CVEJARES@UTALCA.CL</v>
          </cell>
          <cell r="I708">
            <v>37926</v>
          </cell>
          <cell r="J708">
            <v>46387</v>
          </cell>
          <cell r="K708" t="str">
            <v>CONTRATA</v>
          </cell>
          <cell r="L708" t="str">
            <v>TÉCNICO</v>
          </cell>
          <cell r="M708" t="str">
            <v>ADMINISTRATIVO</v>
          </cell>
          <cell r="N708" t="str">
            <v>GRADO I.21</v>
          </cell>
          <cell r="O708" t="str">
            <v>TÉC. NIVEL SUPERIOR</v>
          </cell>
          <cell r="P708" t="str">
            <v>TECNICO EN CONSTRUCCION</v>
          </cell>
          <cell r="Q708" t="str">
            <v>CURICO</v>
          </cell>
          <cell r="R708" t="str">
            <v>FACULTAD DE INGENIERÍA</v>
          </cell>
          <cell r="S708" t="str">
            <v>ESC. INGENIERÍA CIVIL EN OBRAS CIVILES</v>
          </cell>
        </row>
        <row r="709">
          <cell r="A709">
            <v>14505093</v>
          </cell>
          <cell r="B709" t="str">
            <v>14505093</v>
          </cell>
          <cell r="C709" t="str">
            <v>6</v>
          </cell>
          <cell r="D709" t="str">
            <v>OYARZUN ROJAS GRICEL ELIADA</v>
          </cell>
          <cell r="E709" t="str">
            <v>FCJ310001</v>
          </cell>
          <cell r="F709">
            <v>44</v>
          </cell>
          <cell r="G709">
            <v>30</v>
          </cell>
          <cell r="H709" t="str">
            <v>GOYARZUN@UTALCA.CL</v>
          </cell>
          <cell r="I709">
            <v>36251</v>
          </cell>
          <cell r="J709">
            <v>2958465</v>
          </cell>
          <cell r="K709" t="str">
            <v>PLANTA</v>
          </cell>
          <cell r="L709" t="str">
            <v>ADMINISTRATIVO</v>
          </cell>
          <cell r="M709" t="str">
            <v>ADMINISTRATIVO</v>
          </cell>
          <cell r="N709" t="str">
            <v>GRADO I.15</v>
          </cell>
          <cell r="O709" t="str">
            <v>TÉC. NIVEL SUPERIOR</v>
          </cell>
          <cell r="P709" t="str">
            <v>SECRETARIA EJECUTIVA COMPUTACIONAL</v>
          </cell>
          <cell r="Q709" t="str">
            <v>TALCA</v>
          </cell>
          <cell r="R709" t="str">
            <v>FACULTAD CIENCIAS JURÍDICAS Y SOCIALES</v>
          </cell>
          <cell r="S709" t="str">
            <v>ESCUELA DE DERECHO DE TALCA</v>
          </cell>
        </row>
        <row r="710">
          <cell r="A710">
            <v>14508030</v>
          </cell>
          <cell r="B710" t="str">
            <v>14508030</v>
          </cell>
          <cell r="C710" t="str">
            <v>4</v>
          </cell>
          <cell r="D710" t="str">
            <v>GÓMEZ OJEDA FABIOLA ALEJANDRA</v>
          </cell>
          <cell r="E710" t="str">
            <v/>
          </cell>
          <cell r="F710">
            <v>44</v>
          </cell>
          <cell r="G710">
            <v>30</v>
          </cell>
          <cell r="H710" t="str">
            <v>FABIOLA.GOMEZ@UTALCA.CL</v>
          </cell>
          <cell r="I710">
            <v>45352</v>
          </cell>
          <cell r="J710">
            <v>46446</v>
          </cell>
          <cell r="K710" t="str">
            <v>CONTRATA</v>
          </cell>
          <cell r="L710" t="str">
            <v>CA DOCENTE</v>
          </cell>
          <cell r="M710" t="str">
            <v>INSTRUCTOR</v>
          </cell>
          <cell r="N710" t="str">
            <v>GRADO D</v>
          </cell>
          <cell r="O710" t="str">
            <v>DOCTORADO</v>
          </cell>
          <cell r="P710" t="str">
            <v>DOCTOR EN PSICOLOGÍA</v>
          </cell>
          <cell r="Q710" t="str">
            <v>TALCA</v>
          </cell>
          <cell r="R710" t="str">
            <v>FACULTAD DE PSICOLOGÍA</v>
          </cell>
          <cell r="S710" t="str">
            <v>FACULTAD DE PSICOLOGÍA</v>
          </cell>
        </row>
        <row r="711">
          <cell r="A711">
            <v>14510677</v>
          </cell>
          <cell r="B711" t="str">
            <v>14510677</v>
          </cell>
          <cell r="C711" t="str">
            <v>K</v>
          </cell>
          <cell r="D711" t="str">
            <v>FERNANDEZ FERNANDEZ MARIO ALBE</v>
          </cell>
          <cell r="E711" t="str">
            <v>FCI320007</v>
          </cell>
          <cell r="F711">
            <v>44</v>
          </cell>
          <cell r="G711">
            <v>30</v>
          </cell>
          <cell r="H711" t="str">
            <v>MAFERNANDEZ@UTALCA.CL</v>
          </cell>
          <cell r="I711">
            <v>37316</v>
          </cell>
          <cell r="J711">
            <v>2958465</v>
          </cell>
          <cell r="K711" t="str">
            <v>PLANTA</v>
          </cell>
          <cell r="L711" t="str">
            <v>CA ORDINARIA</v>
          </cell>
          <cell r="M711" t="str">
            <v>PROFESOR ASISTENTE</v>
          </cell>
          <cell r="N711" t="str">
            <v>GRADO C</v>
          </cell>
          <cell r="O711" t="str">
            <v>DOCTORADO</v>
          </cell>
          <cell r="P711" t="str">
            <v>DOCTORADO EN CS. DE LA INGENIERÍA M/ AUTOMATI</v>
          </cell>
          <cell r="Q711" t="str">
            <v>CURICO</v>
          </cell>
          <cell r="R711" t="str">
            <v>FACULTAD DE INGENIERÍA</v>
          </cell>
          <cell r="S711" t="str">
            <v>DEPARTAMENTO DE INGENIERÍA ELÉCTRICA</v>
          </cell>
        </row>
        <row r="712">
          <cell r="A712">
            <v>14512139</v>
          </cell>
          <cell r="B712" t="str">
            <v>14512139</v>
          </cell>
          <cell r="C712" t="str">
            <v>6</v>
          </cell>
          <cell r="D712" t="str">
            <v>ROJAS OYARCE FRANCISCO ALEJAND</v>
          </cell>
          <cell r="E712" t="str">
            <v>VRF400043</v>
          </cell>
          <cell r="F712">
            <v>44</v>
          </cell>
          <cell r="G712">
            <v>30</v>
          </cell>
          <cell r="H712" t="str">
            <v>FRANCROJAS@UTALCA.CL</v>
          </cell>
          <cell r="I712">
            <v>43466</v>
          </cell>
          <cell r="J712">
            <v>46387</v>
          </cell>
          <cell r="K712" t="str">
            <v>CONTRATA</v>
          </cell>
          <cell r="L712" t="str">
            <v>PROFESIONAL</v>
          </cell>
          <cell r="M712" t="str">
            <v>PROFESIONAL</v>
          </cell>
          <cell r="N712" t="str">
            <v>GRADO I.17</v>
          </cell>
          <cell r="O712" t="str">
            <v>TÍTULO PROFESIONAL</v>
          </cell>
          <cell r="P712" t="str">
            <v>ADMINISTRADOR UNIVERSITARIO DE EMPRESAS</v>
          </cell>
          <cell r="Q712" t="str">
            <v>TALCA</v>
          </cell>
          <cell r="R712" t="str">
            <v>VICERRECTORÍA DE FORMACIÓN</v>
          </cell>
          <cell r="S712" t="str">
            <v>DPTO. DE GESTIÓN DE INFORM. ESTUDIANTIL</v>
          </cell>
        </row>
        <row r="713">
          <cell r="A713">
            <v>14514611</v>
          </cell>
          <cell r="B713" t="str">
            <v>14514611</v>
          </cell>
          <cell r="C713" t="str">
            <v>9</v>
          </cell>
          <cell r="D713" t="str">
            <v>ORELLANA ROJAS CLAUDIA ANDREA</v>
          </cell>
          <cell r="E713" t="str">
            <v>VGE400031</v>
          </cell>
          <cell r="F713">
            <v>44</v>
          </cell>
          <cell r="G713">
            <v>30</v>
          </cell>
          <cell r="H713" t="str">
            <v>CLORELLANA@UTALCA.CL</v>
          </cell>
          <cell r="I713">
            <v>43466</v>
          </cell>
          <cell r="J713">
            <v>46387</v>
          </cell>
          <cell r="K713" t="str">
            <v>CONTRATA</v>
          </cell>
          <cell r="L713" t="str">
            <v>ADMINISTRATIVO</v>
          </cell>
          <cell r="M713" t="str">
            <v>ADMINISTRATIVO</v>
          </cell>
          <cell r="N713" t="str">
            <v>GRADO I.21</v>
          </cell>
          <cell r="O713" t="str">
            <v>TÉC. NIVEL MEDIO</v>
          </cell>
          <cell r="P713" t="str">
            <v>SECRETARIA EJECUTIVA</v>
          </cell>
          <cell r="Q713" t="str">
            <v>TALCA</v>
          </cell>
          <cell r="R713" t="str">
            <v>VIC. GESTIÓN ECONÓMICA Y ADMINISTRACIÓN</v>
          </cell>
          <cell r="S713" t="str">
            <v>DPTO. DE APOYO FINANCIERO AL ESTUDIANTE</v>
          </cell>
        </row>
        <row r="714">
          <cell r="A714">
            <v>14514667</v>
          </cell>
          <cell r="B714" t="str">
            <v>14514667</v>
          </cell>
          <cell r="C714" t="str">
            <v>4</v>
          </cell>
          <cell r="D714" t="str">
            <v>CASTRO BARAHONA RAMIRO JOSE</v>
          </cell>
          <cell r="E714" t="str">
            <v>FOD320001</v>
          </cell>
          <cell r="F714">
            <v>44</v>
          </cell>
          <cell r="G714">
            <v>30</v>
          </cell>
          <cell r="H714" t="str">
            <v>RCASTRO@UTALCA.CL</v>
          </cell>
          <cell r="I714">
            <v>38777</v>
          </cell>
          <cell r="J714">
            <v>46446</v>
          </cell>
          <cell r="K714" t="str">
            <v>CONTRATA</v>
          </cell>
          <cell r="L714" t="str">
            <v>CA DOCENTE</v>
          </cell>
          <cell r="M714" t="str">
            <v>PROFESOR ASISTENTE</v>
          </cell>
          <cell r="N714" t="str">
            <v>GRADO C</v>
          </cell>
          <cell r="O714" t="str">
            <v>DOCTORADO</v>
          </cell>
          <cell r="P714" t="str">
            <v>DOCTOR EN ODONTOLOGIA AREA CARDIOLOGIA</v>
          </cell>
          <cell r="Q714" t="str">
            <v>TALCA</v>
          </cell>
          <cell r="R714" t="str">
            <v>FACULTAD DE ODONTOLOGÍA</v>
          </cell>
          <cell r="S714" t="str">
            <v>DPTO. REHABILITACIÓN BUCO-MAXILOFACIAL</v>
          </cell>
        </row>
        <row r="715">
          <cell r="A715">
            <v>14514886</v>
          </cell>
          <cell r="B715" t="str">
            <v>14514886</v>
          </cell>
          <cell r="C715" t="str">
            <v>3</v>
          </cell>
          <cell r="D715" t="str">
            <v>SILVA FLORES MARCIA RICARDINA</v>
          </cell>
          <cell r="E715" t="str">
            <v>FCI320002</v>
          </cell>
          <cell r="F715">
            <v>44</v>
          </cell>
          <cell r="G715">
            <v>30</v>
          </cell>
          <cell r="H715" t="str">
            <v>MSILVAF@UTALCA.CL</v>
          </cell>
          <cell r="I715">
            <v>38936</v>
          </cell>
          <cell r="J715">
            <v>46446</v>
          </cell>
          <cell r="K715" t="str">
            <v>CONTRATA</v>
          </cell>
          <cell r="L715" t="str">
            <v>CA DOCENTE</v>
          </cell>
          <cell r="M715" t="str">
            <v>INSTRUCTOR</v>
          </cell>
          <cell r="N715" t="str">
            <v>GRADO D</v>
          </cell>
          <cell r="O715" t="str">
            <v>MAGISTER</v>
          </cell>
          <cell r="P715" t="str">
            <v>MAGISTER EN ADMINISTRACION DE EMPRESAS</v>
          </cell>
          <cell r="Q715" t="str">
            <v>CURICO</v>
          </cell>
          <cell r="R715" t="str">
            <v>FACULTAD DE INGENIERÍA</v>
          </cell>
          <cell r="S715" t="str">
            <v>DEPARTAMENTO DE INGENIERÍA INDUSTRIAL</v>
          </cell>
        </row>
        <row r="716">
          <cell r="A716">
            <v>14516287</v>
          </cell>
          <cell r="B716" t="str">
            <v>14516287</v>
          </cell>
          <cell r="C716" t="str">
            <v>4</v>
          </cell>
          <cell r="D716" t="str">
            <v>GONZALEZ REYES JOHN MANUEL</v>
          </cell>
          <cell r="E716" t="str">
            <v>VGE400051</v>
          </cell>
          <cell r="F716">
            <v>44</v>
          </cell>
          <cell r="G716">
            <v>30</v>
          </cell>
          <cell r="H716" t="str">
            <v>JOHGONZALEZ@UTALCA.CL</v>
          </cell>
          <cell r="I716">
            <v>43831</v>
          </cell>
          <cell r="J716">
            <v>46387</v>
          </cell>
          <cell r="K716" t="str">
            <v>CONTRATA</v>
          </cell>
          <cell r="L716" t="str">
            <v>AUXILIAR</v>
          </cell>
          <cell r="M716" t="str">
            <v>AUXILIAR</v>
          </cell>
          <cell r="N716" t="str">
            <v>GRADO I.24</v>
          </cell>
          <cell r="O716" t="str">
            <v>ESCOLARIDAD CIENT HU</v>
          </cell>
          <cell r="P716" t="str">
            <v>LICENCIA ENSEÑANZA MEDIA</v>
          </cell>
          <cell r="Q716" t="str">
            <v>TALCA</v>
          </cell>
          <cell r="R716" t="str">
            <v>VIC. GESTIÓN ECONÓMICA Y ADMINISTRACIÓN</v>
          </cell>
          <cell r="S716" t="str">
            <v>UNIDAD DE MANTENIMIENTO</v>
          </cell>
        </row>
        <row r="717">
          <cell r="A717">
            <v>14524299</v>
          </cell>
          <cell r="B717" t="str">
            <v>14524299</v>
          </cell>
          <cell r="C717" t="str">
            <v>1</v>
          </cell>
          <cell r="D717" t="str">
            <v>COFRE ALBORNOZ LORETO DEL PILA</v>
          </cell>
          <cell r="E717" t="str">
            <v>FCS320010</v>
          </cell>
          <cell r="F717">
            <v>33</v>
          </cell>
          <cell r="G717">
            <v>30</v>
          </cell>
          <cell r="H717" t="str">
            <v>LCOFRE@UTALCA.CL</v>
          </cell>
          <cell r="I717">
            <v>43374</v>
          </cell>
          <cell r="J717">
            <v>46446</v>
          </cell>
          <cell r="K717" t="str">
            <v>CONTRATA</v>
          </cell>
          <cell r="L717" t="str">
            <v>CA DOCENTE</v>
          </cell>
          <cell r="M717" t="str">
            <v>INSTRUCTOR</v>
          </cell>
          <cell r="N717" t="str">
            <v>GRADO D</v>
          </cell>
          <cell r="O717" t="str">
            <v>MAGISTER</v>
          </cell>
          <cell r="P717" t="str">
            <v>MAGÍSTER EN DES. COGNITIVO: M/EVAL. DINÁMICA</v>
          </cell>
          <cell r="Q717" t="str">
            <v>TALCA</v>
          </cell>
          <cell r="R717" t="str">
            <v>FACULTAD DE PSICOLOGÍA</v>
          </cell>
          <cell r="S717" t="str">
            <v>FACULTAD DE PSICOLOGÍA</v>
          </cell>
        </row>
        <row r="718">
          <cell r="A718">
            <v>14536492</v>
          </cell>
          <cell r="B718" t="str">
            <v>14536492</v>
          </cell>
          <cell r="C718" t="str">
            <v>2</v>
          </cell>
          <cell r="D718" t="str">
            <v>NUÑEZ VELIZ DANIEL FRANCISCO</v>
          </cell>
          <cell r="E718" t="str">
            <v>ADC024006</v>
          </cell>
          <cell r="F718">
            <v>44</v>
          </cell>
          <cell r="G718">
            <v>30</v>
          </cell>
          <cell r="H718" t="str">
            <v>DANUNEZ@UTALCA.CL</v>
          </cell>
          <cell r="I718">
            <v>43101</v>
          </cell>
          <cell r="J718">
            <v>46387</v>
          </cell>
          <cell r="K718" t="str">
            <v>CONTRATA</v>
          </cell>
          <cell r="L718" t="str">
            <v>AUXILIAR</v>
          </cell>
          <cell r="M718" t="str">
            <v>AUXILIAR</v>
          </cell>
          <cell r="N718" t="str">
            <v>GRADO I.24</v>
          </cell>
          <cell r="O718" t="str">
            <v>ESCOLARIDAD CIENT HU</v>
          </cell>
          <cell r="P718" t="str">
            <v>OCTAVO AÑO BÁSICO</v>
          </cell>
          <cell r="Q718" t="str">
            <v>TALCA</v>
          </cell>
          <cell r="R718" t="str">
            <v>DRCCIÓN. GNAL. VINCULACIÓN CON EL MEDIO</v>
          </cell>
          <cell r="S718" t="str">
            <v>UND. JARDÍN BOTÁNICO Y ARBORETUM</v>
          </cell>
        </row>
        <row r="719">
          <cell r="A719">
            <v>14540704</v>
          </cell>
          <cell r="B719" t="str">
            <v>14540704</v>
          </cell>
          <cell r="C719" t="str">
            <v>4</v>
          </cell>
          <cell r="D719" t="str">
            <v>PEÑA DIAZ YASNA DEL CARMEN</v>
          </cell>
          <cell r="E719" t="str">
            <v>FCI310006</v>
          </cell>
          <cell r="F719">
            <v>44</v>
          </cell>
          <cell r="G719">
            <v>30</v>
          </cell>
          <cell r="H719" t="str">
            <v>YPENA@UTALCA.CL</v>
          </cell>
          <cell r="I719">
            <v>42522</v>
          </cell>
          <cell r="J719">
            <v>2958465</v>
          </cell>
          <cell r="K719" t="str">
            <v>PLANTA</v>
          </cell>
          <cell r="L719" t="str">
            <v>ADMINISTRATIVO</v>
          </cell>
          <cell r="M719" t="str">
            <v>ADMINISTRATIVO</v>
          </cell>
          <cell r="N719" t="str">
            <v>GRADO I.20</v>
          </cell>
          <cell r="O719" t="str">
            <v>TÉC. NIVEL SUPERIOR</v>
          </cell>
          <cell r="P719" t="str">
            <v>SECRETARIADO EJECUTIVO COMPUTACIONAL</v>
          </cell>
          <cell r="Q719" t="str">
            <v>CURICO</v>
          </cell>
          <cell r="R719" t="str">
            <v>FACULTAD DE INGENIERÍA</v>
          </cell>
          <cell r="S719" t="str">
            <v>ESC. INGENIERÍA CIVIL EN BIOINFORMÁTICA</v>
          </cell>
        </row>
        <row r="720">
          <cell r="A720">
            <v>14544167</v>
          </cell>
          <cell r="B720" t="str">
            <v>14544167</v>
          </cell>
          <cell r="C720" t="str">
            <v>6</v>
          </cell>
          <cell r="D720" t="str">
            <v>RIVEROS FERRADA CAROLINA ANDRE</v>
          </cell>
          <cell r="E720" t="str">
            <v>FCJ320002</v>
          </cell>
          <cell r="F720">
            <v>44</v>
          </cell>
          <cell r="G720">
            <v>30</v>
          </cell>
          <cell r="H720" t="str">
            <v>CRIVEROS@UTALCA.CL</v>
          </cell>
          <cell r="I720">
            <v>41330</v>
          </cell>
          <cell r="J720">
            <v>2958465</v>
          </cell>
          <cell r="K720" t="str">
            <v>PLANTA</v>
          </cell>
          <cell r="L720" t="str">
            <v>CA ORDINARIA</v>
          </cell>
          <cell r="M720" t="str">
            <v>PROFESOR TITULAR</v>
          </cell>
          <cell r="N720" t="str">
            <v>GRADO A</v>
          </cell>
          <cell r="O720" t="str">
            <v>DOCTORADO</v>
          </cell>
          <cell r="P720" t="str">
            <v>DOKTORGRAD DER JURISTISCHEN FAKULTAT</v>
          </cell>
          <cell r="Q720" t="str">
            <v>SANTIAGO</v>
          </cell>
          <cell r="R720" t="str">
            <v>FACULTAD CIENCIAS JURÍDICAS Y SOCIALES</v>
          </cell>
          <cell r="S720" t="str">
            <v>DPTO. DERECHO PRIVADO Y CNCIAS. DERECHO</v>
          </cell>
        </row>
        <row r="721">
          <cell r="A721">
            <v>14545576</v>
          </cell>
          <cell r="B721" t="str">
            <v>14545576</v>
          </cell>
          <cell r="C721" t="str">
            <v>6</v>
          </cell>
          <cell r="D721" t="str">
            <v>REINA FIERRO WILSON</v>
          </cell>
          <cell r="E721" t="str">
            <v>VDE400009</v>
          </cell>
          <cell r="F721">
            <v>30</v>
          </cell>
          <cell r="G721">
            <v>30</v>
          </cell>
          <cell r="H721" t="str">
            <v>WREINA@UTALCA.CL</v>
          </cell>
          <cell r="I721">
            <v>43466</v>
          </cell>
          <cell r="J721">
            <v>46387</v>
          </cell>
          <cell r="K721" t="str">
            <v>CONTRATA</v>
          </cell>
          <cell r="L721" t="str">
            <v>PROFESIONAL</v>
          </cell>
          <cell r="M721" t="str">
            <v>PROFESIONAL</v>
          </cell>
          <cell r="N721" t="str">
            <v>GRADO I.17</v>
          </cell>
          <cell r="O721" t="str">
            <v>TÍTULO PROFESIONAL</v>
          </cell>
          <cell r="P721" t="str">
            <v>CIRUJANO DENTISTA</v>
          </cell>
          <cell r="Q721" t="str">
            <v>TALCA</v>
          </cell>
          <cell r="R721" t="str">
            <v>VICERRECTORÍA DE DESARROLLO ESTUDIANTIL</v>
          </cell>
          <cell r="S721" t="str">
            <v>DIRECCIÓN DE SALUD ESTUDIANTIL</v>
          </cell>
        </row>
        <row r="722">
          <cell r="A722">
            <v>14550528</v>
          </cell>
          <cell r="B722" t="str">
            <v>14550528</v>
          </cell>
          <cell r="C722" t="str">
            <v>3</v>
          </cell>
          <cell r="D722" t="str">
            <v>BUSTAMANTE MUÑOZ WANDA DEL PIL</v>
          </cell>
          <cell r="E722" t="str">
            <v>FCS320012</v>
          </cell>
          <cell r="F722">
            <v>44</v>
          </cell>
          <cell r="G722">
            <v>30</v>
          </cell>
          <cell r="H722" t="str">
            <v>WBUSTAMANTE@UTALCA.CL</v>
          </cell>
          <cell r="I722">
            <v>41561</v>
          </cell>
          <cell r="J722">
            <v>46446</v>
          </cell>
          <cell r="K722" t="str">
            <v>CONTRATA</v>
          </cell>
          <cell r="L722" t="str">
            <v>CA DOCENTE</v>
          </cell>
          <cell r="M722" t="str">
            <v>PROFESOR ASISTENTE</v>
          </cell>
          <cell r="N722" t="str">
            <v>GRADO C</v>
          </cell>
          <cell r="O722" t="str">
            <v>MAGISTER</v>
          </cell>
          <cell r="P722" t="str">
            <v>MAGISTER EN PEDAGOGÍA UNIVERSITARIA</v>
          </cell>
          <cell r="Q722" t="str">
            <v>TALCA</v>
          </cell>
          <cell r="R722" t="str">
            <v>FACULTAD DE CIENCIAS DE LA SALUD</v>
          </cell>
          <cell r="S722" t="str">
            <v>DEPTO. CIENCIAS DEL CUIDADO EN ENFERM.</v>
          </cell>
        </row>
        <row r="723">
          <cell r="A723">
            <v>14551368</v>
          </cell>
          <cell r="B723" t="str">
            <v>14551368</v>
          </cell>
          <cell r="C723" t="str">
            <v>5</v>
          </cell>
          <cell r="D723" t="str">
            <v>PARADA ROMAN MARIA ENRIQUETA</v>
          </cell>
          <cell r="E723" t="str">
            <v>FCA310001</v>
          </cell>
          <cell r="F723">
            <v>44</v>
          </cell>
          <cell r="G723">
            <v>30</v>
          </cell>
          <cell r="H723" t="str">
            <v>MAPARADA@UTALCA.CL</v>
          </cell>
          <cell r="I723">
            <v>42370</v>
          </cell>
          <cell r="J723">
            <v>2958465</v>
          </cell>
          <cell r="K723" t="str">
            <v>PLANTA</v>
          </cell>
          <cell r="L723" t="str">
            <v>ADMINISTRATIVO</v>
          </cell>
          <cell r="M723" t="str">
            <v>ADMINISTRATIVO</v>
          </cell>
          <cell r="N723" t="str">
            <v>GRADO I.20</v>
          </cell>
          <cell r="O723" t="str">
            <v>TÉC. NIVEL SUPERIOR</v>
          </cell>
          <cell r="P723" t="str">
            <v>TÉCNICO JURÍDICO</v>
          </cell>
          <cell r="Q723" t="str">
            <v>TALCA</v>
          </cell>
          <cell r="R723" t="str">
            <v>FACULTAD DE CIENCIAS AGRARIAS</v>
          </cell>
          <cell r="S723" t="str">
            <v>ESCUELA DE AGRONOMÍA</v>
          </cell>
        </row>
        <row r="724">
          <cell r="A724">
            <v>14555025</v>
          </cell>
          <cell r="B724" t="str">
            <v>14555025</v>
          </cell>
          <cell r="C724" t="str">
            <v>4</v>
          </cell>
          <cell r="D724" t="str">
            <v>FERNANDEZ TAPIA BARBRA JOSELIN</v>
          </cell>
          <cell r="E724" t="str">
            <v>FCS320012</v>
          </cell>
          <cell r="F724">
            <v>44</v>
          </cell>
          <cell r="G724">
            <v>30</v>
          </cell>
          <cell r="H724" t="str">
            <v>BFERNANDEZ@UTALCA.CL</v>
          </cell>
          <cell r="I724">
            <v>41708</v>
          </cell>
          <cell r="J724">
            <v>46446</v>
          </cell>
          <cell r="K724" t="str">
            <v>CONTRATA</v>
          </cell>
          <cell r="L724" t="str">
            <v>CA DOCENTE</v>
          </cell>
          <cell r="M724" t="str">
            <v>INSTRUCTOR</v>
          </cell>
          <cell r="N724" t="str">
            <v>GRADO D</v>
          </cell>
          <cell r="O724" t="str">
            <v>MAGISTER</v>
          </cell>
          <cell r="P724" t="str">
            <v>MAGÍSTER EN GESTIÓN DE INSTITUCIONES DE SALUD</v>
          </cell>
          <cell r="Q724" t="str">
            <v>TALCA</v>
          </cell>
          <cell r="R724" t="str">
            <v>FACULTAD DE CIENCIAS DE LA SALUD</v>
          </cell>
          <cell r="S724" t="str">
            <v>DEPTO. CIENCIAS DEL CUIDADO EN ENFERM.</v>
          </cell>
        </row>
        <row r="725">
          <cell r="A725">
            <v>14555849</v>
          </cell>
          <cell r="B725" t="str">
            <v>14555849</v>
          </cell>
          <cell r="C725" t="str">
            <v>2</v>
          </cell>
          <cell r="D725" t="str">
            <v>VARELA MUÑOZ YESICA MOYRA</v>
          </cell>
          <cell r="E725" t="str">
            <v/>
          </cell>
          <cell r="F725">
            <v>30</v>
          </cell>
          <cell r="G725">
            <v>30</v>
          </cell>
          <cell r="H725" t="str">
            <v>YVARELA@UTALCA.CL</v>
          </cell>
          <cell r="I725">
            <v>44927</v>
          </cell>
          <cell r="J725">
            <v>46387</v>
          </cell>
          <cell r="K725" t="str">
            <v>CONTRATA</v>
          </cell>
          <cell r="L725" t="str">
            <v>ADMINISTRATIVO</v>
          </cell>
          <cell r="M725" t="str">
            <v>ADMINISTRATIVO</v>
          </cell>
          <cell r="N725" t="str">
            <v>GRADO I.21</v>
          </cell>
          <cell r="O725" t="str">
            <v>TÉC. NIVEL SUPERIOR</v>
          </cell>
          <cell r="P725" t="str">
            <v>ASISTENTE CONTABLE</v>
          </cell>
          <cell r="Q725" t="str">
            <v>TALCA</v>
          </cell>
          <cell r="R725" t="str">
            <v>FACULTAD DE CIENCIAS AGRARIAS</v>
          </cell>
          <cell r="S725" t="str">
            <v>CENTRO DE INOCUIDAD ALIMENTARIA</v>
          </cell>
        </row>
        <row r="726">
          <cell r="A726">
            <v>14556070</v>
          </cell>
          <cell r="B726" t="str">
            <v>14556070</v>
          </cell>
          <cell r="C726" t="str">
            <v>5</v>
          </cell>
          <cell r="D726" t="str">
            <v>ARTIAGA MONTECINOS SANDRA MARY</v>
          </cell>
          <cell r="E726" t="str">
            <v>VGE400005</v>
          </cell>
          <cell r="F726">
            <v>44</v>
          </cell>
          <cell r="G726">
            <v>30</v>
          </cell>
          <cell r="H726" t="str">
            <v>SARTIAGA@UTALCA.CL</v>
          </cell>
          <cell r="I726">
            <v>38718</v>
          </cell>
          <cell r="J726">
            <v>2958465</v>
          </cell>
          <cell r="K726" t="str">
            <v>PLANTA</v>
          </cell>
          <cell r="L726" t="str">
            <v>ADMINISTRATIVO</v>
          </cell>
          <cell r="M726" t="str">
            <v>TÉCNICO</v>
          </cell>
          <cell r="N726" t="str">
            <v>GRADO I.21</v>
          </cell>
          <cell r="O726" t="str">
            <v>TÉC. NIVEL MEDIO</v>
          </cell>
          <cell r="P726" t="str">
            <v>TÉCNICO EN ADMINISTRACIÒN DE EMPRESAS</v>
          </cell>
          <cell r="Q726" t="str">
            <v>TALCA</v>
          </cell>
          <cell r="R726" t="str">
            <v>VIC. GESTIÓN ECONÓMICA Y ADMINISTRACIÓN</v>
          </cell>
          <cell r="S726" t="str">
            <v>DEPARTAMENTO DE GESTIÓN DE COMPRAS</v>
          </cell>
        </row>
        <row r="727">
          <cell r="A727">
            <v>14558374</v>
          </cell>
          <cell r="B727" t="str">
            <v>14558374</v>
          </cell>
          <cell r="C727" t="str">
            <v>8</v>
          </cell>
          <cell r="D727" t="str">
            <v>ABARCA QUINTEROS TERESA MACARE</v>
          </cell>
          <cell r="E727" t="str">
            <v>FED200001</v>
          </cell>
          <cell r="F727">
            <v>44</v>
          </cell>
          <cell r="G727">
            <v>30</v>
          </cell>
          <cell r="H727" t="str">
            <v>TABARCA@UTALCA.CL</v>
          </cell>
          <cell r="I727">
            <v>42095</v>
          </cell>
          <cell r="J727">
            <v>2958465</v>
          </cell>
          <cell r="K727" t="str">
            <v>PLANTA</v>
          </cell>
          <cell r="L727" t="str">
            <v>ADMINISTRATIVO</v>
          </cell>
          <cell r="M727" t="str">
            <v>ADMINISTRATIVO</v>
          </cell>
          <cell r="N727" t="str">
            <v>GRADO I.18</v>
          </cell>
          <cell r="O727" t="str">
            <v>ESCOLARIDAD CIENT HU</v>
          </cell>
          <cell r="P727" t="str">
            <v>LICENCIA ENSEÑANZA MEDIA</v>
          </cell>
          <cell r="Q727" t="str">
            <v>LINARES</v>
          </cell>
          <cell r="R727" t="str">
            <v>FACULTAD DE CIENCIAS DE LA EDUCACIÓN</v>
          </cell>
          <cell r="S727" t="str">
            <v>FACULTAD DE CIENCIAS DE LA EDUCACIÓN</v>
          </cell>
        </row>
        <row r="728">
          <cell r="A728">
            <v>14564385</v>
          </cell>
          <cell r="B728" t="str">
            <v>14564385</v>
          </cell>
          <cell r="C728" t="str">
            <v>6</v>
          </cell>
          <cell r="D728" t="str">
            <v>RAMIREZ TOBAR GUILLERMO MANUEL</v>
          </cell>
          <cell r="E728" t="str">
            <v>FCS200001</v>
          </cell>
          <cell r="F728">
            <v>11</v>
          </cell>
          <cell r="G728">
            <v>30</v>
          </cell>
          <cell r="H728" t="str">
            <v>GRAMIREZ@UTALCA.CL</v>
          </cell>
          <cell r="I728">
            <v>40452</v>
          </cell>
          <cell r="J728">
            <v>46387</v>
          </cell>
          <cell r="K728" t="str">
            <v>CONTRATA</v>
          </cell>
          <cell r="L728" t="str">
            <v>C ESPECIALES</v>
          </cell>
          <cell r="M728" t="str">
            <v>TUTOR(A) PRÁCTICA</v>
          </cell>
          <cell r="N728" t="str">
            <v>SIN GRADO</v>
          </cell>
          <cell r="O728" t="str">
            <v>MAGISTER</v>
          </cell>
          <cell r="P728" t="str">
            <v>MAGÍSTER EN CIENCIAS BIOMÉDICAS MENCIÓN: BIOQ</v>
          </cell>
          <cell r="Q728" t="str">
            <v>TALCA</v>
          </cell>
          <cell r="R728" t="str">
            <v>FACULTAD DE CIENCIAS DE LA SALUD</v>
          </cell>
          <cell r="S728" t="str">
            <v>FACULTAD DE CIENCIAS DE LA SALUD</v>
          </cell>
        </row>
        <row r="729">
          <cell r="A729">
            <v>14565030</v>
          </cell>
          <cell r="B729" t="str">
            <v>14565030</v>
          </cell>
          <cell r="C729" t="str">
            <v>5</v>
          </cell>
          <cell r="D729" t="str">
            <v>ENCINA AGURTO YONATAN JOSE</v>
          </cell>
          <cell r="E729" t="str">
            <v>FPS310001</v>
          </cell>
          <cell r="F729">
            <v>33</v>
          </cell>
          <cell r="G729">
            <v>30</v>
          </cell>
          <cell r="H729" t="str">
            <v>YENCINA@UTALCA.CL</v>
          </cell>
          <cell r="I729">
            <v>43374</v>
          </cell>
          <cell r="J729">
            <v>46446</v>
          </cell>
          <cell r="K729" t="str">
            <v>CONTRATA</v>
          </cell>
          <cell r="L729" t="str">
            <v>CA DOCENTE</v>
          </cell>
          <cell r="M729" t="str">
            <v>PROFESOR ASISTENTE</v>
          </cell>
          <cell r="N729" t="str">
            <v>GRADO C</v>
          </cell>
          <cell r="O729" t="str">
            <v>MAGISTER</v>
          </cell>
          <cell r="P729" t="str">
            <v>MAGÍSTER EN PSICOLOGÍA CON MENCIÓN EN PSICOLO</v>
          </cell>
          <cell r="Q729" t="str">
            <v>TALCA</v>
          </cell>
          <cell r="R729" t="str">
            <v>FACULTAD DE PSICOLOGÍA</v>
          </cell>
          <cell r="S729" t="str">
            <v>ESCUELA DE PSICOLOGÍA</v>
          </cell>
        </row>
        <row r="730">
          <cell r="A730">
            <v>14569931</v>
          </cell>
          <cell r="B730" t="str">
            <v>14569931</v>
          </cell>
          <cell r="C730" t="str">
            <v>2</v>
          </cell>
          <cell r="D730" t="str">
            <v>MARTINEZ MARTINEZ MAGDA LUCIA</v>
          </cell>
          <cell r="E730" t="str">
            <v>FOD200001</v>
          </cell>
          <cell r="F730">
            <v>15</v>
          </cell>
          <cell r="G730">
            <v>30</v>
          </cell>
          <cell r="H730" t="str">
            <v>MMARTINEZ@UTALCA.CL</v>
          </cell>
          <cell r="I730">
            <v>37712</v>
          </cell>
          <cell r="J730">
            <v>46387</v>
          </cell>
          <cell r="K730" t="str">
            <v>CONTRATA</v>
          </cell>
          <cell r="L730" t="str">
            <v>C ESPECIALES</v>
          </cell>
          <cell r="M730" t="str">
            <v>TUTOR(A) PRÁCTICA</v>
          </cell>
          <cell r="N730" t="str">
            <v>SIN GRADO</v>
          </cell>
          <cell r="O730" t="str">
            <v>MAGISTER</v>
          </cell>
          <cell r="P730" t="str">
            <v>MAGÍSTER EN FISIOPATOLOGÍA CRANEO CERVICAL, C</v>
          </cell>
          <cell r="Q730" t="str">
            <v>TALCA</v>
          </cell>
          <cell r="R730" t="str">
            <v>FACULTAD DE ODONTOLOGÍA</v>
          </cell>
          <cell r="S730" t="str">
            <v>FACULTAD DE ODONTOLOGÍA</v>
          </cell>
        </row>
        <row r="731">
          <cell r="A731">
            <v>14571629</v>
          </cell>
          <cell r="B731" t="str">
            <v>14571629</v>
          </cell>
          <cell r="C731" t="str">
            <v>2</v>
          </cell>
          <cell r="D731" t="str">
            <v>DOLL . URSULA MARIA</v>
          </cell>
          <cell r="E731" t="str">
            <v>FCA200001</v>
          </cell>
          <cell r="F731">
            <v>11</v>
          </cell>
          <cell r="G731">
            <v>30</v>
          </cell>
          <cell r="H731" t="str">
            <v>UDOLL@UTALCA.CL</v>
          </cell>
          <cell r="I731">
            <v>34982</v>
          </cell>
          <cell r="J731">
            <v>46387</v>
          </cell>
          <cell r="K731" t="str">
            <v>CONTRATA</v>
          </cell>
          <cell r="L731" t="str">
            <v>C ESPECIALES</v>
          </cell>
          <cell r="M731" t="str">
            <v>TUTOR(A) PRÁCTICA</v>
          </cell>
          <cell r="N731" t="str">
            <v>SIN GRADO</v>
          </cell>
          <cell r="O731" t="str">
            <v>DOCTORADO</v>
          </cell>
          <cell r="P731" t="str">
            <v>DOKTORS DER FORSTWISSENSCHAFT</v>
          </cell>
          <cell r="Q731" t="str">
            <v>TALCA</v>
          </cell>
          <cell r="R731" t="str">
            <v>FACULTAD DE CIENCIAS AGRARIAS</v>
          </cell>
          <cell r="S731" t="str">
            <v>FACULTAD DE CIENCIAS AGRARIAS</v>
          </cell>
        </row>
        <row r="732">
          <cell r="A732">
            <v>14571642</v>
          </cell>
          <cell r="B732" t="str">
            <v>14571642</v>
          </cell>
          <cell r="C732" t="str">
            <v>K</v>
          </cell>
          <cell r="D732" t="str">
            <v>MARQUEZ CABRERA ALEJANDRA ENIF</v>
          </cell>
          <cell r="E732" t="str">
            <v>FCJ320004</v>
          </cell>
          <cell r="F732">
            <v>22</v>
          </cell>
          <cell r="G732">
            <v>30</v>
          </cell>
          <cell r="H732" t="str">
            <v>ALEJANDRA.MARQUEZ@UTALCA.CL</v>
          </cell>
          <cell r="I732">
            <v>43678</v>
          </cell>
          <cell r="J732">
            <v>46446</v>
          </cell>
          <cell r="K732" t="str">
            <v>CONTRATA</v>
          </cell>
          <cell r="L732" t="str">
            <v>CA DOCENTE</v>
          </cell>
          <cell r="M732" t="str">
            <v>PROFESOR ASISTENTE</v>
          </cell>
          <cell r="N732" t="str">
            <v>GRADO C</v>
          </cell>
          <cell r="O732" t="str">
            <v>MAGISTER</v>
          </cell>
          <cell r="P732" t="str">
            <v>MAGÍSTER EN CIENCIA POLÍTICA CON MENCIÓN EN R</v>
          </cell>
          <cell r="Q732" t="str">
            <v>SANTIAGO</v>
          </cell>
          <cell r="R732" t="str">
            <v>FACULTAD CIENCIAS JURÍDICAS Y SOCIALES</v>
          </cell>
          <cell r="S732" t="str">
            <v>DPTO. CNCIA. POLÍTICA Y ADMÓN. PÚBLICA</v>
          </cell>
        </row>
        <row r="733">
          <cell r="A733">
            <v>14575310</v>
          </cell>
          <cell r="B733" t="str">
            <v>14575310</v>
          </cell>
          <cell r="C733" t="str">
            <v>4</v>
          </cell>
          <cell r="D733" t="str">
            <v>GAJARDO MARTINEZ PAOLA FRANCIS</v>
          </cell>
          <cell r="E733" t="str">
            <v>FCS320007</v>
          </cell>
          <cell r="F733">
            <v>44</v>
          </cell>
          <cell r="G733">
            <v>30</v>
          </cell>
          <cell r="H733" t="str">
            <v>PAOLA.GAJARDO@UTALCA.CL</v>
          </cell>
          <cell r="I733">
            <v>44986</v>
          </cell>
          <cell r="J733">
            <v>46446</v>
          </cell>
          <cell r="K733" t="str">
            <v>CONTRATA</v>
          </cell>
          <cell r="L733" t="str">
            <v>CA DOCENTE</v>
          </cell>
          <cell r="M733" t="str">
            <v>INSTRUCTOR</v>
          </cell>
          <cell r="N733" t="str">
            <v>GRADO D</v>
          </cell>
          <cell r="O733" t="str">
            <v>MAGISTER</v>
          </cell>
          <cell r="P733" t="str">
            <v>MAGISTER EN NEUROCIENCIAS</v>
          </cell>
          <cell r="Q733" t="str">
            <v>TALCA</v>
          </cell>
          <cell r="R733" t="str">
            <v>FACULTAD DE CIENCIAS DE LA SALUD</v>
          </cell>
          <cell r="S733" t="str">
            <v>DPTO. DE CIENCIAS BÁSICAS BIOMÉDICAS</v>
          </cell>
        </row>
        <row r="734">
          <cell r="A734">
            <v>14578387</v>
          </cell>
          <cell r="B734" t="str">
            <v>14578387</v>
          </cell>
          <cell r="C734" t="str">
            <v>9</v>
          </cell>
          <cell r="D734" t="str">
            <v>BUSTOS QUINTANA GASTON GUILLER</v>
          </cell>
          <cell r="E734" t="str">
            <v>VRF400061</v>
          </cell>
          <cell r="F734">
            <v>44</v>
          </cell>
          <cell r="G734">
            <v>30</v>
          </cell>
          <cell r="H734" t="str">
            <v>GASTON.BUSTOS@UTALCA.CL</v>
          </cell>
          <cell r="I734">
            <v>44621</v>
          </cell>
          <cell r="J734">
            <v>46387</v>
          </cell>
          <cell r="K734" t="str">
            <v>CONTRATA</v>
          </cell>
          <cell r="L734" t="str">
            <v>PROFESIONAL</v>
          </cell>
          <cell r="M734" t="str">
            <v>PROFESIONAL</v>
          </cell>
          <cell r="N734" t="str">
            <v>GRADO I.17</v>
          </cell>
          <cell r="O734" t="str">
            <v>MAGISTER</v>
          </cell>
          <cell r="P734" t="str">
            <v>MAGISTER EN COACHING ORGANIZACIONAL</v>
          </cell>
          <cell r="Q734" t="str">
            <v>TALCA</v>
          </cell>
          <cell r="R734" t="str">
            <v>VICERRECTORÍA DE FORMACIÓN</v>
          </cell>
          <cell r="S734" t="str">
            <v>UNIDAD DE RECURSOS DIGITALES DOCENTES</v>
          </cell>
        </row>
        <row r="735">
          <cell r="A735">
            <v>14580788</v>
          </cell>
          <cell r="B735" t="str">
            <v>14580788</v>
          </cell>
          <cell r="C735" t="str">
            <v>3</v>
          </cell>
          <cell r="D735" t="str">
            <v>VASQUEZ IBARRA SONIA FRANCISCA</v>
          </cell>
          <cell r="E735" t="str">
            <v>FOD320002</v>
          </cell>
          <cell r="F735">
            <v>33</v>
          </cell>
          <cell r="G735">
            <v>30</v>
          </cell>
          <cell r="H735" t="str">
            <v>SVASQUEZ@UTALCA.CL</v>
          </cell>
          <cell r="I735">
            <v>39508</v>
          </cell>
          <cell r="J735">
            <v>46446</v>
          </cell>
          <cell r="K735" t="str">
            <v>CONTRATA</v>
          </cell>
          <cell r="L735" t="str">
            <v>CA DOCENTE</v>
          </cell>
          <cell r="M735" t="str">
            <v>PROFESOR ASISTENTE</v>
          </cell>
          <cell r="N735" t="str">
            <v>GRADO C</v>
          </cell>
          <cell r="O735" t="str">
            <v>MAGISTER</v>
          </cell>
          <cell r="P735" t="str">
            <v>MAGISTER EN CIENCIAS BIOMEDICAS MENCIÓN MICRO</v>
          </cell>
          <cell r="Q735" t="str">
            <v>TALCA</v>
          </cell>
          <cell r="R735" t="str">
            <v>FACULTAD DE ODONTOLOGÍA</v>
          </cell>
          <cell r="S735" t="str">
            <v>DEPARTAMENTO DE ESTOMATOLOGÍA</v>
          </cell>
        </row>
        <row r="736">
          <cell r="A736">
            <v>14595141</v>
          </cell>
          <cell r="B736" t="str">
            <v>14595141</v>
          </cell>
          <cell r="C736" t="str">
            <v>0</v>
          </cell>
          <cell r="D736" t="str">
            <v>CHAMORRO POBLETE SANDRA ISABEL</v>
          </cell>
          <cell r="E736" t="str">
            <v>FCJ200001</v>
          </cell>
          <cell r="F736">
            <v>44</v>
          </cell>
          <cell r="G736">
            <v>30</v>
          </cell>
          <cell r="H736" t="str">
            <v>SCHAMORRO@UTALCA.CL</v>
          </cell>
          <cell r="I736">
            <v>38899</v>
          </cell>
          <cell r="J736">
            <v>2958465</v>
          </cell>
          <cell r="K736" t="str">
            <v>PLANTA</v>
          </cell>
          <cell r="L736" t="str">
            <v>ADMINISTRATIVO</v>
          </cell>
          <cell r="M736" t="str">
            <v>ADMINISTRATIVO</v>
          </cell>
          <cell r="N736" t="str">
            <v>GRADO I.18</v>
          </cell>
          <cell r="O736" t="str">
            <v>TÉC. NIVEL SUPERIOR</v>
          </cell>
          <cell r="P736" t="str">
            <v>SECRETARIA EJECUTIVA COMPUTACIONAL</v>
          </cell>
          <cell r="Q736" t="str">
            <v>TALCA</v>
          </cell>
          <cell r="R736" t="str">
            <v>FACULTAD CIENCIAS JURÍDICAS Y SOCIALES</v>
          </cell>
          <cell r="S736" t="str">
            <v>FACULTAD CIENCIAS JURÍDICAS Y SOCIALES</v>
          </cell>
        </row>
        <row r="737">
          <cell r="A737">
            <v>14596078</v>
          </cell>
          <cell r="B737" t="str">
            <v>14596078</v>
          </cell>
          <cell r="C737" t="str">
            <v>9</v>
          </cell>
          <cell r="D737" t="str">
            <v>SCHAFFERNICHT . MARTIN FRANZ G</v>
          </cell>
          <cell r="E737" t="str">
            <v>FEN310002</v>
          </cell>
          <cell r="F737">
            <v>44</v>
          </cell>
          <cell r="G737">
            <v>30</v>
          </cell>
          <cell r="H737" t="str">
            <v>MARTIN@UTALCA.CL</v>
          </cell>
          <cell r="I737">
            <v>34700</v>
          </cell>
          <cell r="J737">
            <v>2958465</v>
          </cell>
          <cell r="K737" t="str">
            <v>PLANTA</v>
          </cell>
          <cell r="L737" t="str">
            <v>CA ORDINARIA</v>
          </cell>
          <cell r="M737" t="str">
            <v>PROFESOR ASOCIADO</v>
          </cell>
          <cell r="N737" t="str">
            <v>GRADO B</v>
          </cell>
          <cell r="O737" t="str">
            <v>DOCTORADO</v>
          </cell>
          <cell r="P737" t="str">
            <v>DOCTOR EN CIENCIAS DE GESTION</v>
          </cell>
          <cell r="Q737" t="str">
            <v>TALCA</v>
          </cell>
          <cell r="R737" t="str">
            <v>FACULTAD DE ECONOMÍA Y NEGOCIOS</v>
          </cell>
          <cell r="S737" t="str">
            <v>ESC. DE ING. INFORMÁTICA EMPRESARIAL</v>
          </cell>
        </row>
        <row r="738">
          <cell r="A738">
            <v>14598968</v>
          </cell>
          <cell r="B738" t="str">
            <v>14598968</v>
          </cell>
          <cell r="C738" t="str">
            <v>K</v>
          </cell>
          <cell r="D738" t="str">
            <v>GONZALEZ DIAZ CAROLINA DE LAS</v>
          </cell>
          <cell r="E738" t="str">
            <v>VRF400001</v>
          </cell>
          <cell r="F738">
            <v>44</v>
          </cell>
          <cell r="G738">
            <v>30</v>
          </cell>
          <cell r="H738" t="str">
            <v>CAROLINA.GONZALEZD@UTALCA.CL</v>
          </cell>
          <cell r="I738">
            <v>44704</v>
          </cell>
          <cell r="J738">
            <v>46387</v>
          </cell>
          <cell r="K738" t="str">
            <v>CONTRATA</v>
          </cell>
          <cell r="L738" t="str">
            <v>ADMINISTRATIVO</v>
          </cell>
          <cell r="M738" t="str">
            <v>ADMINISTRATIVO</v>
          </cell>
          <cell r="N738" t="str">
            <v>GRADO I.21</v>
          </cell>
          <cell r="O738" t="str">
            <v>TÉC. NIVEL MEDIO</v>
          </cell>
          <cell r="P738" t="str">
            <v>SECRETARIA EJECUTIVA</v>
          </cell>
          <cell r="Q738" t="str">
            <v>TALCA</v>
          </cell>
          <cell r="R738" t="str">
            <v>VICERRECTORÍA DE FORMACIÓN</v>
          </cell>
          <cell r="S738" t="str">
            <v>DIRECCIÓN DE PREGRADO</v>
          </cell>
        </row>
        <row r="739">
          <cell r="A739">
            <v>14671603</v>
          </cell>
          <cell r="B739" t="str">
            <v>14671603</v>
          </cell>
          <cell r="C739" t="str">
            <v>2</v>
          </cell>
          <cell r="D739" t="str">
            <v>TROFIMCHUK . SERGEI</v>
          </cell>
          <cell r="E739" t="str">
            <v>IMF300001</v>
          </cell>
          <cell r="F739">
            <v>44</v>
          </cell>
          <cell r="G739">
            <v>30</v>
          </cell>
          <cell r="H739" t="str">
            <v>STROFIMCHUK@UTALCA.CL</v>
          </cell>
          <cell r="I739">
            <v>37987</v>
          </cell>
          <cell r="J739">
            <v>2958465</v>
          </cell>
          <cell r="K739" t="str">
            <v>PLANTA</v>
          </cell>
          <cell r="L739" t="str">
            <v>CA ORDINARIA</v>
          </cell>
          <cell r="M739" t="str">
            <v>PROFESOR TITULAR</v>
          </cell>
          <cell r="N739" t="str">
            <v>GRADO A</v>
          </cell>
          <cell r="O739" t="str">
            <v>DOCTORADO</v>
          </cell>
          <cell r="P739" t="str">
            <v>DOCTOR EN CIENCIAS FISICO- MATEMATICAS</v>
          </cell>
          <cell r="Q739" t="str">
            <v>TALCA</v>
          </cell>
          <cell r="R739" t="str">
            <v>INSTITUTO DE MATEMÁTICAS</v>
          </cell>
          <cell r="S739" t="str">
            <v>INSTITUTO DE MATEMÁTICAS</v>
          </cell>
        </row>
        <row r="740">
          <cell r="A740">
            <v>14671622</v>
          </cell>
          <cell r="B740" t="str">
            <v>14671622</v>
          </cell>
          <cell r="C740" t="str">
            <v>9</v>
          </cell>
          <cell r="D740" t="str">
            <v>VAN DIEJEN . JAN FELIPE</v>
          </cell>
          <cell r="E740" t="str">
            <v>IMF300001</v>
          </cell>
          <cell r="F740">
            <v>44</v>
          </cell>
          <cell r="G740">
            <v>30</v>
          </cell>
          <cell r="H740" t="str">
            <v>FVAN@UTALCA.CL</v>
          </cell>
          <cell r="I740">
            <v>36951</v>
          </cell>
          <cell r="J740">
            <v>2958465</v>
          </cell>
          <cell r="K740" t="str">
            <v>PLANTA</v>
          </cell>
          <cell r="L740" t="str">
            <v>CA ORDINARIA</v>
          </cell>
          <cell r="M740" t="str">
            <v>PROFESOR TITULAR</v>
          </cell>
          <cell r="N740" t="str">
            <v>GRADO A</v>
          </cell>
          <cell r="O740" t="str">
            <v>DOCTORADO</v>
          </cell>
          <cell r="P740" t="str">
            <v>DOCTOR EN MATEMÁTICAS E INFORMÀTICA</v>
          </cell>
          <cell r="Q740" t="str">
            <v>TALCA</v>
          </cell>
          <cell r="R740" t="str">
            <v>INSTITUTO DE MATEMÁTICAS</v>
          </cell>
          <cell r="S740" t="str">
            <v>INSTITUTO DE MATEMÁTICAS</v>
          </cell>
        </row>
        <row r="741">
          <cell r="A741">
            <v>14695891</v>
          </cell>
          <cell r="B741" t="str">
            <v>14695891</v>
          </cell>
          <cell r="C741" t="str">
            <v>5</v>
          </cell>
          <cell r="D741" t="str">
            <v>EGAS EGAS CLAUDIA LUCIA DE LOS</v>
          </cell>
          <cell r="E741" t="str">
            <v>ICB310001</v>
          </cell>
          <cell r="F741">
            <v>44</v>
          </cell>
          <cell r="G741">
            <v>30</v>
          </cell>
          <cell r="H741" t="str">
            <v>CLAUDIA.EGAS@UTALCA.CL</v>
          </cell>
          <cell r="I741">
            <v>45352</v>
          </cell>
          <cell r="J741">
            <v>46446</v>
          </cell>
          <cell r="K741" t="str">
            <v>CONTRATA</v>
          </cell>
          <cell r="L741" t="str">
            <v>CA DOCENTE</v>
          </cell>
          <cell r="M741" t="str">
            <v>INSTRUCTOR</v>
          </cell>
          <cell r="N741" t="str">
            <v>GRADO D</v>
          </cell>
          <cell r="O741" t="str">
            <v>DOCTORADO</v>
          </cell>
          <cell r="P741" t="str">
            <v>DOCTORA EN CIENCIAS MENCION INGENIERIA GENETI</v>
          </cell>
          <cell r="Q741" t="str">
            <v>TALCA</v>
          </cell>
          <cell r="R741" t="str">
            <v>INSTITUTO DE CIENCIAS BIOLÓGICAS</v>
          </cell>
          <cell r="S741" t="str">
            <v>ESCUELA DE BIOQUÍMICA</v>
          </cell>
        </row>
        <row r="742">
          <cell r="A742">
            <v>14709051</v>
          </cell>
          <cell r="B742" t="str">
            <v>14709051</v>
          </cell>
          <cell r="C742" t="str">
            <v>K</v>
          </cell>
          <cell r="D742" t="str">
            <v>KLERKX  LAURENTIUS WILHELMUS A</v>
          </cell>
          <cell r="E742" t="str">
            <v>FCA320001</v>
          </cell>
          <cell r="F742">
            <v>44</v>
          </cell>
          <cell r="G742">
            <v>30</v>
          </cell>
          <cell r="H742" t="str">
            <v>LAURENS.KLERKX@UTALCA.CL</v>
          </cell>
          <cell r="I742">
            <v>44866</v>
          </cell>
          <cell r="J742">
            <v>2958465</v>
          </cell>
          <cell r="K742" t="str">
            <v>PLANTA</v>
          </cell>
          <cell r="L742" t="str">
            <v>CA ORDINARIA</v>
          </cell>
          <cell r="M742" t="str">
            <v>PROFESOR TITULAR</v>
          </cell>
          <cell r="N742" t="str">
            <v>GRADO A</v>
          </cell>
          <cell r="O742" t="str">
            <v>DOCTORADO</v>
          </cell>
          <cell r="P742" t="str">
            <v>LAURENTIUS WILHELMUS ADRIANUS KLERKX</v>
          </cell>
          <cell r="Q742" t="str">
            <v>TALCA</v>
          </cell>
          <cell r="R742" t="str">
            <v>FACULTAD DE CIENCIAS AGRARIAS</v>
          </cell>
          <cell r="S742" t="str">
            <v>DEPARTAMENTO DE ECONOMÍA AGRARIA</v>
          </cell>
        </row>
        <row r="743">
          <cell r="A743">
            <v>14714199</v>
          </cell>
          <cell r="B743" t="str">
            <v>14714199</v>
          </cell>
          <cell r="C743" t="str">
            <v>8</v>
          </cell>
          <cell r="D743" t="str">
            <v>VIDAL GARCIA IGNACIO</v>
          </cell>
          <cell r="E743" t="str">
            <v>IMF300001</v>
          </cell>
          <cell r="F743">
            <v>44</v>
          </cell>
          <cell r="G743">
            <v>30</v>
          </cell>
          <cell r="H743" t="str">
            <v>IVIDAL@UTALCA.CL</v>
          </cell>
          <cell r="I743">
            <v>37834</v>
          </cell>
          <cell r="J743">
            <v>2958465</v>
          </cell>
          <cell r="K743" t="str">
            <v>PLANTA</v>
          </cell>
          <cell r="L743" t="str">
            <v>CA ORDINARIA</v>
          </cell>
          <cell r="M743" t="str">
            <v>PROFESOR ASOCIADO</v>
          </cell>
          <cell r="N743" t="str">
            <v>GRADO B</v>
          </cell>
          <cell r="O743" t="str">
            <v>DOCTORADO</v>
          </cell>
          <cell r="P743" t="str">
            <v>DOCTORADO EN ESTADÍSTICAS</v>
          </cell>
          <cell r="Q743" t="str">
            <v>TALCA</v>
          </cell>
          <cell r="R743" t="str">
            <v>INSTITUTO DE MATEMÁTICAS</v>
          </cell>
          <cell r="S743" t="str">
            <v>INSTITUTO DE MATEMÁTICAS</v>
          </cell>
        </row>
        <row r="744">
          <cell r="A744">
            <v>14754234</v>
          </cell>
          <cell r="B744" t="str">
            <v>14754234</v>
          </cell>
          <cell r="C744" t="str">
            <v>8</v>
          </cell>
          <cell r="D744" t="str">
            <v>ALZATE MORALES JANS HUMBERTO</v>
          </cell>
          <cell r="E744" t="str">
            <v>FCI320001</v>
          </cell>
          <cell r="F744">
            <v>44</v>
          </cell>
          <cell r="G744">
            <v>0</v>
          </cell>
          <cell r="H744" t="str">
            <v>JALZATE@UTALCA.CL</v>
          </cell>
          <cell r="I744">
            <v>40544</v>
          </cell>
          <cell r="J744">
            <v>2958465</v>
          </cell>
          <cell r="K744" t="str">
            <v>PLANTA</v>
          </cell>
          <cell r="L744" t="str">
            <v>CA ORDINARIA</v>
          </cell>
          <cell r="M744" t="str">
            <v>PROFESOR ASOCIADO</v>
          </cell>
          <cell r="N744" t="str">
            <v>GRADO B</v>
          </cell>
          <cell r="O744" t="str">
            <v>DOCTORADO</v>
          </cell>
          <cell r="P744" t="str">
            <v>DOCTOR EN QUIMICA</v>
          </cell>
          <cell r="Q744" t="str">
            <v>TALCA</v>
          </cell>
          <cell r="R744" t="str">
            <v>FACULTAD DE INGENIERÍA</v>
          </cell>
          <cell r="S744" t="str">
            <v>DEPARTAMENTO DE BIOINFORMÁTICA</v>
          </cell>
        </row>
        <row r="745">
          <cell r="A745">
            <v>14757121</v>
          </cell>
          <cell r="B745" t="str">
            <v>14757121</v>
          </cell>
          <cell r="C745" t="str">
            <v>6</v>
          </cell>
          <cell r="D745" t="str">
            <v>HASSAINE . MOKHTAR</v>
          </cell>
          <cell r="E745" t="str">
            <v>IMF300001</v>
          </cell>
          <cell r="F745">
            <v>44</v>
          </cell>
          <cell r="G745">
            <v>30</v>
          </cell>
          <cell r="H745" t="str">
            <v>MHASSAINE@UTALCA.CL</v>
          </cell>
          <cell r="I745">
            <v>38412</v>
          </cell>
          <cell r="J745">
            <v>2958465</v>
          </cell>
          <cell r="K745" t="str">
            <v>PLANTA</v>
          </cell>
          <cell r="L745" t="str">
            <v>CA ORDINARIA</v>
          </cell>
          <cell r="M745" t="str">
            <v>PROFESOR TITULAR</v>
          </cell>
          <cell r="N745" t="str">
            <v>GRADO A</v>
          </cell>
          <cell r="O745" t="str">
            <v>DOCTORADO</v>
          </cell>
          <cell r="P745" t="str">
            <v>DOCTORADO EN MATEMATICAS</v>
          </cell>
          <cell r="Q745" t="str">
            <v>TALCA</v>
          </cell>
          <cell r="R745" t="str">
            <v>INSTITUTO DE MATEMÁTICAS</v>
          </cell>
          <cell r="S745" t="str">
            <v>INSTITUTO DE MATEMÁTICAS</v>
          </cell>
        </row>
        <row r="746">
          <cell r="A746">
            <v>14760539</v>
          </cell>
          <cell r="B746" t="str">
            <v>14760539</v>
          </cell>
          <cell r="C746" t="str">
            <v>0</v>
          </cell>
          <cell r="D746" t="str">
            <v>ANGLES ROJAS RENZO</v>
          </cell>
          <cell r="E746" t="str">
            <v>FCI320003</v>
          </cell>
          <cell r="F746">
            <v>44</v>
          </cell>
          <cell r="G746">
            <v>30</v>
          </cell>
          <cell r="H746" t="str">
            <v>RANGLES@UTALCA.CL</v>
          </cell>
          <cell r="I746">
            <v>39904</v>
          </cell>
          <cell r="J746">
            <v>2958465</v>
          </cell>
          <cell r="K746" t="str">
            <v>PLANTA</v>
          </cell>
          <cell r="L746" t="str">
            <v>CA ORDINARIA</v>
          </cell>
          <cell r="M746" t="str">
            <v>PROFESOR ASOCIADO</v>
          </cell>
          <cell r="N746" t="str">
            <v>GRADO B</v>
          </cell>
          <cell r="O746" t="str">
            <v>DOCTORADO</v>
          </cell>
          <cell r="P746" t="str">
            <v>DOCTORADO EN CIENCIAS MENCION COMPUTACION</v>
          </cell>
          <cell r="Q746" t="str">
            <v>CURICO</v>
          </cell>
          <cell r="R746" t="str">
            <v>FACULTAD DE INGENIERÍA</v>
          </cell>
          <cell r="S746" t="str">
            <v>DPTO. DE CIENCIAS DE LA COMPUTACIÓN</v>
          </cell>
        </row>
        <row r="747">
          <cell r="A747">
            <v>14762391</v>
          </cell>
          <cell r="B747" t="str">
            <v>14762391</v>
          </cell>
          <cell r="C747" t="str">
            <v>7</v>
          </cell>
          <cell r="D747" t="str">
            <v>LAPOINTE . LUC</v>
          </cell>
          <cell r="E747" t="str">
            <v>IMF300001</v>
          </cell>
          <cell r="F747">
            <v>44</v>
          </cell>
          <cell r="G747">
            <v>30</v>
          </cell>
          <cell r="H747" t="str">
            <v>LLAPOINTE@UTALCA.CL</v>
          </cell>
          <cell r="I747">
            <v>37500</v>
          </cell>
          <cell r="J747">
            <v>2958465</v>
          </cell>
          <cell r="K747" t="str">
            <v>PLANTA</v>
          </cell>
          <cell r="L747" t="str">
            <v>CA ORDINARIA</v>
          </cell>
          <cell r="M747" t="str">
            <v>PROFESOR TITULAR</v>
          </cell>
          <cell r="N747" t="str">
            <v>GRADO A</v>
          </cell>
          <cell r="O747" t="str">
            <v>DOCTORADO</v>
          </cell>
          <cell r="P747" t="str">
            <v>PHILOSOPHIAE DOCTOR</v>
          </cell>
          <cell r="Q747" t="str">
            <v>TALCA</v>
          </cell>
          <cell r="R747" t="str">
            <v>INSTITUTO DE MATEMÁTICAS</v>
          </cell>
          <cell r="S747" t="str">
            <v>INSTITUTO DE MATEMÁTICAS</v>
          </cell>
        </row>
        <row r="748">
          <cell r="A748">
            <v>14900356</v>
          </cell>
          <cell r="B748" t="str">
            <v>14900356</v>
          </cell>
          <cell r="C748" t="str">
            <v>8</v>
          </cell>
          <cell r="D748" t="str">
            <v>FUENTES CARRASCO PAULA ANDREA</v>
          </cell>
          <cell r="E748" t="str">
            <v>ADC030110</v>
          </cell>
          <cell r="F748">
            <v>44</v>
          </cell>
          <cell r="G748">
            <v>30</v>
          </cell>
          <cell r="H748" t="str">
            <v>PFUENTESC@UTALCA.CL</v>
          </cell>
          <cell r="I748">
            <v>43101</v>
          </cell>
          <cell r="J748">
            <v>2958465</v>
          </cell>
          <cell r="K748" t="str">
            <v>PLANTA</v>
          </cell>
          <cell r="L748" t="str">
            <v>ADMINISTRATIVO</v>
          </cell>
          <cell r="M748" t="str">
            <v>ADMINISTRATIVO</v>
          </cell>
          <cell r="N748" t="str">
            <v>GRADO I.20</v>
          </cell>
          <cell r="O748" t="str">
            <v>TÉC. NIVEL SUPERIOR</v>
          </cell>
          <cell r="P748" t="str">
            <v>SECRETARIA EJECUTIVA COMPUTACIONAL</v>
          </cell>
          <cell r="Q748" t="str">
            <v>TALCA</v>
          </cell>
          <cell r="R748" t="str">
            <v>DIRECCIÓN DE ASEGURAMIENTO DE LA CALIDAD</v>
          </cell>
          <cell r="S748" t="str">
            <v>DIRECCIÓN DE ASEGURAMIENTO DE LA CALIDAD</v>
          </cell>
        </row>
        <row r="749">
          <cell r="A749">
            <v>15013097</v>
          </cell>
          <cell r="B749" t="str">
            <v>15013097</v>
          </cell>
          <cell r="C749" t="str">
            <v>2</v>
          </cell>
          <cell r="D749" t="str">
            <v>ALVAREZ MIRANDA EDUARDO ANDRE</v>
          </cell>
          <cell r="E749" t="str">
            <v>FCI320002</v>
          </cell>
          <cell r="F749">
            <v>44</v>
          </cell>
          <cell r="G749">
            <v>30</v>
          </cell>
          <cell r="H749" t="str">
            <v>EALVAREZ@UTALCA.CL</v>
          </cell>
          <cell r="I749">
            <v>41491</v>
          </cell>
          <cell r="J749">
            <v>2958465</v>
          </cell>
          <cell r="K749" t="str">
            <v>PLANTA</v>
          </cell>
          <cell r="L749" t="str">
            <v>CA ORDINARIA</v>
          </cell>
          <cell r="M749" t="str">
            <v>PROFESOR TITULAR</v>
          </cell>
          <cell r="N749" t="str">
            <v>GRADO A</v>
          </cell>
          <cell r="O749" t="str">
            <v>DOCTORADO</v>
          </cell>
          <cell r="P749" t="str">
            <v>PHD AUTOMÁTICA E RICERCA OPERATIVA</v>
          </cell>
          <cell r="Q749" t="str">
            <v>TALCA</v>
          </cell>
          <cell r="R749" t="str">
            <v>FACULTAD DE INGENIERÍA</v>
          </cell>
          <cell r="S749" t="str">
            <v>DEPARTAMENTO DE INGENIERÍA INDUSTRIAL</v>
          </cell>
        </row>
        <row r="750">
          <cell r="A750">
            <v>15023230</v>
          </cell>
          <cell r="B750" t="str">
            <v>15023230</v>
          </cell>
          <cell r="C750" t="str">
            <v>9</v>
          </cell>
          <cell r="D750" t="str">
            <v>MIRANDA FERNANDEZ CRISTIAN DAN</v>
          </cell>
          <cell r="E750" t="str">
            <v>FCS320012</v>
          </cell>
          <cell r="F750">
            <v>44</v>
          </cell>
          <cell r="G750">
            <v>30</v>
          </cell>
          <cell r="H750" t="str">
            <v>CRMIRANDA@UTALCA.CL</v>
          </cell>
          <cell r="I750">
            <v>43101</v>
          </cell>
          <cell r="J750">
            <v>46387</v>
          </cell>
          <cell r="K750" t="str">
            <v>CONTRATA</v>
          </cell>
          <cell r="L750" t="str">
            <v>ADMINISTRATIVO</v>
          </cell>
          <cell r="M750" t="str">
            <v>ADMINISTRATIVO</v>
          </cell>
          <cell r="N750" t="str">
            <v>GRADO I.21</v>
          </cell>
          <cell r="O750" t="str">
            <v>TÉC. NIVEL SUPERIOR</v>
          </cell>
          <cell r="P750" t="str">
            <v>TÉCNICO EN ENFERMERÍA DE NIVEL SUPERIOR</v>
          </cell>
          <cell r="Q750" t="str">
            <v>TALCA</v>
          </cell>
          <cell r="R750" t="str">
            <v>FACULTAD DE CIENCIAS DE LA SALUD</v>
          </cell>
          <cell r="S750" t="str">
            <v>DEPTO. CIENCIAS DEL CUIDADO EN ENFERM.</v>
          </cell>
        </row>
        <row r="751">
          <cell r="A751">
            <v>15024997</v>
          </cell>
          <cell r="B751" t="str">
            <v>15024997</v>
          </cell>
          <cell r="C751" t="str">
            <v>K</v>
          </cell>
          <cell r="D751" t="str">
            <v>ZAMBRA CALLOJA SARA OLFA</v>
          </cell>
          <cell r="E751" t="str">
            <v>VGE400020</v>
          </cell>
          <cell r="F751">
            <v>44</v>
          </cell>
          <cell r="G751">
            <v>30</v>
          </cell>
          <cell r="H751" t="str">
            <v>SARA.ZAMBRA@UTALCA.CL</v>
          </cell>
          <cell r="I751">
            <v>44927</v>
          </cell>
          <cell r="J751">
            <v>46387</v>
          </cell>
          <cell r="K751" t="str">
            <v>CONTRATA</v>
          </cell>
          <cell r="L751" t="str">
            <v>PROFESIONAL</v>
          </cell>
          <cell r="M751" t="str">
            <v>PROFESIONAL</v>
          </cell>
          <cell r="N751" t="str">
            <v>GRADO I.17</v>
          </cell>
          <cell r="O751" t="str">
            <v>TÍTULO PROFESIONAL</v>
          </cell>
          <cell r="P751" t="str">
            <v>INGENIERO DE EJECUCION EN CONTRAOL DE GESTIÓN</v>
          </cell>
          <cell r="Q751" t="str">
            <v>TALCA</v>
          </cell>
          <cell r="R751" t="str">
            <v>VIC. GESTIÓN ECONÓMICA Y ADMINISTRACIÓN</v>
          </cell>
          <cell r="S751" t="str">
            <v>DEPARTAMENTO DE TESORERÍA</v>
          </cell>
        </row>
        <row r="752">
          <cell r="A752">
            <v>15097659</v>
          </cell>
          <cell r="B752" t="str">
            <v>15097659</v>
          </cell>
          <cell r="C752" t="str">
            <v>6</v>
          </cell>
          <cell r="D752" t="str">
            <v>ACUÑA RIOS PABLO FERNANDO</v>
          </cell>
          <cell r="E752" t="str">
            <v>FCI320007</v>
          </cell>
          <cell r="F752">
            <v>44</v>
          </cell>
          <cell r="G752">
            <v>30</v>
          </cell>
          <cell r="H752" t="str">
            <v>PABLO.ACUNA@UTALCA.CL</v>
          </cell>
          <cell r="I752">
            <v>43647</v>
          </cell>
          <cell r="J752">
            <v>2958465</v>
          </cell>
          <cell r="K752" t="str">
            <v>PLANTA</v>
          </cell>
          <cell r="L752" t="str">
            <v>CA ORDINARIA</v>
          </cell>
          <cell r="M752" t="str">
            <v>PROFESOR ASOCIADO</v>
          </cell>
          <cell r="N752" t="str">
            <v>GRADO B</v>
          </cell>
          <cell r="O752" t="str">
            <v>DOCTORADO</v>
          </cell>
          <cell r="P752" t="str">
            <v>DOCTOR EN CIENCIAS DE LA INGENIERÍA CON MENCI</v>
          </cell>
          <cell r="Q752" t="str">
            <v>CURICO</v>
          </cell>
          <cell r="R752" t="str">
            <v>FACULTAD DE INGENIERÍA</v>
          </cell>
          <cell r="S752" t="str">
            <v>DEPARTAMENTO DE INGENIERÍA ELÉCTRICA</v>
          </cell>
        </row>
        <row r="753">
          <cell r="A753">
            <v>15129620</v>
          </cell>
          <cell r="B753" t="str">
            <v>15129620</v>
          </cell>
          <cell r="C753" t="str">
            <v>3</v>
          </cell>
          <cell r="D753" t="str">
            <v>VILOS ORTIZ CRISTIAN ANDRES</v>
          </cell>
          <cell r="E753" t="str">
            <v>FAM320001</v>
          </cell>
          <cell r="F753">
            <v>44</v>
          </cell>
          <cell r="G753">
            <v>30</v>
          </cell>
          <cell r="H753" t="str">
            <v>CRISTIAN.VILOS@UTALCA.CL</v>
          </cell>
          <cell r="I753">
            <v>43466</v>
          </cell>
          <cell r="J753">
            <v>2958465</v>
          </cell>
          <cell r="K753" t="str">
            <v>PLANTA</v>
          </cell>
          <cell r="L753" t="str">
            <v>CA ORDINARIA</v>
          </cell>
          <cell r="M753" t="str">
            <v>PROFESOR TITULAR</v>
          </cell>
          <cell r="N753" t="str">
            <v>GRADO A</v>
          </cell>
          <cell r="O753" t="str">
            <v>DOCTORADO</v>
          </cell>
          <cell r="P753" t="str">
            <v>DOCTOR EN BIOTECNOLOGÍA</v>
          </cell>
          <cell r="Q753" t="str">
            <v>TALCA</v>
          </cell>
          <cell r="R753" t="str">
            <v>FACULTAD DE MEDICINA</v>
          </cell>
          <cell r="S753" t="str">
            <v>DEPARTAMENTO DE CIENCIAS PRECLÍNICAS</v>
          </cell>
        </row>
        <row r="754">
          <cell r="A754">
            <v>15130564</v>
          </cell>
          <cell r="B754" t="str">
            <v>15130564</v>
          </cell>
          <cell r="C754" t="str">
            <v>4</v>
          </cell>
          <cell r="D754" t="str">
            <v>LIZANA ORTIZ PAULA ANDREA</v>
          </cell>
          <cell r="E754" t="str">
            <v>VRF400009</v>
          </cell>
          <cell r="F754">
            <v>12</v>
          </cell>
          <cell r="G754">
            <v>30</v>
          </cell>
          <cell r="H754" t="str">
            <v>PLIZANA@UTALCA.CL</v>
          </cell>
          <cell r="I754">
            <v>43525</v>
          </cell>
          <cell r="J754">
            <v>46446</v>
          </cell>
          <cell r="K754" t="str">
            <v>CONTRATA</v>
          </cell>
          <cell r="L754" t="str">
            <v>CA DOCENTE</v>
          </cell>
          <cell r="M754" t="str">
            <v>PROFESOR ASISTENTE</v>
          </cell>
          <cell r="N754" t="str">
            <v>GRADO C</v>
          </cell>
          <cell r="O754" t="str">
            <v>MAGISTER</v>
          </cell>
          <cell r="P754" t="str">
            <v>MAGISTER EN CIENCIAS SOCIALES Y POLITICAS PUB</v>
          </cell>
          <cell r="Q754" t="str">
            <v>TALCA</v>
          </cell>
          <cell r="R754" t="str">
            <v>DIRECCIÓN DE PREGRADO</v>
          </cell>
          <cell r="S754" t="str">
            <v>PROGRAMA DE FORMACIÓN FUNDAMENTAL</v>
          </cell>
        </row>
        <row r="755">
          <cell r="A755">
            <v>15130572</v>
          </cell>
          <cell r="B755" t="str">
            <v>15130572</v>
          </cell>
          <cell r="C755" t="str">
            <v>5</v>
          </cell>
          <cell r="D755" t="str">
            <v>ARAVENA HERRERA MARCELA ANDREA</v>
          </cell>
          <cell r="E755" t="str">
            <v/>
          </cell>
          <cell r="F755">
            <v>30</v>
          </cell>
          <cell r="G755">
            <v>30</v>
          </cell>
          <cell r="H755" t="str">
            <v>MARAVENAH@UTALCA.CL</v>
          </cell>
          <cell r="I755">
            <v>44927</v>
          </cell>
          <cell r="J755">
            <v>46387</v>
          </cell>
          <cell r="K755" t="str">
            <v>CONTRATA</v>
          </cell>
          <cell r="L755" t="str">
            <v>PROFESIONAL</v>
          </cell>
          <cell r="M755" t="str">
            <v>PROFESIONAL</v>
          </cell>
          <cell r="N755" t="str">
            <v>GRADO I.17</v>
          </cell>
          <cell r="O755" t="str">
            <v>TÍTULO PROFESIONAL</v>
          </cell>
          <cell r="P755" t="str">
            <v>INGENIERA EJECUCION EN ADMINISTRACION DE EMPR</v>
          </cell>
          <cell r="Q755" t="str">
            <v>CURICO</v>
          </cell>
          <cell r="R755" t="str">
            <v>FACULTAD DE INGENIERÍA</v>
          </cell>
          <cell r="S755" t="str">
            <v>ESCUELA DE POSTGRADO FACULTAD INGENIERÍA</v>
          </cell>
        </row>
        <row r="756">
          <cell r="A756">
            <v>15130654</v>
          </cell>
          <cell r="B756" t="str">
            <v>15130654</v>
          </cell>
          <cell r="C756" t="str">
            <v>3</v>
          </cell>
          <cell r="D756" t="str">
            <v>VALENZUELA TELLO PRISCILA LORE</v>
          </cell>
          <cell r="E756" t="str">
            <v>FCI310003</v>
          </cell>
          <cell r="F756">
            <v>44</v>
          </cell>
          <cell r="G756">
            <v>30</v>
          </cell>
          <cell r="H756" t="str">
            <v>PRVALENZUELA@UTALCA.CL</v>
          </cell>
          <cell r="I756">
            <v>43466</v>
          </cell>
          <cell r="J756">
            <v>46387</v>
          </cell>
          <cell r="K756" t="str">
            <v>CONTRATA</v>
          </cell>
          <cell r="L756" t="str">
            <v>ADMINISTRATIVO</v>
          </cell>
          <cell r="M756" t="str">
            <v>ADMINISTRATIVO</v>
          </cell>
          <cell r="N756" t="str">
            <v>GRADO I.21</v>
          </cell>
          <cell r="O756" t="str">
            <v>TÉC. NIVEL MEDIO</v>
          </cell>
          <cell r="P756" t="str">
            <v>TÉC  EN ADMINISTRACIÓN FINANCIERA</v>
          </cell>
          <cell r="Q756" t="str">
            <v>CURICO</v>
          </cell>
          <cell r="R756" t="str">
            <v>FACULTAD DE INGENIERÍA</v>
          </cell>
          <cell r="S756" t="str">
            <v>ESCUELA DE INGENIERÍA CIVIL DE MINAS</v>
          </cell>
        </row>
        <row r="757">
          <cell r="A757">
            <v>15131194</v>
          </cell>
          <cell r="B757" t="str">
            <v>15131194</v>
          </cell>
          <cell r="C757" t="str">
            <v>6</v>
          </cell>
          <cell r="D757" t="str">
            <v>PONCE CUBILLOS RODRIGO EDUARDO</v>
          </cell>
          <cell r="E757" t="str">
            <v>IMF300001</v>
          </cell>
          <cell r="F757">
            <v>44</v>
          </cell>
          <cell r="G757">
            <v>30</v>
          </cell>
          <cell r="H757" t="str">
            <v>RPONCE@UTALCA.CL</v>
          </cell>
          <cell r="I757">
            <v>40969</v>
          </cell>
          <cell r="J757">
            <v>2958465</v>
          </cell>
          <cell r="K757" t="str">
            <v>PLANTA</v>
          </cell>
          <cell r="L757" t="str">
            <v>CA ORDINARIA</v>
          </cell>
          <cell r="M757" t="str">
            <v>PROFESOR ASOCIADO</v>
          </cell>
          <cell r="N757" t="str">
            <v>GRADO B</v>
          </cell>
          <cell r="O757" t="str">
            <v>DOCTORADO</v>
          </cell>
          <cell r="P757" t="str">
            <v>DOCTOR EN CIENCIAS CON MENCIÓN EN MATEMATICA</v>
          </cell>
          <cell r="Q757" t="str">
            <v>TALCA</v>
          </cell>
          <cell r="R757" t="str">
            <v>INSTITUTO DE MATEMÁTICAS</v>
          </cell>
          <cell r="S757" t="str">
            <v>INSTITUTO DE MATEMÁTICAS</v>
          </cell>
        </row>
        <row r="758">
          <cell r="A758">
            <v>15131643</v>
          </cell>
          <cell r="B758" t="str">
            <v>15131643</v>
          </cell>
          <cell r="C758" t="str">
            <v>3</v>
          </cell>
          <cell r="D758" t="str">
            <v>MOLINA ESPARTA CAROLINA ANGELI</v>
          </cell>
          <cell r="E758" t="str">
            <v>FCS310003</v>
          </cell>
          <cell r="F758">
            <v>44</v>
          </cell>
          <cell r="G758">
            <v>30</v>
          </cell>
          <cell r="H758" t="str">
            <v>CAMOLINA@UTALCA.CL</v>
          </cell>
          <cell r="I758">
            <v>43466</v>
          </cell>
          <cell r="J758">
            <v>46387</v>
          </cell>
          <cell r="K758" t="str">
            <v>CONTRATA</v>
          </cell>
          <cell r="L758" t="str">
            <v>ADMINISTRATIVO</v>
          </cell>
          <cell r="M758" t="str">
            <v>ADMINISTRATIVO</v>
          </cell>
          <cell r="N758" t="str">
            <v>GRADO I.21</v>
          </cell>
          <cell r="O758" t="str">
            <v>TÉC. NIVEL MEDIO</v>
          </cell>
          <cell r="P758" t="str">
            <v>SECRETARIADO EJECUTIVO</v>
          </cell>
          <cell r="Q758" t="str">
            <v>TALCA</v>
          </cell>
          <cell r="R758" t="str">
            <v>FACULTAD DE CIENCIAS DE LA SALUD</v>
          </cell>
          <cell r="S758" t="str">
            <v>ESCUELA DE KINESIOLOGÍA</v>
          </cell>
        </row>
        <row r="759">
          <cell r="A759">
            <v>15134473</v>
          </cell>
          <cell r="B759" t="str">
            <v>15134473</v>
          </cell>
          <cell r="C759" t="str">
            <v>9</v>
          </cell>
          <cell r="D759" t="str">
            <v>GUTIERREZ VARAS ROXANA ISABEL</v>
          </cell>
          <cell r="E759" t="str">
            <v>ICB300001</v>
          </cell>
          <cell r="F759">
            <v>44</v>
          </cell>
          <cell r="G759">
            <v>30</v>
          </cell>
          <cell r="H759" t="str">
            <v>ROGUTIERREZ@UTALCA.CL</v>
          </cell>
          <cell r="I759">
            <v>43831</v>
          </cell>
          <cell r="J759">
            <v>46387</v>
          </cell>
          <cell r="K759" t="str">
            <v>CONTRATA</v>
          </cell>
          <cell r="L759" t="str">
            <v>ADMINISTRATIVO</v>
          </cell>
          <cell r="M759" t="str">
            <v>ADMINISTRATIVO</v>
          </cell>
          <cell r="N759" t="str">
            <v>GRADO I.21</v>
          </cell>
          <cell r="O759" t="str">
            <v>TÍTULO PROFESIONAL</v>
          </cell>
          <cell r="P759" t="str">
            <v>INGENIERO DE EJECUCIÓN EN ADMINISTRACIÓN DE E</v>
          </cell>
          <cell r="Q759" t="str">
            <v>TALCA</v>
          </cell>
          <cell r="R759" t="str">
            <v>INSTITUTO DE CIENCIAS BIOLÓGICAS</v>
          </cell>
          <cell r="S759" t="str">
            <v>INSTITUTO DE CIENCIAS BIOLÓGICAS</v>
          </cell>
        </row>
        <row r="760">
          <cell r="A760">
            <v>15134675</v>
          </cell>
          <cell r="B760" t="str">
            <v>15134675</v>
          </cell>
          <cell r="C760" t="str">
            <v>8</v>
          </cell>
          <cell r="D760" t="str">
            <v>RAMÍREZ VÉLIZ MARIA VICTORIA</v>
          </cell>
          <cell r="E760" t="str">
            <v>FCS320012</v>
          </cell>
          <cell r="F760">
            <v>44</v>
          </cell>
          <cell r="G760">
            <v>30</v>
          </cell>
          <cell r="H760" t="str">
            <v>MARIA.RAMIREZV@UTALCA.CL</v>
          </cell>
          <cell r="I760">
            <v>44484</v>
          </cell>
          <cell r="J760">
            <v>46446</v>
          </cell>
          <cell r="K760" t="str">
            <v>CONTRATA</v>
          </cell>
          <cell r="L760" t="str">
            <v>CA DOCENTE</v>
          </cell>
          <cell r="M760" t="str">
            <v>INSTRUCTOR</v>
          </cell>
          <cell r="N760" t="str">
            <v>GRADO D</v>
          </cell>
          <cell r="O760" t="str">
            <v>MAGISTER</v>
          </cell>
          <cell r="P760" t="str">
            <v>MAGISTER EN GESTIÓN EN ATENCIÓN PRIMARIA DE S</v>
          </cell>
          <cell r="Q760" t="str">
            <v>TALCA</v>
          </cell>
          <cell r="R760" t="str">
            <v>FACULTAD DE CIENCIAS DE LA SALUD</v>
          </cell>
          <cell r="S760" t="str">
            <v>DEPTO. CIENCIAS DEL CUIDADO EN ENFERM.</v>
          </cell>
        </row>
        <row r="761">
          <cell r="A761">
            <v>15135460</v>
          </cell>
          <cell r="B761" t="str">
            <v>15135460</v>
          </cell>
          <cell r="C761" t="str">
            <v>2</v>
          </cell>
          <cell r="D761" t="str">
            <v>DOMINGUEZ ARAYA GUSTAVO ADOLFO</v>
          </cell>
          <cell r="E761" t="str">
            <v>FCS320012</v>
          </cell>
          <cell r="F761">
            <v>44</v>
          </cell>
          <cell r="G761">
            <v>30</v>
          </cell>
          <cell r="H761" t="str">
            <v>GUSTAVO.DOMINGUEZ@UTALCA.CL</v>
          </cell>
          <cell r="I761">
            <v>44743</v>
          </cell>
          <cell r="J761">
            <v>46446</v>
          </cell>
          <cell r="K761" t="str">
            <v>CONTRATA</v>
          </cell>
          <cell r="L761" t="str">
            <v>CA DOCENTE</v>
          </cell>
          <cell r="M761" t="str">
            <v>INSTRUCTOR</v>
          </cell>
          <cell r="N761" t="str">
            <v>GRADO D</v>
          </cell>
          <cell r="O761" t="str">
            <v>MAGISTER</v>
          </cell>
          <cell r="P761" t="str">
            <v>MAGISTER EN SALUD PUBLICA CON MENCION EN EPID</v>
          </cell>
          <cell r="Q761" t="str">
            <v>TALCA</v>
          </cell>
          <cell r="R761" t="str">
            <v>FACULTAD DE CIENCIAS DE LA SALUD</v>
          </cell>
          <cell r="S761" t="str">
            <v>DEPTO. CIENCIAS DEL CUIDADO EN ENFERM.</v>
          </cell>
        </row>
        <row r="762">
          <cell r="A762">
            <v>15135712</v>
          </cell>
          <cell r="B762" t="str">
            <v>15135712</v>
          </cell>
          <cell r="C762" t="str">
            <v>1</v>
          </cell>
          <cell r="D762" t="str">
            <v>ROJAS DURAN CAROLINA ANDREA</v>
          </cell>
          <cell r="E762" t="str">
            <v>VRF400003</v>
          </cell>
          <cell r="F762">
            <v>44</v>
          </cell>
          <cell r="G762">
            <v>30</v>
          </cell>
          <cell r="H762" t="str">
            <v>CAROLINA.ROJAS@UTALCA.CL</v>
          </cell>
          <cell r="I762">
            <v>44927</v>
          </cell>
          <cell r="J762">
            <v>46387</v>
          </cell>
          <cell r="K762" t="str">
            <v>CONTRATA</v>
          </cell>
          <cell r="L762" t="str">
            <v>PROFESIONAL</v>
          </cell>
          <cell r="M762" t="str">
            <v>PROFESIONAL</v>
          </cell>
          <cell r="N762" t="str">
            <v>GRADO I.17</v>
          </cell>
          <cell r="O762" t="str">
            <v>TÍTULO PROFESIONAL</v>
          </cell>
          <cell r="P762" t="str">
            <v>PROFESORA DE EDUCACION DIFERENCIAL, ESPECIALI</v>
          </cell>
          <cell r="Q762" t="str">
            <v>TALCA</v>
          </cell>
          <cell r="R762" t="str">
            <v>VICERRECTORÍA DE FORMACIÓN</v>
          </cell>
          <cell r="S762" t="str">
            <v>UN. DE ACOMPAÑAMIENTO ESTUDIANTIL (CIMA)</v>
          </cell>
        </row>
        <row r="763">
          <cell r="A763">
            <v>15136125</v>
          </cell>
          <cell r="B763" t="str">
            <v>15136125</v>
          </cell>
          <cell r="C763" t="str">
            <v>0</v>
          </cell>
          <cell r="D763" t="str">
            <v>GONZALEZ SEPULVEDA PAULINA LOR</v>
          </cell>
          <cell r="E763" t="str">
            <v/>
          </cell>
          <cell r="F763">
            <v>40</v>
          </cell>
          <cell r="G763">
            <v>30</v>
          </cell>
          <cell r="H763" t="str">
            <v>PAULIGONZALEZ@UTALCA.CL</v>
          </cell>
          <cell r="I763">
            <v>44927</v>
          </cell>
          <cell r="J763">
            <v>46387</v>
          </cell>
          <cell r="K763" t="str">
            <v>CONTRATA</v>
          </cell>
          <cell r="L763" t="str">
            <v>PROFESIONAL</v>
          </cell>
          <cell r="M763" t="str">
            <v>PROFESIONAL</v>
          </cell>
          <cell r="N763" t="str">
            <v>GRADO I.17</v>
          </cell>
          <cell r="O763" t="str">
            <v>TÍTULO PROFESIONAL</v>
          </cell>
          <cell r="P763" t="str">
            <v>INGENIERO FORESTAL</v>
          </cell>
          <cell r="Q763" t="str">
            <v>TALCA</v>
          </cell>
          <cell r="R763" t="str">
            <v>FACULTAD DE CIENCIAS AGRARIAS</v>
          </cell>
          <cell r="S763" t="str">
            <v>DEPARTAMENTO DE PRODUCCIÓN AGRÍCOLA</v>
          </cell>
        </row>
        <row r="764">
          <cell r="A764">
            <v>15136539</v>
          </cell>
          <cell r="B764" t="str">
            <v>15136539</v>
          </cell>
          <cell r="C764" t="str">
            <v>6</v>
          </cell>
          <cell r="D764" t="str">
            <v>ALARCON SALAZAR CRISTIAN ANDRE</v>
          </cell>
          <cell r="E764" t="str">
            <v>ADC030110</v>
          </cell>
          <cell r="F764">
            <v>44</v>
          </cell>
          <cell r="G764">
            <v>30</v>
          </cell>
          <cell r="H764" t="str">
            <v>CRALARCON@UTALCA.CL</v>
          </cell>
          <cell r="I764">
            <v>43101</v>
          </cell>
          <cell r="J764">
            <v>46387</v>
          </cell>
          <cell r="K764" t="str">
            <v>CONTRATA</v>
          </cell>
          <cell r="L764" t="str">
            <v>PROFESIONAL</v>
          </cell>
          <cell r="M764" t="str">
            <v>PROFESIONAL</v>
          </cell>
          <cell r="N764" t="str">
            <v>GRADO I.17</v>
          </cell>
          <cell r="O764" t="str">
            <v>TÍTULO PROFESIONAL</v>
          </cell>
          <cell r="P764" t="str">
            <v>ARQUITECTO</v>
          </cell>
          <cell r="Q764" t="str">
            <v>TALCA</v>
          </cell>
          <cell r="R764" t="str">
            <v>DIRECCIÓN DE ASEGURAMIENTO DE LA CALIDAD</v>
          </cell>
          <cell r="S764" t="str">
            <v>DIRECCIÓN DE ASEGURAMIENTO DE LA CALIDAD</v>
          </cell>
        </row>
        <row r="765">
          <cell r="A765">
            <v>15136673</v>
          </cell>
          <cell r="B765" t="str">
            <v>15136673</v>
          </cell>
          <cell r="C765" t="str">
            <v>2</v>
          </cell>
          <cell r="D765" t="str">
            <v>CERDA GONZALEZ ANDREA ISABEL</v>
          </cell>
          <cell r="E765" t="str">
            <v>FPS310001</v>
          </cell>
          <cell r="F765">
            <v>44</v>
          </cell>
          <cell r="G765">
            <v>30</v>
          </cell>
          <cell r="H765" t="str">
            <v>ANDREACERDA@UTALCA.CL</v>
          </cell>
          <cell r="I765">
            <v>42430</v>
          </cell>
          <cell r="J765">
            <v>46446</v>
          </cell>
          <cell r="K765" t="str">
            <v>CONTRATA</v>
          </cell>
          <cell r="L765" t="str">
            <v>CA DE LA PROFESIÓN</v>
          </cell>
          <cell r="M765" t="str">
            <v>PROFESOR ASISTENTE</v>
          </cell>
          <cell r="N765" t="str">
            <v>GRADO C</v>
          </cell>
          <cell r="O765" t="str">
            <v>MAGISTER</v>
          </cell>
          <cell r="P765" t="str">
            <v>MAGISTER EN GERENCIA Y GESTION PUBLICA</v>
          </cell>
          <cell r="Q765" t="str">
            <v>TALCA</v>
          </cell>
          <cell r="R765" t="str">
            <v>FACULTAD DE PSICOLOGÍA</v>
          </cell>
          <cell r="S765" t="str">
            <v>ESCUELA DE PSICOLOGÍA</v>
          </cell>
        </row>
        <row r="766">
          <cell r="A766">
            <v>15136913</v>
          </cell>
          <cell r="B766" t="str">
            <v>15136913</v>
          </cell>
          <cell r="C766" t="str">
            <v>8</v>
          </cell>
          <cell r="D766" t="str">
            <v>CONCHA PONCE PABLO ANDRES</v>
          </cell>
          <cell r="E766" t="str">
            <v>FPS310001</v>
          </cell>
          <cell r="F766">
            <v>33</v>
          </cell>
          <cell r="G766">
            <v>30</v>
          </cell>
          <cell r="H766" t="str">
            <v>PABLO.CONCHA@UTALCA.CL</v>
          </cell>
          <cell r="I766">
            <v>44949</v>
          </cell>
          <cell r="J766">
            <v>46446</v>
          </cell>
          <cell r="K766" t="str">
            <v>CONTRATA</v>
          </cell>
          <cell r="L766" t="str">
            <v>CA DOCENTE</v>
          </cell>
          <cell r="M766" t="str">
            <v>PROFESOR ASISTENTE</v>
          </cell>
          <cell r="N766" t="str">
            <v>GRADO C</v>
          </cell>
          <cell r="O766" t="str">
            <v>DOCTORADO</v>
          </cell>
          <cell r="P766" t="str">
            <v>DOCTOR EN PSICOLOGÍA CON MENCIÓN SISTÉMICA, C</v>
          </cell>
          <cell r="Q766" t="str">
            <v>TALCA</v>
          </cell>
          <cell r="R766" t="str">
            <v>FACULTAD DE PSICOLOGÍA</v>
          </cell>
          <cell r="S766" t="str">
            <v>ESCUELA DE PSICOLOGÍA</v>
          </cell>
        </row>
        <row r="767">
          <cell r="A767">
            <v>15137020</v>
          </cell>
          <cell r="B767" t="str">
            <v>15137020</v>
          </cell>
          <cell r="C767" t="str">
            <v>9</v>
          </cell>
          <cell r="D767" t="str">
            <v>MARTINEZ CORNEJO EDUARDO IGNAC</v>
          </cell>
          <cell r="E767" t="str">
            <v>FCI200001</v>
          </cell>
          <cell r="F767">
            <v>44</v>
          </cell>
          <cell r="G767">
            <v>30</v>
          </cell>
          <cell r="H767" t="str">
            <v>EDUARDO.MARTINEZ@UTALCA.CL</v>
          </cell>
          <cell r="I767">
            <v>44927</v>
          </cell>
          <cell r="J767">
            <v>46387</v>
          </cell>
          <cell r="K767" t="str">
            <v>CONTRATA</v>
          </cell>
          <cell r="L767" t="str">
            <v>PROFESIONAL</v>
          </cell>
          <cell r="M767" t="str">
            <v>PROFESIONAL</v>
          </cell>
          <cell r="N767" t="str">
            <v>GRADO I.17</v>
          </cell>
          <cell r="O767" t="str">
            <v>TÍTULO PROFESIONAL</v>
          </cell>
          <cell r="P767" t="str">
            <v>DISEÑADOR GRAFICO</v>
          </cell>
          <cell r="Q767" t="str">
            <v>TALCA</v>
          </cell>
          <cell r="R767" t="str">
            <v>FACULTAD DE INGENIERÍA</v>
          </cell>
          <cell r="S767" t="str">
            <v>FACULTAD DE INGENIERÍA</v>
          </cell>
        </row>
        <row r="768">
          <cell r="A768">
            <v>15137104</v>
          </cell>
          <cell r="B768" t="str">
            <v>15137104</v>
          </cell>
          <cell r="C768" t="str">
            <v>3</v>
          </cell>
          <cell r="D768" t="str">
            <v>ESPINOZA NORAMBUENA JESSICA RO</v>
          </cell>
          <cell r="E768" t="str">
            <v>IQR300001</v>
          </cell>
          <cell r="F768">
            <v>44</v>
          </cell>
          <cell r="G768">
            <v>30</v>
          </cell>
          <cell r="H768" t="str">
            <v>J.ESPINOZA@UTALCA.CL</v>
          </cell>
          <cell r="I768">
            <v>43101</v>
          </cell>
          <cell r="J768">
            <v>46387</v>
          </cell>
          <cell r="K768" t="str">
            <v>CONTRATA</v>
          </cell>
          <cell r="L768" t="str">
            <v>PROFESIONAL</v>
          </cell>
          <cell r="M768" t="str">
            <v>PROFESIONAL</v>
          </cell>
          <cell r="N768" t="str">
            <v>GRADO I.17</v>
          </cell>
          <cell r="O768" t="str">
            <v>MAGISTER</v>
          </cell>
          <cell r="P768" t="str">
            <v>MAGÍSTER EN EDUCACIÓN AMBIENTAL</v>
          </cell>
          <cell r="Q768" t="str">
            <v>TALCA</v>
          </cell>
          <cell r="R768" t="str">
            <v>INSTITUTO QUÍMICA DE RECURSOS NATURALES</v>
          </cell>
          <cell r="S768" t="str">
            <v>INSTITUTO QUÍMICA DE RECURSOS NATURALES</v>
          </cell>
        </row>
        <row r="769">
          <cell r="A769">
            <v>15137145</v>
          </cell>
          <cell r="B769" t="str">
            <v>15137145</v>
          </cell>
          <cell r="C769" t="str">
            <v>0</v>
          </cell>
          <cell r="D769" t="str">
            <v>MONROY BRAVO KARLA DEL PILAR</v>
          </cell>
          <cell r="E769" t="str">
            <v>FCA200001</v>
          </cell>
          <cell r="F769">
            <v>44</v>
          </cell>
          <cell r="G769">
            <v>30</v>
          </cell>
          <cell r="H769" t="str">
            <v>KMONROY@UTALCA.CL</v>
          </cell>
          <cell r="I769">
            <v>43101</v>
          </cell>
          <cell r="J769">
            <v>2958465</v>
          </cell>
          <cell r="K769" t="str">
            <v>PLANTA</v>
          </cell>
          <cell r="L769" t="str">
            <v>ADMINISTRATIVO</v>
          </cell>
          <cell r="M769" t="str">
            <v>ADMINISTRATIVO</v>
          </cell>
          <cell r="N769" t="str">
            <v>GRADO I.20</v>
          </cell>
          <cell r="O769" t="str">
            <v>TÍTULO PROFESIONAL</v>
          </cell>
          <cell r="P769" t="str">
            <v>PSICOLOGO</v>
          </cell>
          <cell r="Q769" t="str">
            <v>TALCA</v>
          </cell>
          <cell r="R769" t="str">
            <v>FACULTAD DE CIENCIAS AGRARIAS</v>
          </cell>
          <cell r="S769" t="str">
            <v>FACULTAD DE CIENCIAS AGRARIAS</v>
          </cell>
        </row>
        <row r="770">
          <cell r="A770">
            <v>15137795</v>
          </cell>
          <cell r="B770" t="str">
            <v>15137795</v>
          </cell>
          <cell r="C770" t="str">
            <v>5</v>
          </cell>
          <cell r="D770" t="str">
            <v>GAJARDO CONTRERAS BARBARA ANDR</v>
          </cell>
          <cell r="E770" t="str">
            <v>VGE400032</v>
          </cell>
          <cell r="F770">
            <v>44</v>
          </cell>
          <cell r="G770">
            <v>30</v>
          </cell>
          <cell r="H770" t="str">
            <v>BGAJARDO@UTALCA.CL</v>
          </cell>
          <cell r="I770">
            <v>43466</v>
          </cell>
          <cell r="J770">
            <v>46387</v>
          </cell>
          <cell r="K770" t="str">
            <v>CONTRATA</v>
          </cell>
          <cell r="L770" t="str">
            <v>PROFESIONAL</v>
          </cell>
          <cell r="M770" t="str">
            <v>PROFESIONAL</v>
          </cell>
          <cell r="N770" t="str">
            <v>GRADO I.17</v>
          </cell>
          <cell r="O770" t="str">
            <v>TÍTULO PROFESIONAL</v>
          </cell>
          <cell r="P770" t="str">
            <v>INGENIERO COMERCIAL MENCIÓN ADMINISTRACIÓN</v>
          </cell>
          <cell r="Q770" t="str">
            <v>TALCA</v>
          </cell>
          <cell r="R770" t="str">
            <v>VIC. GESTIÓN ECONÓMICA Y ADMINISTRACIÓN</v>
          </cell>
          <cell r="S770" t="str">
            <v>OFICINA DE GESTIÓN DE PROYECTOS BASALES</v>
          </cell>
        </row>
        <row r="771">
          <cell r="A771">
            <v>15139123</v>
          </cell>
          <cell r="B771" t="str">
            <v>15139123</v>
          </cell>
          <cell r="C771" t="str">
            <v>0</v>
          </cell>
          <cell r="D771" t="str">
            <v>ROJAS VILLACURA NADIA JOHANNA</v>
          </cell>
          <cell r="E771" t="str">
            <v>VAC100002</v>
          </cell>
          <cell r="F771">
            <v>44</v>
          </cell>
          <cell r="G771">
            <v>30</v>
          </cell>
          <cell r="H771" t="str">
            <v>NROJAS@UTALCA.CL</v>
          </cell>
          <cell r="I771">
            <v>43101</v>
          </cell>
          <cell r="J771">
            <v>2958465</v>
          </cell>
          <cell r="K771" t="str">
            <v>PLANTA</v>
          </cell>
          <cell r="L771" t="str">
            <v>ADMINISTRATIVO</v>
          </cell>
          <cell r="M771" t="str">
            <v>ADMINISTRATIVO</v>
          </cell>
          <cell r="N771" t="str">
            <v>GRADO I.20</v>
          </cell>
          <cell r="O771" t="str">
            <v>MAGISTER</v>
          </cell>
          <cell r="P771" t="str">
            <v>MAGISTER EN GESTIÓN TECNOLÓGICA CON ENFASIS E</v>
          </cell>
          <cell r="Q771" t="str">
            <v>TALCA</v>
          </cell>
          <cell r="R771" t="str">
            <v>VICERRECTORÍA ACADÉMICA</v>
          </cell>
          <cell r="S771" t="str">
            <v>UNIDAD DE GESTIÓN DE PROYECTOS TRANSVERS</v>
          </cell>
        </row>
        <row r="772">
          <cell r="A772">
            <v>15139305</v>
          </cell>
          <cell r="B772" t="str">
            <v>15139305</v>
          </cell>
          <cell r="C772" t="str">
            <v>5</v>
          </cell>
          <cell r="D772" t="str">
            <v>VALDES MANRIQUEZ JESSICA MACKA</v>
          </cell>
          <cell r="E772" t="str">
            <v>FED320001</v>
          </cell>
          <cell r="F772">
            <v>44</v>
          </cell>
          <cell r="G772">
            <v>30</v>
          </cell>
          <cell r="H772" t="str">
            <v>JESSVALDES@UTALCA.CL</v>
          </cell>
          <cell r="I772">
            <v>42522</v>
          </cell>
          <cell r="J772">
            <v>2958465</v>
          </cell>
          <cell r="K772" t="str">
            <v>PLANTA</v>
          </cell>
          <cell r="L772" t="str">
            <v>ADMINISTRATIVO</v>
          </cell>
          <cell r="M772" t="str">
            <v>ADMINISTRATIVO</v>
          </cell>
          <cell r="N772" t="str">
            <v>GRADO I.20</v>
          </cell>
          <cell r="O772" t="str">
            <v>TÉC. NIVEL MEDIO</v>
          </cell>
          <cell r="P772" t="str">
            <v>SECRETARIA EJECUTIVA</v>
          </cell>
          <cell r="Q772" t="str">
            <v>TALCA</v>
          </cell>
          <cell r="R772" t="str">
            <v>FACULTAD DE CIENCIAS DE LA EDUCACIÓN</v>
          </cell>
          <cell r="S772" t="str">
            <v>CENTRO INVESTIGACION DESAR. EDUCACIONAL</v>
          </cell>
        </row>
        <row r="773">
          <cell r="A773">
            <v>15139358</v>
          </cell>
          <cell r="B773" t="str">
            <v>15139358</v>
          </cell>
          <cell r="C773" t="str">
            <v>6</v>
          </cell>
          <cell r="D773" t="str">
            <v>CACERES OYARZUN CAROLINA NAYAD</v>
          </cell>
          <cell r="E773" t="str">
            <v>FEN200001</v>
          </cell>
          <cell r="F773">
            <v>44</v>
          </cell>
          <cell r="G773">
            <v>30</v>
          </cell>
          <cell r="H773" t="str">
            <v>CAROLINA.CACERES@UTALCA.CL</v>
          </cell>
          <cell r="I773">
            <v>44197</v>
          </cell>
          <cell r="J773">
            <v>46387</v>
          </cell>
          <cell r="K773" t="str">
            <v>CONTRATA</v>
          </cell>
          <cell r="L773" t="str">
            <v>TÉCNICO</v>
          </cell>
          <cell r="M773" t="str">
            <v>TÉCNICO</v>
          </cell>
          <cell r="N773" t="str">
            <v>GRADO I.21</v>
          </cell>
          <cell r="O773" t="str">
            <v>TÉC. NIVEL SUPERIOR</v>
          </cell>
          <cell r="P773" t="str">
            <v>TÉCNICO EN ENFERMERÍA NIVEL SUPERIOR</v>
          </cell>
          <cell r="Q773" t="str">
            <v>TALCA</v>
          </cell>
          <cell r="R773" t="str">
            <v>FACULTAD DE ECONOMÍA Y NEGOCIOS</v>
          </cell>
          <cell r="S773" t="str">
            <v>FACULTAD DE ECONOMÍA Y NEGOCIOS</v>
          </cell>
        </row>
        <row r="774">
          <cell r="A774">
            <v>15140081</v>
          </cell>
          <cell r="B774" t="str">
            <v>15140081</v>
          </cell>
          <cell r="C774" t="str">
            <v>7</v>
          </cell>
          <cell r="D774" t="str">
            <v>IOB VERGARA MARIA FRANCISCA</v>
          </cell>
          <cell r="E774" t="str">
            <v>ADC024001</v>
          </cell>
          <cell r="F774">
            <v>44</v>
          </cell>
          <cell r="G774">
            <v>30</v>
          </cell>
          <cell r="H774" t="str">
            <v>FRANCISCAIOB@UTALCA.CL</v>
          </cell>
          <cell r="I774">
            <v>43313</v>
          </cell>
          <cell r="J774">
            <v>46387</v>
          </cell>
          <cell r="K774" t="str">
            <v>CONTRATA</v>
          </cell>
          <cell r="L774" t="str">
            <v>DIR EXCLU. CONFIANZA</v>
          </cell>
          <cell r="M774" t="str">
            <v>PROFESIONAL</v>
          </cell>
          <cell r="N774" t="str">
            <v>GRADO I.17</v>
          </cell>
          <cell r="O774" t="str">
            <v>TÍTULO PROFESIONAL</v>
          </cell>
          <cell r="P774" t="str">
            <v>PERIODISTA</v>
          </cell>
          <cell r="Q774" t="str">
            <v>TALCA</v>
          </cell>
          <cell r="R774" t="str">
            <v>DRCCIÓN. GNAL. VINCULACIÓN CON EL MEDIO</v>
          </cell>
          <cell r="S774" t="str">
            <v>DRCCIÓN. GNAL. VINCULACIÓN CON EL MEDIO</v>
          </cell>
        </row>
        <row r="775">
          <cell r="A775">
            <v>15140157</v>
          </cell>
          <cell r="B775" t="str">
            <v>15140157</v>
          </cell>
          <cell r="C775" t="str">
            <v>0</v>
          </cell>
          <cell r="D775" t="str">
            <v>VARAS CONCHA FELIPE JOSE</v>
          </cell>
          <cell r="E775" t="str">
            <v>FCI320002</v>
          </cell>
          <cell r="F775">
            <v>44</v>
          </cell>
          <cell r="G775">
            <v>30</v>
          </cell>
          <cell r="H775" t="str">
            <v>FVARAS@UTALCA.CL</v>
          </cell>
          <cell r="I775">
            <v>39818</v>
          </cell>
          <cell r="J775">
            <v>46776</v>
          </cell>
          <cell r="K775" t="str">
            <v>PLANTA</v>
          </cell>
          <cell r="L775" t="str">
            <v>CA ORDINARIA</v>
          </cell>
          <cell r="M775" t="str">
            <v>PROFESOR ASISTENTE</v>
          </cell>
          <cell r="N775" t="str">
            <v>GRADO C</v>
          </cell>
          <cell r="O775" t="str">
            <v>DOCTORADO</v>
          </cell>
          <cell r="P775" t="str">
            <v>DOCTOR EN CIENCIAS DE LA INGENIERIA</v>
          </cell>
          <cell r="Q775" t="str">
            <v>TALCA</v>
          </cell>
          <cell r="R775" t="str">
            <v>FACULTAD DE INGENIERÍA</v>
          </cell>
          <cell r="S775" t="str">
            <v>DEPARTAMENTO DE INGENIERÍA INDUSTRIAL</v>
          </cell>
        </row>
        <row r="776">
          <cell r="A776">
            <v>15144619</v>
          </cell>
          <cell r="B776" t="str">
            <v>15144619</v>
          </cell>
          <cell r="C776" t="str">
            <v>1</v>
          </cell>
          <cell r="D776" t="str">
            <v>ARROYO ROCO JOSE EDUARDO</v>
          </cell>
          <cell r="E776" t="str">
            <v>FCS310005</v>
          </cell>
          <cell r="F776">
            <v>44</v>
          </cell>
          <cell r="G776">
            <v>30</v>
          </cell>
          <cell r="H776" t="str">
            <v>JOSE.ARROYO@UTALCA.CL</v>
          </cell>
          <cell r="I776">
            <v>44896</v>
          </cell>
          <cell r="J776">
            <v>46446</v>
          </cell>
          <cell r="K776" t="str">
            <v>CONTRATA</v>
          </cell>
          <cell r="L776" t="str">
            <v>CA DOCENTE</v>
          </cell>
          <cell r="M776" t="str">
            <v>INSTRUCTOR</v>
          </cell>
          <cell r="N776" t="str">
            <v>GRADO D</v>
          </cell>
          <cell r="O776" t="str">
            <v>MAGISTER</v>
          </cell>
          <cell r="P776" t="str">
            <v>MAGISTER EN ENFERMERIA MENCION EN EDUCACION E</v>
          </cell>
          <cell r="Q776" t="str">
            <v>TALCA</v>
          </cell>
          <cell r="R776" t="str">
            <v>FACULTAD DE CIENCIAS DE LA SALUD</v>
          </cell>
          <cell r="S776" t="str">
            <v>DEPTO. CIENCIAS DEL CUIDADO EN ENFERM.</v>
          </cell>
        </row>
        <row r="777">
          <cell r="A777">
            <v>15144992</v>
          </cell>
          <cell r="B777" t="str">
            <v>15144992</v>
          </cell>
          <cell r="C777" t="str">
            <v>1</v>
          </cell>
          <cell r="D777" t="str">
            <v>BASTIAS FIGUEROA ANDREA CECILI</v>
          </cell>
          <cell r="E777" t="str">
            <v>FCS310007</v>
          </cell>
          <cell r="F777">
            <v>44</v>
          </cell>
          <cell r="G777">
            <v>30</v>
          </cell>
          <cell r="H777" t="str">
            <v>ANDBASTIAS@UTALCA.CL</v>
          </cell>
          <cell r="I777">
            <v>44197</v>
          </cell>
          <cell r="J777">
            <v>46387</v>
          </cell>
          <cell r="K777" t="str">
            <v>CONTRATA</v>
          </cell>
          <cell r="L777" t="str">
            <v>TÉCNICO</v>
          </cell>
          <cell r="M777" t="str">
            <v>TÉCNICO</v>
          </cell>
          <cell r="N777" t="str">
            <v>GRADO I.21</v>
          </cell>
          <cell r="O777" t="str">
            <v>TÉC. NIVEL SUPERIOR</v>
          </cell>
          <cell r="P777" t="str">
            <v>TECNICO DE NIVEL SUPERIOS EN ENFERMERIA</v>
          </cell>
          <cell r="Q777" t="str">
            <v>TALCA</v>
          </cell>
          <cell r="R777" t="str">
            <v>FACULTAD DE CIENCIAS DE LA SALUD</v>
          </cell>
          <cell r="S777" t="str">
            <v>ESCUELA DE OBSTETRICIA Y PUERICULTURA</v>
          </cell>
        </row>
        <row r="778">
          <cell r="A778">
            <v>15145000</v>
          </cell>
          <cell r="B778" t="str">
            <v>15145000</v>
          </cell>
          <cell r="C778" t="str">
            <v>8</v>
          </cell>
          <cell r="D778" t="str">
            <v>BECERRA MUÑOZ SANDRA ESTER</v>
          </cell>
          <cell r="E778" t="str">
            <v>FCS320009</v>
          </cell>
          <cell r="F778">
            <v>44</v>
          </cell>
          <cell r="G778">
            <v>30</v>
          </cell>
          <cell r="H778" t="str">
            <v>SABECERRA@UTALCA.CL</v>
          </cell>
          <cell r="I778">
            <v>42644</v>
          </cell>
          <cell r="J778">
            <v>46752</v>
          </cell>
          <cell r="K778" t="str">
            <v>CONTRATA</v>
          </cell>
          <cell r="L778" t="str">
            <v>CA DOCENTE</v>
          </cell>
          <cell r="M778" t="str">
            <v>INSTRUCTOR</v>
          </cell>
          <cell r="N778" t="str">
            <v>GRADO D</v>
          </cell>
          <cell r="O778" t="str">
            <v>MAGISTER</v>
          </cell>
          <cell r="P778" t="str">
            <v>MAGISTER EN KINESIOLOGIA</v>
          </cell>
          <cell r="Q778" t="str">
            <v>TALCA</v>
          </cell>
          <cell r="R778" t="str">
            <v>FACULTAD DE CIENCIAS DE LA SALUD</v>
          </cell>
          <cell r="S778" t="str">
            <v>DPTO. DE CIENCIAS DEL MOVIMIENTO HUMANO</v>
          </cell>
        </row>
        <row r="779">
          <cell r="A779">
            <v>15148750</v>
          </cell>
          <cell r="B779" t="str">
            <v>15148750</v>
          </cell>
          <cell r="C779" t="str">
            <v>5</v>
          </cell>
          <cell r="D779" t="str">
            <v>GONZALEZ SEPULVEDA MIRTA DE LA</v>
          </cell>
          <cell r="E779" t="str">
            <v>VGE400004</v>
          </cell>
          <cell r="F779">
            <v>44</v>
          </cell>
          <cell r="G779">
            <v>30</v>
          </cell>
          <cell r="H779" t="str">
            <v>MIRTA.GONZALEZ@UTALCA.CL</v>
          </cell>
          <cell r="I779">
            <v>44767</v>
          </cell>
          <cell r="J779">
            <v>46387</v>
          </cell>
          <cell r="K779" t="str">
            <v>CONTRATA</v>
          </cell>
          <cell r="L779" t="str">
            <v>PROFESIONAL</v>
          </cell>
          <cell r="M779" t="str">
            <v>PROFESIONAL</v>
          </cell>
          <cell r="N779" t="str">
            <v>GRADO I.17</v>
          </cell>
          <cell r="O779" t="str">
            <v>TÍTULO PROFESIONAL</v>
          </cell>
          <cell r="P779" t="str">
            <v>CONTADOR AUDITOR</v>
          </cell>
          <cell r="Q779" t="str">
            <v>TALCA</v>
          </cell>
          <cell r="R779" t="str">
            <v>VIC. GESTIÓN ECONÓMICA Y ADMINISTRACIÓN</v>
          </cell>
          <cell r="S779" t="str">
            <v>DEPARTAMENTO DE CONTABILIDAD Y BIENES</v>
          </cell>
        </row>
        <row r="780">
          <cell r="A780">
            <v>15152245</v>
          </cell>
          <cell r="B780" t="str">
            <v>15152245</v>
          </cell>
          <cell r="C780" t="str">
            <v>9</v>
          </cell>
          <cell r="D780" t="str">
            <v>PAIRICAN TORRES GABRIEL ALEJAN</v>
          </cell>
          <cell r="E780" t="str">
            <v>FED310002</v>
          </cell>
          <cell r="F780">
            <v>44</v>
          </cell>
          <cell r="G780">
            <v>30</v>
          </cell>
          <cell r="H780" t="str">
            <v>GPAIRICAN@UTALCA.CL</v>
          </cell>
          <cell r="I780">
            <v>43344</v>
          </cell>
          <cell r="J780">
            <v>46387</v>
          </cell>
          <cell r="K780" t="str">
            <v>CONTRATA</v>
          </cell>
          <cell r="L780" t="str">
            <v>CA DOCENTE</v>
          </cell>
          <cell r="M780" t="str">
            <v>INSTRUCTOR</v>
          </cell>
          <cell r="N780" t="str">
            <v>GRADO D</v>
          </cell>
          <cell r="O780" t="str">
            <v>MAGISTER</v>
          </cell>
          <cell r="P780" t="str">
            <v>MASTER OF ARTS APPLIED LINGUISTICS AND ENGLIS</v>
          </cell>
          <cell r="Q780" t="str">
            <v>LINARES</v>
          </cell>
          <cell r="R780" t="str">
            <v>FACULTAD DE CIENCIAS DE LA EDUCACIÓN</v>
          </cell>
          <cell r="S780" t="str">
            <v>ESCUELA DE PEDAGOGÍA EN INGLÉS</v>
          </cell>
        </row>
        <row r="781">
          <cell r="A781">
            <v>15152426</v>
          </cell>
          <cell r="B781" t="str">
            <v>15152426</v>
          </cell>
          <cell r="C781" t="str">
            <v>5</v>
          </cell>
          <cell r="D781" t="str">
            <v>CASTRO GONZALEZ ANA LINA</v>
          </cell>
          <cell r="E781" t="str">
            <v>FOD200001</v>
          </cell>
          <cell r="F781">
            <v>44</v>
          </cell>
          <cell r="G781">
            <v>30</v>
          </cell>
          <cell r="H781" t="str">
            <v>ANACASTRO@UTALCA.CL</v>
          </cell>
          <cell r="I781">
            <v>43466</v>
          </cell>
          <cell r="J781">
            <v>46387</v>
          </cell>
          <cell r="K781" t="str">
            <v>CONTRATA</v>
          </cell>
          <cell r="L781" t="str">
            <v>ADMINISTRATIVO</v>
          </cell>
          <cell r="M781" t="str">
            <v>PROFESIONAL</v>
          </cell>
          <cell r="N781" t="str">
            <v>GRADO I.17</v>
          </cell>
          <cell r="O781" t="str">
            <v>TÍTULO PROFESIONAL</v>
          </cell>
          <cell r="P781" t="str">
            <v>INGENIERA FORESTAL</v>
          </cell>
          <cell r="Q781" t="str">
            <v>TALCA</v>
          </cell>
          <cell r="R781" t="str">
            <v>FACULTAD DE ODONTOLOGÍA</v>
          </cell>
          <cell r="S781" t="str">
            <v>FACULTAD DE ODONTOLOGÍA</v>
          </cell>
        </row>
        <row r="782">
          <cell r="A782">
            <v>15152778</v>
          </cell>
          <cell r="B782" t="str">
            <v>15152778</v>
          </cell>
          <cell r="C782" t="str">
            <v>7</v>
          </cell>
          <cell r="D782" t="str">
            <v>CARREÑO PARRA GUSTAVO ADOLFO</v>
          </cell>
          <cell r="E782" t="str">
            <v>FED310009</v>
          </cell>
          <cell r="F782">
            <v>44</v>
          </cell>
          <cell r="G782">
            <v>30</v>
          </cell>
          <cell r="H782" t="str">
            <v>GCARRENO@UTALCA.CL</v>
          </cell>
          <cell r="I782">
            <v>44835</v>
          </cell>
          <cell r="J782">
            <v>46446</v>
          </cell>
          <cell r="K782" t="str">
            <v>CONTRATA</v>
          </cell>
          <cell r="L782" t="str">
            <v>CA DOCENTE</v>
          </cell>
          <cell r="M782" t="str">
            <v>PROFESOR ASISTENTE</v>
          </cell>
          <cell r="N782" t="str">
            <v>GRADO C</v>
          </cell>
          <cell r="O782" t="str">
            <v>DOCTORADO</v>
          </cell>
          <cell r="P782" t="str">
            <v>DOCTOR EN CIENCIAS MENCION EN INVESTIGACION Y</v>
          </cell>
          <cell r="Q782" t="str">
            <v>LINARES</v>
          </cell>
          <cell r="R782" t="str">
            <v>FACULTAD DE CIENCIAS DE LA EDUCACIÓN</v>
          </cell>
          <cell r="S782" t="str">
            <v>ESC. PDG.CIENCIAS NATURALES Y EXACTAS</v>
          </cell>
        </row>
        <row r="783">
          <cell r="A783">
            <v>15154529</v>
          </cell>
          <cell r="B783" t="str">
            <v>15154529</v>
          </cell>
          <cell r="C783" t="str">
            <v>7</v>
          </cell>
          <cell r="D783" t="str">
            <v>GARRIDO DIAZ RAQUEL DEL CARMEN</v>
          </cell>
          <cell r="E783" t="str">
            <v>VGE400005</v>
          </cell>
          <cell r="F783">
            <v>44</v>
          </cell>
          <cell r="G783">
            <v>30</v>
          </cell>
          <cell r="H783" t="str">
            <v>RAQGARRIDO@UTALCA.CL</v>
          </cell>
          <cell r="I783">
            <v>43101</v>
          </cell>
          <cell r="J783">
            <v>2958465</v>
          </cell>
          <cell r="K783" t="str">
            <v>PLANTA</v>
          </cell>
          <cell r="L783" t="str">
            <v>ADMINISTRATIVO</v>
          </cell>
          <cell r="M783" t="str">
            <v>ADMINISTRATIVO</v>
          </cell>
          <cell r="N783" t="str">
            <v>GRADO I.20</v>
          </cell>
          <cell r="O783" t="str">
            <v>TÉC. NIVEL SUPERIOR</v>
          </cell>
          <cell r="P783" t="str">
            <v>TÉCNICO JURÍDICO</v>
          </cell>
          <cell r="Q783" t="str">
            <v>TALCA</v>
          </cell>
          <cell r="R783" t="str">
            <v>VIC. GESTIÓN ECONÓMICA Y ADMINISTRACIÓN</v>
          </cell>
          <cell r="S783" t="str">
            <v>DEPARTAMENTO DE GESTIÓN DE COMPRAS</v>
          </cell>
        </row>
        <row r="784">
          <cell r="A784">
            <v>15155720</v>
          </cell>
          <cell r="B784" t="str">
            <v>15155720</v>
          </cell>
          <cell r="C784" t="str">
            <v>1</v>
          </cell>
          <cell r="D784" t="str">
            <v>VERDUGO HERNANDEZ PAULA SINTTI</v>
          </cell>
          <cell r="E784" t="str">
            <v>FED310009</v>
          </cell>
          <cell r="F784">
            <v>44</v>
          </cell>
          <cell r="G784">
            <v>30</v>
          </cell>
          <cell r="H784" t="str">
            <v>PAUVERDUGO@UTALCA.CL</v>
          </cell>
          <cell r="I784">
            <v>44256</v>
          </cell>
          <cell r="J784">
            <v>46446</v>
          </cell>
          <cell r="K784" t="str">
            <v>CONTRATA</v>
          </cell>
          <cell r="L784" t="str">
            <v>CA DOCENTE</v>
          </cell>
          <cell r="M784" t="str">
            <v>PROFESOR ASOCIADO</v>
          </cell>
          <cell r="N784" t="str">
            <v>GRADO B</v>
          </cell>
          <cell r="O784" t="str">
            <v>DOCTORADO</v>
          </cell>
          <cell r="P784" t="str">
            <v>DOCTOR EN DIDÁCTICA DE LA MATEMÁTICA</v>
          </cell>
          <cell r="Q784" t="str">
            <v>LINARES</v>
          </cell>
          <cell r="R784" t="str">
            <v>FACULTAD DE CIENCIAS DE LA EDUCACIÓN</v>
          </cell>
          <cell r="S784" t="str">
            <v>ESC. PDG.CIENCIAS NATURALES Y EXACTAS</v>
          </cell>
        </row>
        <row r="785">
          <cell r="A785">
            <v>15156877</v>
          </cell>
          <cell r="B785" t="str">
            <v>15156877</v>
          </cell>
          <cell r="C785" t="str">
            <v>7</v>
          </cell>
          <cell r="D785" t="str">
            <v>NORAMBUENA LEIVA SARA ELENA</v>
          </cell>
          <cell r="E785" t="str">
            <v>VGE400004</v>
          </cell>
          <cell r="F785">
            <v>44</v>
          </cell>
          <cell r="G785">
            <v>30</v>
          </cell>
          <cell r="H785" t="str">
            <v>SANORAMBUENA@UTALCA.CL</v>
          </cell>
          <cell r="I785">
            <v>38905</v>
          </cell>
          <cell r="J785">
            <v>2958465</v>
          </cell>
          <cell r="K785" t="str">
            <v>PLANTA</v>
          </cell>
          <cell r="L785" t="str">
            <v>ADMINISTRATIVO</v>
          </cell>
          <cell r="M785" t="str">
            <v>ADMINISTRATIVO</v>
          </cell>
          <cell r="N785" t="str">
            <v>GRADO I.17</v>
          </cell>
          <cell r="O785" t="str">
            <v>MAGISTER</v>
          </cell>
          <cell r="P785" t="str">
            <v>MAGÍSTER EN GESTIÓN Y POLÍTICAS PÚBLICAS</v>
          </cell>
          <cell r="Q785" t="str">
            <v>TALCA</v>
          </cell>
          <cell r="R785" t="str">
            <v>VIC. GESTIÓN ECONÓMICA Y ADMINISTRACIÓN</v>
          </cell>
          <cell r="S785" t="str">
            <v>DEPARTAMENTO DE CONTABILIDAD Y BIENES</v>
          </cell>
        </row>
        <row r="786">
          <cell r="A786">
            <v>15156954</v>
          </cell>
          <cell r="B786" t="str">
            <v>15156954</v>
          </cell>
          <cell r="C786" t="str">
            <v>4</v>
          </cell>
          <cell r="D786" t="str">
            <v>PEREIRA VALDEBENITO CLAUDIO FE</v>
          </cell>
          <cell r="E786" t="str">
            <v/>
          </cell>
          <cell r="F786">
            <v>44</v>
          </cell>
          <cell r="G786">
            <v>1</v>
          </cell>
          <cell r="H786" t="str">
            <v>CPEREIRA@UTALCA.CL</v>
          </cell>
          <cell r="I786">
            <v>44876</v>
          </cell>
          <cell r="J786">
            <v>46082</v>
          </cell>
          <cell r="K786" t="str">
            <v>CONTRATA</v>
          </cell>
          <cell r="L786" t="str">
            <v>PROFESIONAL</v>
          </cell>
          <cell r="M786" t="str">
            <v>PROFESIONAL</v>
          </cell>
          <cell r="N786" t="str">
            <v>GRADO I.17</v>
          </cell>
          <cell r="O786" t="str">
            <v>MAGISTER</v>
          </cell>
          <cell r="P786" t="str">
            <v>MAGISTER EN COMUNICACION ESTRATEGICA</v>
          </cell>
          <cell r="Q786" t="str">
            <v>TALCA</v>
          </cell>
          <cell r="R786" t="str">
            <v>DRCCIÓN. GNAL. VINCULACIÓN CON EL MEDIO</v>
          </cell>
          <cell r="S786" t="str">
            <v>UNIDAD DE DIVULGACIÓN</v>
          </cell>
        </row>
        <row r="787">
          <cell r="A787">
            <v>15157568</v>
          </cell>
          <cell r="B787" t="str">
            <v>15157568</v>
          </cell>
          <cell r="C787" t="str">
            <v>4</v>
          </cell>
          <cell r="D787" t="str">
            <v>SANCHEZ AGURTO ANGELA GRISEL</v>
          </cell>
          <cell r="E787" t="str">
            <v>FCS320011</v>
          </cell>
          <cell r="F787">
            <v>44</v>
          </cell>
          <cell r="G787">
            <v>30</v>
          </cell>
          <cell r="H787" t="str">
            <v>ANSANCHEZ@UTALCA.CL</v>
          </cell>
          <cell r="I787">
            <v>42430</v>
          </cell>
          <cell r="J787">
            <v>46752</v>
          </cell>
          <cell r="K787" t="str">
            <v>CONTRATA</v>
          </cell>
          <cell r="L787" t="str">
            <v>CA DOCENTE</v>
          </cell>
          <cell r="M787" t="str">
            <v>INSTRUCTOR</v>
          </cell>
          <cell r="N787" t="str">
            <v>GRADO D</v>
          </cell>
          <cell r="O787" t="str">
            <v>MAGISTER</v>
          </cell>
          <cell r="P787" t="str">
            <v>MAGISTER EN NUTRICION HUMANA</v>
          </cell>
          <cell r="Q787" t="str">
            <v>TALCA</v>
          </cell>
          <cell r="R787" t="str">
            <v>FACULTAD DE CIENCIAS DE LA SALUD</v>
          </cell>
          <cell r="S787" t="str">
            <v>DEPTO. CIENCIAS DE LA NUT. Y ALIMENTOS</v>
          </cell>
        </row>
        <row r="788">
          <cell r="A788">
            <v>15157983</v>
          </cell>
          <cell r="B788" t="str">
            <v>15157983</v>
          </cell>
          <cell r="C788" t="str">
            <v>3</v>
          </cell>
          <cell r="D788" t="str">
            <v>MILLAR CASTILLO KATHERINE SOLA</v>
          </cell>
          <cell r="E788" t="str">
            <v>VGE400004</v>
          </cell>
          <cell r="F788">
            <v>44</v>
          </cell>
          <cell r="G788">
            <v>30</v>
          </cell>
          <cell r="H788" t="str">
            <v>KMILLAR@UTALCA.CL</v>
          </cell>
          <cell r="I788">
            <v>40756</v>
          </cell>
          <cell r="J788">
            <v>2958465</v>
          </cell>
          <cell r="K788" t="str">
            <v>PLANTA</v>
          </cell>
          <cell r="L788" t="str">
            <v>PROFESIONAL</v>
          </cell>
          <cell r="M788" t="str">
            <v>ADMINISTRATIVO</v>
          </cell>
          <cell r="N788" t="str">
            <v>GRADO I.21</v>
          </cell>
          <cell r="O788" t="str">
            <v>TÍTULO PROFESIONAL</v>
          </cell>
          <cell r="P788" t="str">
            <v>CONTADOR PUBLICO Y AUDITOR</v>
          </cell>
          <cell r="Q788" t="str">
            <v>TALCA</v>
          </cell>
          <cell r="R788" t="str">
            <v>VIC. GESTIÓN ECONÓMICA Y ADMINISTRACIÓN</v>
          </cell>
          <cell r="S788" t="str">
            <v>DEPARTAMENTO DE CONTABILIDAD Y BIENES</v>
          </cell>
        </row>
        <row r="789">
          <cell r="A789">
            <v>15173428</v>
          </cell>
          <cell r="B789" t="str">
            <v>15173428</v>
          </cell>
          <cell r="C789" t="str">
            <v>6</v>
          </cell>
          <cell r="D789" t="str">
            <v>QUINTEROS LAMA HECTOR ELIAS</v>
          </cell>
          <cell r="E789" t="str">
            <v>FCI320004</v>
          </cell>
          <cell r="F789">
            <v>44</v>
          </cell>
          <cell r="G789">
            <v>30</v>
          </cell>
          <cell r="H789" t="str">
            <v>HQUINTEROS@UTALCA.CL</v>
          </cell>
          <cell r="I789">
            <v>42226</v>
          </cell>
          <cell r="J789">
            <v>2958465</v>
          </cell>
          <cell r="K789" t="str">
            <v>PLANTA</v>
          </cell>
          <cell r="L789" t="str">
            <v>CA ORDINARIA</v>
          </cell>
          <cell r="M789" t="str">
            <v>PROFESOR ASISTENTE</v>
          </cell>
          <cell r="N789" t="str">
            <v>GRADO C</v>
          </cell>
          <cell r="O789" t="str">
            <v>DOCTORADO</v>
          </cell>
          <cell r="P789" t="str">
            <v>DOCTOR EN CIENCIAS DE LA INGENIERÍA CON MENCI</v>
          </cell>
          <cell r="Q789" t="str">
            <v>CURICO</v>
          </cell>
          <cell r="R789" t="str">
            <v>FACULTAD DE INGENIERÍA</v>
          </cell>
          <cell r="S789" t="str">
            <v>DEPARTAMENTO DE TECNOLOGÍA INDUSTRIALES</v>
          </cell>
        </row>
        <row r="790">
          <cell r="A790">
            <v>15173768</v>
          </cell>
          <cell r="B790" t="str">
            <v>15173768</v>
          </cell>
          <cell r="C790" t="str">
            <v>4</v>
          </cell>
          <cell r="D790" t="str">
            <v>VALLADARES MUÑOZ JORGE ANTONIO</v>
          </cell>
          <cell r="E790" t="str">
            <v>VGE400051</v>
          </cell>
          <cell r="F790">
            <v>44</v>
          </cell>
          <cell r="G790">
            <v>30</v>
          </cell>
          <cell r="H790" t="str">
            <v/>
          </cell>
          <cell r="I790">
            <v>45839</v>
          </cell>
          <cell r="J790">
            <v>2958465</v>
          </cell>
          <cell r="K790" t="str">
            <v>PLANTA</v>
          </cell>
          <cell r="L790" t="str">
            <v>DIR EXCLU. CONFIANZA</v>
          </cell>
          <cell r="M790" t="str">
            <v>DIR EXCLU. CONFIANZA</v>
          </cell>
          <cell r="N790" t="str">
            <v>GRADO I.8</v>
          </cell>
          <cell r="O790" t="str">
            <v>TÍTULO PROFESIONAL</v>
          </cell>
          <cell r="P790" t="str">
            <v>INGENIERO CIVIL ELECTRICO</v>
          </cell>
          <cell r="Q790" t="str">
            <v>TALCA</v>
          </cell>
          <cell r="R790" t="str">
            <v>VIC. GESTIÓN ECONÓMICA Y ADMINISTRACIÓN</v>
          </cell>
          <cell r="S790" t="str">
            <v>UNIDAD DE MANTENIMIENTO</v>
          </cell>
        </row>
        <row r="791">
          <cell r="A791">
            <v>15174668</v>
          </cell>
          <cell r="B791" t="str">
            <v>15174668</v>
          </cell>
          <cell r="C791" t="str">
            <v>3</v>
          </cell>
          <cell r="D791" t="str">
            <v>RUBIO MELENDEZ MARIA EUGENIA</v>
          </cell>
          <cell r="E791" t="str">
            <v>VAC400024</v>
          </cell>
          <cell r="F791">
            <v>44</v>
          </cell>
          <cell r="G791">
            <v>30</v>
          </cell>
          <cell r="H791" t="str">
            <v>MARUBIO@UTALCA.CL</v>
          </cell>
          <cell r="I791">
            <v>45880</v>
          </cell>
          <cell r="J791">
            <v>46387</v>
          </cell>
          <cell r="K791" t="str">
            <v>CONTRATA</v>
          </cell>
          <cell r="L791" t="str">
            <v>C ESPECIALES</v>
          </cell>
          <cell r="M791" t="str">
            <v>INVESTIGADOR</v>
          </cell>
          <cell r="N791" t="str">
            <v>SIN GRADO</v>
          </cell>
          <cell r="O791" t="str">
            <v>DOCTORADO</v>
          </cell>
          <cell r="P791" t="str">
            <v>DOCTOR EN CIENCIAS AGRARIAS</v>
          </cell>
          <cell r="Q791" t="str">
            <v>TALCA</v>
          </cell>
          <cell r="R791" t="str">
            <v>VICERRECTORÍA ACADÉMICA</v>
          </cell>
          <cell r="S791" t="str">
            <v>VICERRECTORÍA ACADÉMICA</v>
          </cell>
        </row>
        <row r="792">
          <cell r="A792">
            <v>15182719</v>
          </cell>
          <cell r="B792" t="str">
            <v>15182719</v>
          </cell>
          <cell r="C792" t="str">
            <v>5</v>
          </cell>
          <cell r="D792" t="str">
            <v>MONTALBA WEISSE CRISTOBAL FERN</v>
          </cell>
          <cell r="E792" t="str">
            <v>FCI320004</v>
          </cell>
          <cell r="F792">
            <v>44</v>
          </cell>
          <cell r="G792">
            <v>30</v>
          </cell>
          <cell r="H792" t="str">
            <v>CMONTALBA@UTALCA.CL</v>
          </cell>
          <cell r="I792">
            <v>42795</v>
          </cell>
          <cell r="J792">
            <v>2958465</v>
          </cell>
          <cell r="K792" t="str">
            <v>PLANTA</v>
          </cell>
          <cell r="L792" t="str">
            <v>CA ORDINARIA</v>
          </cell>
          <cell r="M792" t="str">
            <v>PROFESOR ASISTENTE</v>
          </cell>
          <cell r="N792" t="str">
            <v>GRADO C</v>
          </cell>
          <cell r="O792" t="str">
            <v>DOCTORADO</v>
          </cell>
          <cell r="P792" t="str">
            <v>DOCTOR EN CIENCIA E INGENIERÍA DE MATERIALES</v>
          </cell>
          <cell r="Q792" t="str">
            <v>CURICO</v>
          </cell>
          <cell r="R792" t="str">
            <v>FACULTAD DE INGENIERÍA</v>
          </cell>
          <cell r="S792" t="str">
            <v>DEPARTAMENTO DE TECNOLOGÍA INDUSTRIALES</v>
          </cell>
        </row>
        <row r="793">
          <cell r="A793">
            <v>15182894</v>
          </cell>
          <cell r="B793" t="str">
            <v>15182894</v>
          </cell>
          <cell r="C793" t="str">
            <v>9</v>
          </cell>
          <cell r="D793" t="str">
            <v>ORTEGA VERA BIANCA ARLETTE</v>
          </cell>
          <cell r="E793" t="str">
            <v>FOD320001</v>
          </cell>
          <cell r="F793">
            <v>22</v>
          </cell>
          <cell r="G793">
            <v>30</v>
          </cell>
          <cell r="H793" t="str">
            <v>BORTEGA@UTALCA.CL</v>
          </cell>
          <cell r="I793">
            <v>44713</v>
          </cell>
          <cell r="J793">
            <v>46446</v>
          </cell>
          <cell r="K793" t="str">
            <v>CONTRATA</v>
          </cell>
          <cell r="L793" t="str">
            <v>CA DOCENTE</v>
          </cell>
          <cell r="M793" t="str">
            <v>INSTRUCTOR</v>
          </cell>
          <cell r="N793" t="str">
            <v>GRADO D</v>
          </cell>
          <cell r="O793" t="str">
            <v>ESPECIAL. ODONTOLÓG.</v>
          </cell>
          <cell r="P793" t="str">
            <v>ESPECIALISTA EN REHABILITACION ORAL</v>
          </cell>
          <cell r="Q793" t="str">
            <v>TALCA</v>
          </cell>
          <cell r="R793" t="str">
            <v>FACULTAD DE ODONTOLOGÍA</v>
          </cell>
          <cell r="S793" t="str">
            <v>DPTO. REHABILITACIÓN BUCO-MAXILOFACIAL</v>
          </cell>
        </row>
        <row r="794">
          <cell r="A794">
            <v>15185565</v>
          </cell>
          <cell r="B794" t="str">
            <v>15185565</v>
          </cell>
          <cell r="C794" t="str">
            <v>2</v>
          </cell>
          <cell r="D794" t="str">
            <v>VÁSQUEZ CONTRERAS FRANCISCA PA</v>
          </cell>
          <cell r="E794" t="str">
            <v>VGE400003</v>
          </cell>
          <cell r="F794">
            <v>44</v>
          </cell>
          <cell r="G794">
            <v>30</v>
          </cell>
          <cell r="H794" t="str">
            <v/>
          </cell>
          <cell r="I794">
            <v>45839</v>
          </cell>
          <cell r="J794">
            <v>46387</v>
          </cell>
          <cell r="K794" t="str">
            <v>CONTRATA</v>
          </cell>
          <cell r="L794" t="str">
            <v>PROFESIONAL</v>
          </cell>
          <cell r="M794" t="str">
            <v>PROFESIONAL</v>
          </cell>
          <cell r="N794" t="str">
            <v>GRADO I.17</v>
          </cell>
          <cell r="O794" t="str">
            <v>TÍTULO PROFESIONAL</v>
          </cell>
          <cell r="P794" t="str">
            <v>ADMINISTRADORA PÚBLICA</v>
          </cell>
          <cell r="Q794" t="str">
            <v>TALCA</v>
          </cell>
          <cell r="R794" t="str">
            <v>VIC. GESTIÓN ECONÓMICA Y ADMINISTRACIÓN</v>
          </cell>
          <cell r="S794" t="str">
            <v>DEPARTAMENTO DE GESTIÓN DE PERSONAS</v>
          </cell>
        </row>
        <row r="795">
          <cell r="A795">
            <v>15198854</v>
          </cell>
          <cell r="B795" t="str">
            <v>15198854</v>
          </cell>
          <cell r="C795" t="str">
            <v>7</v>
          </cell>
          <cell r="D795" t="str">
            <v>DIAZ MONSALVEZ VICTOR EDUARDO</v>
          </cell>
          <cell r="E795" t="str">
            <v>FCI310005</v>
          </cell>
          <cell r="F795">
            <v>44</v>
          </cell>
          <cell r="G795">
            <v>30</v>
          </cell>
          <cell r="H795" t="str">
            <v>VICTOR.DIAZ@UTALCA.CL</v>
          </cell>
          <cell r="I795">
            <v>44927</v>
          </cell>
          <cell r="J795">
            <v>46387</v>
          </cell>
          <cell r="K795" t="str">
            <v>CONTRATA</v>
          </cell>
          <cell r="L795" t="str">
            <v>PROFESIONAL</v>
          </cell>
          <cell r="M795" t="str">
            <v>PROFESIONAL</v>
          </cell>
          <cell r="N795" t="str">
            <v>GRADO I.17</v>
          </cell>
          <cell r="O795" t="str">
            <v>TÍTULO PROFESIONAL</v>
          </cell>
          <cell r="P795" t="str">
            <v>INGENIERO EN AUTOMATIZACION Y CONTROL INDUSTR</v>
          </cell>
          <cell r="Q795" t="str">
            <v>TALCA</v>
          </cell>
          <cell r="R795" t="str">
            <v>FACULTAD DE INGENIERÍA</v>
          </cell>
          <cell r="S795" t="str">
            <v>ESCUELA DE INGENIERÍA CIVIL ELÉCTRICA</v>
          </cell>
        </row>
        <row r="796">
          <cell r="A796">
            <v>15204508</v>
          </cell>
          <cell r="B796" t="str">
            <v>15204508</v>
          </cell>
          <cell r="C796" t="str">
            <v>5</v>
          </cell>
          <cell r="D796" t="str">
            <v>NAVEA CASTRO JULIETA ANDREA</v>
          </cell>
          <cell r="E796" t="str">
            <v>FCS320012</v>
          </cell>
          <cell r="F796">
            <v>44</v>
          </cell>
          <cell r="G796">
            <v>30</v>
          </cell>
          <cell r="H796" t="str">
            <v>JNAVEA@UTALCA.CL</v>
          </cell>
          <cell r="I796">
            <v>42064</v>
          </cell>
          <cell r="J796">
            <v>46446</v>
          </cell>
          <cell r="K796" t="str">
            <v>CONTRATA</v>
          </cell>
          <cell r="L796" t="str">
            <v>CA DOCENTE</v>
          </cell>
          <cell r="M796" t="str">
            <v>INSTRUCTOR</v>
          </cell>
          <cell r="N796" t="str">
            <v>GRADO D</v>
          </cell>
          <cell r="O796" t="str">
            <v>MAGISTER</v>
          </cell>
          <cell r="P796" t="str">
            <v>MAGÍSTER EN GESTIÓN DE INSTITUCIONES DE SALUD</v>
          </cell>
          <cell r="Q796" t="str">
            <v>TALCA</v>
          </cell>
          <cell r="R796" t="str">
            <v>FACULTAD DE CIENCIAS DE LA SALUD</v>
          </cell>
          <cell r="S796" t="str">
            <v>DEPTO. CIENCIAS DEL CUIDADO EN ENFERM.</v>
          </cell>
        </row>
        <row r="797">
          <cell r="A797">
            <v>15205245</v>
          </cell>
          <cell r="B797" t="str">
            <v>15205245</v>
          </cell>
          <cell r="C797" t="str">
            <v>6</v>
          </cell>
          <cell r="D797" t="str">
            <v>HERRERA CARRILLO GABRIELA MARI</v>
          </cell>
          <cell r="E797" t="str">
            <v>FCS310007</v>
          </cell>
          <cell r="F797">
            <v>44</v>
          </cell>
          <cell r="G797">
            <v>30</v>
          </cell>
          <cell r="H797" t="str">
            <v>GABRIELA.HERRERAC@UTALCA.CL</v>
          </cell>
          <cell r="I797">
            <v>44317</v>
          </cell>
          <cell r="J797">
            <v>46446</v>
          </cell>
          <cell r="K797" t="str">
            <v>CONTRATA</v>
          </cell>
          <cell r="L797" t="str">
            <v>CA DOCENTE</v>
          </cell>
          <cell r="M797" t="str">
            <v>INSTRUCTOR</v>
          </cell>
          <cell r="N797" t="str">
            <v>GRADO D</v>
          </cell>
          <cell r="O797" t="str">
            <v>MAGISTER</v>
          </cell>
          <cell r="P797" t="str">
            <v>MAGÍSTER EN GESTIÓN INTEGRAL DE ORGANIZACIONE</v>
          </cell>
          <cell r="Q797" t="str">
            <v>TALCA</v>
          </cell>
          <cell r="R797" t="str">
            <v>FACULTAD DE CIENCIAS DE LA SALUD</v>
          </cell>
          <cell r="S797" t="str">
            <v>ESCUELA DE OBSTETRICIA Y PUERICULTURA</v>
          </cell>
        </row>
        <row r="798">
          <cell r="A798">
            <v>15205282</v>
          </cell>
          <cell r="B798" t="str">
            <v>15205282</v>
          </cell>
          <cell r="C798" t="str">
            <v>0</v>
          </cell>
          <cell r="D798" t="str">
            <v>SAAVEDRA NUÑEZ GERMAN EDUARDO</v>
          </cell>
          <cell r="E798" t="str">
            <v>ICB300001</v>
          </cell>
          <cell r="F798">
            <v>22</v>
          </cell>
          <cell r="G798">
            <v>30</v>
          </cell>
          <cell r="H798" t="str">
            <v>GESAAVEDRA@UTALCA.CL</v>
          </cell>
          <cell r="I798">
            <v>43344</v>
          </cell>
          <cell r="J798">
            <v>46446</v>
          </cell>
          <cell r="K798" t="str">
            <v>CONTRATA</v>
          </cell>
          <cell r="L798" t="str">
            <v>CA DOCENTE</v>
          </cell>
          <cell r="M798" t="str">
            <v>INSTRUCTOR</v>
          </cell>
          <cell r="N798" t="str">
            <v>GRADO D</v>
          </cell>
          <cell r="O798" t="str">
            <v>MAGISTER</v>
          </cell>
          <cell r="P798" t="str">
            <v>MAGISTER EN ECOLOGIA APLICADA</v>
          </cell>
          <cell r="Q798" t="str">
            <v>TALCA</v>
          </cell>
          <cell r="R798" t="str">
            <v>INSTITUTO DE CIENCIAS BIOLÓGICAS</v>
          </cell>
          <cell r="S798" t="str">
            <v>INSTITUTO DE CIENCIAS BIOLÓGICAS</v>
          </cell>
        </row>
        <row r="799">
          <cell r="A799">
            <v>15222185</v>
          </cell>
          <cell r="B799" t="str">
            <v>15222185</v>
          </cell>
          <cell r="C799" t="str">
            <v>1</v>
          </cell>
          <cell r="D799" t="str">
            <v>MORALES GONZALEZ MONSERRAT FER</v>
          </cell>
          <cell r="E799" t="str">
            <v>FCS320011</v>
          </cell>
          <cell r="F799">
            <v>44</v>
          </cell>
          <cell r="G799">
            <v>30</v>
          </cell>
          <cell r="H799" t="str">
            <v>MMORALESG@UTALCA.CL</v>
          </cell>
          <cell r="I799">
            <v>42583</v>
          </cell>
          <cell r="J799">
            <v>46752</v>
          </cell>
          <cell r="K799" t="str">
            <v>CONTRATA</v>
          </cell>
          <cell r="L799" t="str">
            <v>CA DOCENTE</v>
          </cell>
          <cell r="M799" t="str">
            <v>INSTRUCTOR</v>
          </cell>
          <cell r="N799" t="str">
            <v>GRADO D</v>
          </cell>
          <cell r="O799" t="str">
            <v>MAGISTER</v>
          </cell>
          <cell r="P799" t="str">
            <v>MAGISTER EN PEDAGOGIA PARA LA EDUCACIÓN SUPER</v>
          </cell>
          <cell r="Q799" t="str">
            <v>TALCA</v>
          </cell>
          <cell r="R799" t="str">
            <v>FACULTAD DE CIENCIAS DE LA SALUD</v>
          </cell>
          <cell r="S799" t="str">
            <v>DEPTO. CIENCIAS DE LA NUT. Y ALIMENTOS</v>
          </cell>
        </row>
        <row r="800">
          <cell r="A800">
            <v>15261661</v>
          </cell>
          <cell r="B800" t="str">
            <v>15261661</v>
          </cell>
          <cell r="C800" t="str">
            <v>9</v>
          </cell>
          <cell r="D800" t="str">
            <v>ULLOA FULGERI JOSE LUIS</v>
          </cell>
          <cell r="E800" t="str">
            <v>FPS200001</v>
          </cell>
          <cell r="F800">
            <v>44</v>
          </cell>
          <cell r="G800">
            <v>30</v>
          </cell>
          <cell r="H800" t="str">
            <v>JOULLOA@UTALCA.CL</v>
          </cell>
          <cell r="I800">
            <v>43191</v>
          </cell>
          <cell r="J800">
            <v>2958465</v>
          </cell>
          <cell r="K800" t="str">
            <v>PLANTA</v>
          </cell>
          <cell r="L800" t="str">
            <v>CA ORDINARIA</v>
          </cell>
          <cell r="M800" t="str">
            <v>PROFESOR ASISTENTE</v>
          </cell>
          <cell r="N800" t="str">
            <v>GRADO C</v>
          </cell>
          <cell r="O800" t="str">
            <v>DOCTORADO</v>
          </cell>
          <cell r="P800" t="str">
            <v>DOCTEUR SPECIALITE CERVEAU COGNITION COMPORTA</v>
          </cell>
          <cell r="Q800" t="str">
            <v>TALCA</v>
          </cell>
          <cell r="R800" t="str">
            <v>FACULTAD DE PSICOLOGÍA</v>
          </cell>
          <cell r="S800" t="str">
            <v>FACULTAD DE PSICOLOGÍA</v>
          </cell>
        </row>
        <row r="801">
          <cell r="A801">
            <v>15307782</v>
          </cell>
          <cell r="B801" t="str">
            <v>15307782</v>
          </cell>
          <cell r="C801" t="str">
            <v>7</v>
          </cell>
          <cell r="D801" t="str">
            <v>JARUFE CONTRERAS DANIELA WADÍA</v>
          </cell>
          <cell r="E801" t="str">
            <v>FCJ320002</v>
          </cell>
          <cell r="F801">
            <v>30</v>
          </cell>
          <cell r="G801">
            <v>30</v>
          </cell>
          <cell r="H801" t="str">
            <v>DANIELA.JARUFE@UTALCA.CL</v>
          </cell>
          <cell r="I801">
            <v>43891</v>
          </cell>
          <cell r="J801">
            <v>2958465</v>
          </cell>
          <cell r="K801" t="str">
            <v>PLANTA</v>
          </cell>
          <cell r="L801" t="str">
            <v>CA ORDINARIA</v>
          </cell>
          <cell r="M801" t="str">
            <v>PROFESOR ASISTENTE</v>
          </cell>
          <cell r="N801" t="str">
            <v>GRADO C</v>
          </cell>
          <cell r="O801" t="str">
            <v>DOCTORADO</v>
          </cell>
          <cell r="P801" t="str">
            <v>DOCTORA EN DERECHO</v>
          </cell>
          <cell r="Q801" t="str">
            <v>TALCA</v>
          </cell>
          <cell r="R801" t="str">
            <v>FACULTAD CIENCIAS JURÍDICAS Y SOCIALES</v>
          </cell>
          <cell r="S801" t="str">
            <v>DPTO. DERECHO PRIVADO Y CNCIAS. DERECHO</v>
          </cell>
        </row>
        <row r="802">
          <cell r="A802">
            <v>15313351</v>
          </cell>
          <cell r="B802" t="str">
            <v>15313351</v>
          </cell>
          <cell r="C802" t="str">
            <v>4</v>
          </cell>
          <cell r="D802" t="str">
            <v>MORALES NAVARRO SAMUEL ELIAS</v>
          </cell>
          <cell r="E802" t="str">
            <v>ICB300001</v>
          </cell>
          <cell r="F802">
            <v>44</v>
          </cell>
          <cell r="G802">
            <v>30</v>
          </cell>
          <cell r="H802" t="str">
            <v>SAMORALES@UTALCA.CL</v>
          </cell>
          <cell r="I802">
            <v>43525</v>
          </cell>
          <cell r="J802">
            <v>46446</v>
          </cell>
          <cell r="K802" t="str">
            <v>CONTRATA</v>
          </cell>
          <cell r="L802" t="str">
            <v>CA DOCENTE</v>
          </cell>
          <cell r="M802" t="str">
            <v>INSTRUCTOR</v>
          </cell>
          <cell r="N802" t="str">
            <v>GRADO D</v>
          </cell>
          <cell r="O802" t="str">
            <v>DOCTORADO</v>
          </cell>
          <cell r="P802" t="str">
            <v>DOCTOR EN CIENCIAS MENCIÓN INGENIERÍA GENÉTIC</v>
          </cell>
          <cell r="Q802" t="str">
            <v>TALCA</v>
          </cell>
          <cell r="R802" t="str">
            <v>INSTITUTO DE CIENCIAS BIOLÓGICAS</v>
          </cell>
          <cell r="S802" t="str">
            <v>INSTITUTO DE CIENCIAS BIOLÓGICAS</v>
          </cell>
        </row>
        <row r="803">
          <cell r="A803">
            <v>15317036</v>
          </cell>
          <cell r="B803" t="str">
            <v>15317036</v>
          </cell>
          <cell r="C803" t="str">
            <v>3</v>
          </cell>
          <cell r="D803" t="str">
            <v>LARA LORCA SUSANA ANDREA</v>
          </cell>
          <cell r="E803" t="str">
            <v>FCI340001</v>
          </cell>
          <cell r="F803">
            <v>44</v>
          </cell>
          <cell r="G803">
            <v>30</v>
          </cell>
          <cell r="H803" t="str">
            <v>SULARA@UTALCA.CL</v>
          </cell>
          <cell r="I803">
            <v>44927</v>
          </cell>
          <cell r="J803">
            <v>46387</v>
          </cell>
          <cell r="K803" t="str">
            <v>CONTRATA</v>
          </cell>
          <cell r="L803" t="str">
            <v>PROFESIONAL</v>
          </cell>
          <cell r="M803" t="str">
            <v>PROFESIONAL</v>
          </cell>
          <cell r="N803" t="str">
            <v>GRADO I.17</v>
          </cell>
          <cell r="O803" t="str">
            <v>TÍTULO PROFESIONAL</v>
          </cell>
          <cell r="P803" t="str">
            <v>INGENIERO CIVIL INDUSTRIAL</v>
          </cell>
          <cell r="Q803" t="str">
            <v>CURICO</v>
          </cell>
          <cell r="R803" t="str">
            <v>FACULTAD DE INGENIERÍA</v>
          </cell>
          <cell r="S803" t="str">
            <v>FACULTAD DE INGENIERÍA</v>
          </cell>
        </row>
        <row r="804">
          <cell r="A804">
            <v>15318220</v>
          </cell>
          <cell r="B804" t="str">
            <v>15318220</v>
          </cell>
          <cell r="C804" t="str">
            <v>5</v>
          </cell>
          <cell r="D804" t="str">
            <v>VENEGAS CANCINO JAIME ANDRES</v>
          </cell>
          <cell r="E804" t="str">
            <v>VGE400056</v>
          </cell>
          <cell r="F804">
            <v>44</v>
          </cell>
          <cell r="G804">
            <v>30</v>
          </cell>
          <cell r="H804" t="str">
            <v>JAIME.VENEGAS@UTALCA.CL</v>
          </cell>
          <cell r="I804">
            <v>45175</v>
          </cell>
          <cell r="J804">
            <v>46387</v>
          </cell>
          <cell r="K804" t="str">
            <v>CONTRATA</v>
          </cell>
          <cell r="L804" t="str">
            <v>PROFESIONAL</v>
          </cell>
          <cell r="M804" t="str">
            <v>PROFESIONAL</v>
          </cell>
          <cell r="N804" t="str">
            <v>GRADO I.17</v>
          </cell>
          <cell r="O804" t="str">
            <v>TÍTULO PROFESIONAL</v>
          </cell>
          <cell r="P804" t="str">
            <v>INGENIERO INFORMATICO</v>
          </cell>
          <cell r="Q804" t="str">
            <v>TALCA</v>
          </cell>
          <cell r="R804" t="str">
            <v>VIC. GESTIÓN ECONÓMICA Y ADMINISTRACIÓN</v>
          </cell>
          <cell r="S804" t="str">
            <v>DEPARTAMENTO DE SISTEMAS</v>
          </cell>
        </row>
        <row r="805">
          <cell r="A805">
            <v>15319279</v>
          </cell>
          <cell r="B805" t="str">
            <v>15319279</v>
          </cell>
          <cell r="C805" t="str">
            <v>0</v>
          </cell>
          <cell r="D805" t="str">
            <v>VIVEROS ESPINOSA ALEJANDRO JAV</v>
          </cell>
          <cell r="E805" t="str">
            <v>IAM300001</v>
          </cell>
          <cell r="F805">
            <v>44</v>
          </cell>
          <cell r="G805">
            <v>30</v>
          </cell>
          <cell r="H805" t="str">
            <v>ALEJANDRO.VIVEROS@UTALCA.CL</v>
          </cell>
          <cell r="I805">
            <v>44837</v>
          </cell>
          <cell r="J805">
            <v>2958465</v>
          </cell>
          <cell r="K805" t="str">
            <v>PLANTA</v>
          </cell>
          <cell r="L805" t="str">
            <v>CA ORDINARIA</v>
          </cell>
          <cell r="M805" t="str">
            <v>PROFESOR ASOCIADO</v>
          </cell>
          <cell r="N805" t="str">
            <v>GRADO B</v>
          </cell>
          <cell r="O805" t="str">
            <v>DOCTORADO</v>
          </cell>
          <cell r="P805" t="str">
            <v>DOCTORADO ESTUDIOS LATINOAMERICANOS</v>
          </cell>
          <cell r="Q805" t="str">
            <v>TALCA</v>
          </cell>
          <cell r="R805" t="str">
            <v>INST. ESTUDIOS HUMANÍSTICOS ABATE J.I.M.</v>
          </cell>
          <cell r="S805" t="str">
            <v>INST. ESTUDIOS HUMANÍSTICOS ABATE J.I.M.</v>
          </cell>
        </row>
        <row r="806">
          <cell r="A806">
            <v>15319370</v>
          </cell>
          <cell r="B806" t="str">
            <v>15319370</v>
          </cell>
          <cell r="C806" t="str">
            <v>3</v>
          </cell>
          <cell r="D806" t="str">
            <v>NAVARRETE WALLACE SOLANGE</v>
          </cell>
          <cell r="E806" t="str">
            <v>FAD320005</v>
          </cell>
          <cell r="F806">
            <v>44</v>
          </cell>
          <cell r="G806">
            <v>30</v>
          </cell>
          <cell r="H806" t="str">
            <v>SNAVARRETE@UTALCA.CL</v>
          </cell>
          <cell r="I806">
            <v>39887</v>
          </cell>
          <cell r="J806">
            <v>46446</v>
          </cell>
          <cell r="K806" t="str">
            <v>CONTRATA</v>
          </cell>
          <cell r="L806" t="str">
            <v>CA DOCENTE</v>
          </cell>
          <cell r="M806" t="str">
            <v>PROFESOR ASOCIADO</v>
          </cell>
          <cell r="N806" t="str">
            <v>GRADO B</v>
          </cell>
          <cell r="O806" t="str">
            <v>MAGISTER</v>
          </cell>
          <cell r="P806" t="str">
            <v>MASTER OF MUSIC</v>
          </cell>
          <cell r="Q806" t="str">
            <v>TALCA</v>
          </cell>
          <cell r="R806" t="str">
            <v>FACULTAD DE ARQUITECTUR, MÚSICA Y DISEÑO</v>
          </cell>
          <cell r="S806" t="str">
            <v>DEPTO. DE INTERP. Y FORM. MUSICAL ESPEC.</v>
          </cell>
        </row>
        <row r="807">
          <cell r="A807">
            <v>15339311</v>
          </cell>
          <cell r="B807" t="str">
            <v>15339311</v>
          </cell>
          <cell r="C807" t="str">
            <v>7</v>
          </cell>
          <cell r="D807" t="str">
            <v>GUERRA DIAZ GABRIELA DORIS</v>
          </cell>
          <cell r="E807" t="str">
            <v>IMF300001</v>
          </cell>
          <cell r="F807">
            <v>44</v>
          </cell>
          <cell r="G807">
            <v>30</v>
          </cell>
          <cell r="H807" t="str">
            <v>GGUERRA@UTALCA.CL</v>
          </cell>
          <cell r="I807">
            <v>44986</v>
          </cell>
          <cell r="J807">
            <v>46446</v>
          </cell>
          <cell r="K807" t="str">
            <v>CONTRATA</v>
          </cell>
          <cell r="L807" t="str">
            <v>CA DOCENTE</v>
          </cell>
          <cell r="M807" t="str">
            <v>INSTRUCTOR</v>
          </cell>
          <cell r="N807" t="str">
            <v>GRADO D</v>
          </cell>
          <cell r="O807" t="str">
            <v>MAGISTER</v>
          </cell>
          <cell r="P807" t="str">
            <v>MAGÍSTER EN CIENCIAS CON MENCIÓN EN MATEMÁTIC</v>
          </cell>
          <cell r="Q807" t="str">
            <v>TALCA</v>
          </cell>
          <cell r="R807" t="str">
            <v>INSTITUTO DE MATEMÁTICAS</v>
          </cell>
          <cell r="S807" t="str">
            <v>INSTITUTO DE MATEMÁTICAS</v>
          </cell>
        </row>
        <row r="808">
          <cell r="A808">
            <v>15356082</v>
          </cell>
          <cell r="B808" t="str">
            <v>15356082</v>
          </cell>
          <cell r="C808" t="str">
            <v>K</v>
          </cell>
          <cell r="D808" t="str">
            <v>CARDENAS FIGUEROA VIVIANA</v>
          </cell>
          <cell r="E808" t="str">
            <v>FCJ200001</v>
          </cell>
          <cell r="F808">
            <v>44</v>
          </cell>
          <cell r="G808">
            <v>30</v>
          </cell>
          <cell r="H808" t="str">
            <v>VICARDENAS@UTALCA.CL</v>
          </cell>
          <cell r="I808">
            <v>41275</v>
          </cell>
          <cell r="J808">
            <v>46387</v>
          </cell>
          <cell r="K808" t="str">
            <v>CONTRATA</v>
          </cell>
          <cell r="L808" t="str">
            <v>ADMINISTRATIVO</v>
          </cell>
          <cell r="M808" t="str">
            <v>ADMINISTRATIVO</v>
          </cell>
          <cell r="N808" t="str">
            <v>GRADO I.21</v>
          </cell>
          <cell r="O808" t="str">
            <v>TÉC. NIVEL SUPERIOR</v>
          </cell>
          <cell r="P808" t="str">
            <v>SECRETARIA EJECUTIVA BILINGUE</v>
          </cell>
          <cell r="Q808" t="str">
            <v>SANTIAGO</v>
          </cell>
          <cell r="R808" t="str">
            <v>FACULTAD CIENCIAS JURÍDICAS Y SOCIALES</v>
          </cell>
          <cell r="S808" t="str">
            <v>FACULTAD CIENCIAS JURÍDICAS Y SOCIALES</v>
          </cell>
        </row>
        <row r="809">
          <cell r="A809">
            <v>15382409</v>
          </cell>
          <cell r="B809" t="str">
            <v>15382409</v>
          </cell>
          <cell r="C809" t="str">
            <v>6</v>
          </cell>
          <cell r="D809" t="str">
            <v>GONZALEZ GARCIA PIA JOSE</v>
          </cell>
          <cell r="E809" t="str">
            <v>FED310009</v>
          </cell>
          <cell r="F809">
            <v>44</v>
          </cell>
          <cell r="G809">
            <v>30</v>
          </cell>
          <cell r="H809" t="str">
            <v>PIA.GONZALEZ@UTALCA.CL</v>
          </cell>
          <cell r="I809">
            <v>45536</v>
          </cell>
          <cell r="J809">
            <v>46446</v>
          </cell>
          <cell r="K809" t="str">
            <v>CONTRATA</v>
          </cell>
          <cell r="L809" t="str">
            <v>CA DOCENTE</v>
          </cell>
          <cell r="M809" t="str">
            <v>PROFESOR ASISTENTE</v>
          </cell>
          <cell r="N809" t="str">
            <v>GRADO C</v>
          </cell>
          <cell r="O809" t="str">
            <v>DOCTORADO</v>
          </cell>
          <cell r="P809" t="str">
            <v>DOCTORADO EN EDUCACIÓN</v>
          </cell>
          <cell r="Q809" t="str">
            <v>LINARES</v>
          </cell>
          <cell r="R809" t="str">
            <v>FACULTAD DE CIENCIAS DE LA EDUCACIÓN</v>
          </cell>
          <cell r="S809" t="str">
            <v>ESC. PDG.CIENCIAS NATURALES Y EXACTAS</v>
          </cell>
        </row>
        <row r="810">
          <cell r="A810">
            <v>15383571</v>
          </cell>
          <cell r="B810" t="str">
            <v>15383571</v>
          </cell>
          <cell r="C810" t="str">
            <v>3</v>
          </cell>
          <cell r="D810" t="str">
            <v>GARCIA-HUIDOBRO PRIETO JENARO</v>
          </cell>
          <cell r="E810" t="str">
            <v>FAM320001</v>
          </cell>
          <cell r="F810">
            <v>44</v>
          </cell>
          <cell r="G810">
            <v>30</v>
          </cell>
          <cell r="H810" t="str">
            <v>JGARCIAHUIDOBRO@UTALCA.CL</v>
          </cell>
          <cell r="I810">
            <v>43101</v>
          </cell>
          <cell r="J810">
            <v>2958465</v>
          </cell>
          <cell r="K810" t="str">
            <v>PLANTA</v>
          </cell>
          <cell r="L810" t="str">
            <v>CA ORDINARIA</v>
          </cell>
          <cell r="M810" t="str">
            <v>PROFESOR ASISTENTE</v>
          </cell>
          <cell r="N810" t="str">
            <v>GRADO C</v>
          </cell>
          <cell r="O810" t="str">
            <v>DOCTORADO</v>
          </cell>
          <cell r="P810" t="str">
            <v>DOCTOR OF PHYLOSOPHY IN BIOCHEMISTRY AND MOLE</v>
          </cell>
          <cell r="Q810" t="str">
            <v>TALCA</v>
          </cell>
          <cell r="R810" t="str">
            <v>FACULTAD DE MEDICINA</v>
          </cell>
          <cell r="S810" t="str">
            <v>DEPARTAMENTO DE CIENCIAS PRECLÍNICAS</v>
          </cell>
        </row>
        <row r="811">
          <cell r="A811">
            <v>15385486</v>
          </cell>
          <cell r="B811" t="str">
            <v>15385486</v>
          </cell>
          <cell r="C811" t="str">
            <v>6</v>
          </cell>
          <cell r="D811" t="str">
            <v>BEJARES CASANUEVA MARIA PIA</v>
          </cell>
          <cell r="E811" t="str">
            <v>ADC015001</v>
          </cell>
          <cell r="F811">
            <v>44</v>
          </cell>
          <cell r="G811">
            <v>30</v>
          </cell>
          <cell r="H811" t="str">
            <v>MARIA.BEJARES@UTALCA.CL</v>
          </cell>
          <cell r="I811">
            <v>44256</v>
          </cell>
          <cell r="J811">
            <v>2958465</v>
          </cell>
          <cell r="K811" t="str">
            <v>PLANTA</v>
          </cell>
          <cell r="L811" t="str">
            <v>DIR EXCLU. CONFIANZA</v>
          </cell>
          <cell r="M811" t="str">
            <v>DIR EXCLU. CONFIANZA</v>
          </cell>
          <cell r="N811" t="str">
            <v>GRADO I.3</v>
          </cell>
          <cell r="O811" t="str">
            <v>MAGISTER</v>
          </cell>
          <cell r="P811" t="str">
            <v>MAGISTER EN DERECHO MENCION DERECHO ADMINISTR</v>
          </cell>
          <cell r="Q811" t="str">
            <v>TALCA</v>
          </cell>
          <cell r="R811" t="str">
            <v>DIRECCIÓN DE ASUNTOS JURÍDICOS</v>
          </cell>
          <cell r="S811" t="str">
            <v>DIRECCIÓN DE ASUNTOS JURÍDICOS</v>
          </cell>
        </row>
        <row r="812">
          <cell r="A812">
            <v>15428794</v>
          </cell>
          <cell r="B812" t="str">
            <v>15428794</v>
          </cell>
          <cell r="C812" t="str">
            <v>9</v>
          </cell>
          <cell r="D812" t="str">
            <v>CASTRO ZUÑIGA HERNAN IGNACIO</v>
          </cell>
          <cell r="E812" t="str">
            <v>IMF300001</v>
          </cell>
          <cell r="F812">
            <v>44</v>
          </cell>
          <cell r="G812">
            <v>30</v>
          </cell>
          <cell r="H812" t="str">
            <v>HCASTRO@UTALCA.CL</v>
          </cell>
          <cell r="I812">
            <v>41699</v>
          </cell>
          <cell r="J812">
            <v>2958465</v>
          </cell>
          <cell r="K812" t="str">
            <v>PLANTA</v>
          </cell>
          <cell r="L812" t="str">
            <v>CA ORDINARIA</v>
          </cell>
          <cell r="M812" t="str">
            <v>PROFESOR ASISTENTE</v>
          </cell>
          <cell r="N812" t="str">
            <v>GRADO C</v>
          </cell>
          <cell r="O812" t="str">
            <v>DOCTORADO</v>
          </cell>
          <cell r="P812" t="str">
            <v>DOCTOR EN MATEMÁTICAS</v>
          </cell>
          <cell r="Q812" t="str">
            <v>TALCA</v>
          </cell>
          <cell r="R812" t="str">
            <v>INSTITUTO DE MATEMÁTICAS</v>
          </cell>
          <cell r="S812" t="str">
            <v>INSTITUTO DE MATEMÁTICAS</v>
          </cell>
        </row>
        <row r="813">
          <cell r="A813">
            <v>15461774</v>
          </cell>
          <cell r="B813" t="str">
            <v>15461774</v>
          </cell>
          <cell r="C813" t="str">
            <v>4</v>
          </cell>
          <cell r="D813" t="str">
            <v>VALENZUELA MUÑOZ ANGEL ANDRES</v>
          </cell>
          <cell r="E813" t="str">
            <v>FPS200001</v>
          </cell>
          <cell r="F813">
            <v>44</v>
          </cell>
          <cell r="G813">
            <v>30</v>
          </cell>
          <cell r="H813" t="str">
            <v>ANVALENZUELA@UTALCA.CL</v>
          </cell>
          <cell r="I813">
            <v>45505</v>
          </cell>
          <cell r="J813">
            <v>47051</v>
          </cell>
          <cell r="K813" t="str">
            <v>PLANTA</v>
          </cell>
          <cell r="L813" t="str">
            <v>CA ORDINARIA</v>
          </cell>
          <cell r="M813" t="str">
            <v>PROFESOR ASISTENTE</v>
          </cell>
          <cell r="N813" t="str">
            <v>GRADO C</v>
          </cell>
          <cell r="O813" t="str">
            <v>DOCTORADO</v>
          </cell>
          <cell r="P813" t="str">
            <v>DOCTOR EN CIENCIAS HUMANAS</v>
          </cell>
          <cell r="Q813" t="str">
            <v>TALCA</v>
          </cell>
          <cell r="R813" t="str">
            <v>FACULTAD DE PSICOLOGÍA</v>
          </cell>
          <cell r="S813" t="str">
            <v>FACULTAD DE PSICOLOGÍA</v>
          </cell>
        </row>
        <row r="814">
          <cell r="A814">
            <v>15466213</v>
          </cell>
          <cell r="B814" t="str">
            <v>15466213</v>
          </cell>
          <cell r="C814" t="str">
            <v>8</v>
          </cell>
          <cell r="D814" t="str">
            <v>CASTRO NALLAR EDUARDO FELIPE</v>
          </cell>
          <cell r="E814" t="str">
            <v>FCS320002</v>
          </cell>
          <cell r="F814">
            <v>44</v>
          </cell>
          <cell r="G814">
            <v>30</v>
          </cell>
          <cell r="H814" t="str">
            <v>ECASTRON@UTALCA.CL</v>
          </cell>
          <cell r="I814">
            <v>44652</v>
          </cell>
          <cell r="J814">
            <v>2958465</v>
          </cell>
          <cell r="K814" t="str">
            <v>PLANTA</v>
          </cell>
          <cell r="L814" t="str">
            <v>CA ORDINARIA</v>
          </cell>
          <cell r="M814" t="str">
            <v>PROFESOR TITULAR</v>
          </cell>
          <cell r="N814" t="str">
            <v>GRADO A</v>
          </cell>
          <cell r="O814" t="str">
            <v>DOCTORADO</v>
          </cell>
          <cell r="P814" t="str">
            <v>DOCTOR OF PHILOSOPHY</v>
          </cell>
          <cell r="Q814" t="str">
            <v>TALCA</v>
          </cell>
          <cell r="R814" t="str">
            <v>FACULTAD DE CIENCIAS DE LA SALUD</v>
          </cell>
          <cell r="S814" t="str">
            <v>DEPARTAMENTO DE MICROBIOLOGÍA</v>
          </cell>
        </row>
        <row r="815">
          <cell r="A815">
            <v>15478828</v>
          </cell>
          <cell r="B815" t="str">
            <v>15478828</v>
          </cell>
          <cell r="C815" t="str">
            <v>K</v>
          </cell>
          <cell r="D815" t="str">
            <v>ZAMORA BRITO RICARDO ANDRES</v>
          </cell>
          <cell r="E815" t="str">
            <v>VAC400024</v>
          </cell>
          <cell r="F815">
            <v>44</v>
          </cell>
          <cell r="G815">
            <v>30</v>
          </cell>
          <cell r="H815" t="str">
            <v>RICARDO.ZAMORA@UTALCA.CL</v>
          </cell>
          <cell r="I815">
            <v>44986</v>
          </cell>
          <cell r="J815">
            <v>46387</v>
          </cell>
          <cell r="K815" t="str">
            <v>CONTRATA</v>
          </cell>
          <cell r="L815" t="str">
            <v>INVESTIGADOR ASISTENTE</v>
          </cell>
          <cell r="M815" t="str">
            <v>INVESTIGADOR</v>
          </cell>
          <cell r="N815" t="str">
            <v>SIN GRADO</v>
          </cell>
          <cell r="O815" t="str">
            <v>DOCTORADO</v>
          </cell>
          <cell r="P815" t="str">
            <v>DOCTOR EN CIENCIAS CON MENCION EN BIOLOGIA MO</v>
          </cell>
          <cell r="Q815" t="str">
            <v>TALCA</v>
          </cell>
          <cell r="R815" t="str">
            <v>VICERRECTORÍA ACADÉMICA</v>
          </cell>
          <cell r="S815" t="str">
            <v>VICERRECTORÍA ACADÉMICA</v>
          </cell>
        </row>
        <row r="816">
          <cell r="A816">
            <v>15494011</v>
          </cell>
          <cell r="B816" t="str">
            <v>15494011</v>
          </cell>
          <cell r="C816" t="str">
            <v>1</v>
          </cell>
          <cell r="D816" t="str">
            <v>MUÑOZ VIDAL JAVIER ANDRES</v>
          </cell>
          <cell r="E816" t="str">
            <v>FCI320007</v>
          </cell>
          <cell r="F816">
            <v>44</v>
          </cell>
          <cell r="G816">
            <v>30</v>
          </cell>
          <cell r="H816" t="str">
            <v>JAMUNOZ@UTALCA.CL</v>
          </cell>
          <cell r="I816">
            <v>40664</v>
          </cell>
          <cell r="J816">
            <v>2958465</v>
          </cell>
          <cell r="K816" t="str">
            <v>PLANTA</v>
          </cell>
          <cell r="L816" t="str">
            <v>CA ORDINARIA</v>
          </cell>
          <cell r="M816" t="str">
            <v>PROFESOR TITULAR</v>
          </cell>
          <cell r="N816" t="str">
            <v>GRADO A</v>
          </cell>
          <cell r="O816" t="str">
            <v>DOCTORADO</v>
          </cell>
          <cell r="P816" t="str">
            <v>DOCTOR EN CIENCIAS MENCIÓN INGENIERIA ELÉCTRI</v>
          </cell>
          <cell r="Q816" t="str">
            <v>CURICO</v>
          </cell>
          <cell r="R816" t="str">
            <v>FACULTAD DE INGENIERÍA</v>
          </cell>
          <cell r="S816" t="str">
            <v>DEPARTAMENTO DE INGENIERÍA ELÉCTRICA</v>
          </cell>
        </row>
        <row r="817">
          <cell r="A817">
            <v>15503772</v>
          </cell>
          <cell r="B817" t="str">
            <v>15503772</v>
          </cell>
          <cell r="C817" t="str">
            <v>5</v>
          </cell>
          <cell r="D817" t="str">
            <v>MARDONES NECULQUEO CRISTIAN MA</v>
          </cell>
          <cell r="E817" t="str">
            <v>FCI320007</v>
          </cell>
          <cell r="F817">
            <v>44</v>
          </cell>
          <cell r="G817">
            <v>30</v>
          </cell>
          <cell r="H817" t="str">
            <v>CMARDONESN@UTALCA.CL</v>
          </cell>
          <cell r="I817">
            <v>42736</v>
          </cell>
          <cell r="J817">
            <v>46446</v>
          </cell>
          <cell r="K817" t="str">
            <v>CONTRATA</v>
          </cell>
          <cell r="L817" t="str">
            <v>CA DOCENTE</v>
          </cell>
          <cell r="M817" t="str">
            <v>INSTRUCTOR</v>
          </cell>
          <cell r="N817" t="str">
            <v>GRADO D</v>
          </cell>
          <cell r="O817" t="str">
            <v>MAGISTER</v>
          </cell>
          <cell r="P817" t="str">
            <v>MAGISTER EN CIENCIAS DE LA INGENIERIA CON MEN</v>
          </cell>
          <cell r="Q817" t="str">
            <v>CURICO</v>
          </cell>
          <cell r="R817" t="str">
            <v>FACULTAD DE INGENIERÍA</v>
          </cell>
          <cell r="S817" t="str">
            <v>DEPARTAMENTO DE INGENIERÍA ELÉCTRICA</v>
          </cell>
        </row>
        <row r="818">
          <cell r="A818">
            <v>15549273</v>
          </cell>
          <cell r="B818" t="str">
            <v>15549273</v>
          </cell>
          <cell r="C818" t="str">
            <v>2</v>
          </cell>
          <cell r="D818" t="str">
            <v>CONTRERAS MELLADO VICTOR HUGO</v>
          </cell>
          <cell r="E818" t="str">
            <v>VRF400005</v>
          </cell>
          <cell r="F818">
            <v>44</v>
          </cell>
          <cell r="G818">
            <v>30</v>
          </cell>
          <cell r="H818" t="str">
            <v>VICONTRERAS@UTALCA.CL</v>
          </cell>
          <cell r="I818">
            <v>43466</v>
          </cell>
          <cell r="J818">
            <v>46446</v>
          </cell>
          <cell r="K818" t="str">
            <v>CONTRATA</v>
          </cell>
          <cell r="L818" t="str">
            <v>CA DOCENTE</v>
          </cell>
          <cell r="M818" t="str">
            <v>PROFESOR ASISTENTE</v>
          </cell>
          <cell r="N818" t="str">
            <v>GRADO C</v>
          </cell>
          <cell r="O818" t="str">
            <v>MAGISTER</v>
          </cell>
          <cell r="P818" t="str">
            <v>MAGÍSTER EN CIENCIAS DE LA ACT. FÍSICA M/ACTI</v>
          </cell>
          <cell r="Q818" t="str">
            <v>TALCA</v>
          </cell>
          <cell r="R818" t="str">
            <v>DIRECCIÓN DE PREGRADO</v>
          </cell>
          <cell r="S818" t="str">
            <v>PROGRAMA DE DEPORTES</v>
          </cell>
        </row>
        <row r="819">
          <cell r="A819">
            <v>15569101</v>
          </cell>
          <cell r="B819" t="str">
            <v>15569101</v>
          </cell>
          <cell r="C819" t="str">
            <v>8</v>
          </cell>
          <cell r="D819" t="str">
            <v>CACERES GAJARDO CRISTINA NATAL</v>
          </cell>
          <cell r="E819" t="str">
            <v>VGE400031</v>
          </cell>
          <cell r="F819">
            <v>44</v>
          </cell>
          <cell r="G819">
            <v>30</v>
          </cell>
          <cell r="H819" t="str">
            <v>CRCACERES@UTALCA.CL</v>
          </cell>
          <cell r="I819">
            <v>39569</v>
          </cell>
          <cell r="J819">
            <v>2958465</v>
          </cell>
          <cell r="K819" t="str">
            <v>PLANTA</v>
          </cell>
          <cell r="L819" t="str">
            <v>TÉCNICO</v>
          </cell>
          <cell r="M819" t="str">
            <v>TÉCNICO</v>
          </cell>
          <cell r="N819" t="str">
            <v>GRADO I.23</v>
          </cell>
          <cell r="O819" t="str">
            <v>TÍTULO PROFESIONAL</v>
          </cell>
          <cell r="P819" t="str">
            <v>CONTADOR PUBLICO Y AUDITOR</v>
          </cell>
          <cell r="Q819" t="str">
            <v>TALCA</v>
          </cell>
          <cell r="R819" t="str">
            <v>VIC. GESTIÓN ECONÓMICA Y ADMINISTRACIÓN</v>
          </cell>
          <cell r="S819" t="str">
            <v>DPTO. DE APOYO FINANCIERO AL ESTUDIANTE</v>
          </cell>
        </row>
        <row r="820">
          <cell r="A820">
            <v>15569522</v>
          </cell>
          <cell r="B820" t="str">
            <v>15569522</v>
          </cell>
          <cell r="C820" t="str">
            <v>6</v>
          </cell>
          <cell r="D820" t="str">
            <v>GUTIERREZ NORAMBUENA ANA MARIA</v>
          </cell>
          <cell r="E820" t="str">
            <v>FCS320011</v>
          </cell>
          <cell r="F820">
            <v>44</v>
          </cell>
          <cell r="G820">
            <v>30</v>
          </cell>
          <cell r="H820" t="str">
            <v>ANGUTIERREZ@UTALCA.CL</v>
          </cell>
          <cell r="I820">
            <v>44136</v>
          </cell>
          <cell r="J820">
            <v>46446</v>
          </cell>
          <cell r="K820" t="str">
            <v>CONTRATA</v>
          </cell>
          <cell r="L820" t="str">
            <v>CA DOCENTE</v>
          </cell>
          <cell r="M820" t="str">
            <v>INSTRUCTOR</v>
          </cell>
          <cell r="N820" t="str">
            <v>GRADO D</v>
          </cell>
          <cell r="O820" t="str">
            <v>MAGISTER</v>
          </cell>
          <cell r="P820" t="str">
            <v>MAGÍSTER EN PEDAGOGÍA APLICADA A LA EDUCACIÓN</v>
          </cell>
          <cell r="Q820" t="str">
            <v>TALCA</v>
          </cell>
          <cell r="R820" t="str">
            <v>FACULTAD DE CIENCIAS DE LA SALUD</v>
          </cell>
          <cell r="S820" t="str">
            <v>DEPTO. CIENCIAS DE LA NUT. Y ALIMENTOS</v>
          </cell>
        </row>
        <row r="821">
          <cell r="A821">
            <v>15569597</v>
          </cell>
          <cell r="B821" t="str">
            <v>15569597</v>
          </cell>
          <cell r="C821" t="str">
            <v>8</v>
          </cell>
          <cell r="D821" t="str">
            <v>ROJAS MONTESINO ALEXIS ENRIQUE</v>
          </cell>
          <cell r="E821" t="str">
            <v>VGE400056</v>
          </cell>
          <cell r="F821">
            <v>44</v>
          </cell>
          <cell r="G821">
            <v>30</v>
          </cell>
          <cell r="H821" t="str">
            <v>ALEXISROJAS@UTALCA.CL</v>
          </cell>
          <cell r="I821">
            <v>43101</v>
          </cell>
          <cell r="J821">
            <v>46387</v>
          </cell>
          <cell r="K821" t="str">
            <v>CONTRATA</v>
          </cell>
          <cell r="L821" t="str">
            <v>ADMINISTRATIVO</v>
          </cell>
          <cell r="M821" t="str">
            <v>ADMINISTRATIVO</v>
          </cell>
          <cell r="N821" t="str">
            <v>GRADO I.21</v>
          </cell>
          <cell r="O821" t="str">
            <v>TÍTULO PROFESIONAL</v>
          </cell>
          <cell r="P821" t="str">
            <v>INGENIERO EN INFORMÁTICA</v>
          </cell>
          <cell r="Q821" t="str">
            <v>TALCA</v>
          </cell>
          <cell r="R821" t="str">
            <v>VIC. GESTIÓN ECONÓMICA Y ADMINISTRACIÓN</v>
          </cell>
          <cell r="S821" t="str">
            <v>DEPARTAMENTO DE SISTEMAS</v>
          </cell>
        </row>
        <row r="822">
          <cell r="A822">
            <v>15569959</v>
          </cell>
          <cell r="B822" t="str">
            <v>15569959</v>
          </cell>
          <cell r="C822" t="str">
            <v>0</v>
          </cell>
          <cell r="D822" t="str">
            <v>SENA LARA RUDIHT REBECA</v>
          </cell>
          <cell r="E822" t="str">
            <v>FOD200001</v>
          </cell>
          <cell r="F822">
            <v>22</v>
          </cell>
          <cell r="G822">
            <v>30</v>
          </cell>
          <cell r="H822" t="str">
            <v>RSENA@UTALCA.CL</v>
          </cell>
          <cell r="I822">
            <v>43191</v>
          </cell>
          <cell r="J822">
            <v>46387</v>
          </cell>
          <cell r="K822" t="str">
            <v>CONTRATA</v>
          </cell>
          <cell r="L822" t="str">
            <v>C ESPECIALES</v>
          </cell>
          <cell r="M822" t="str">
            <v>TUTOR(A) PRÁCTICA</v>
          </cell>
          <cell r="N822" t="str">
            <v>SIN GRADO</v>
          </cell>
          <cell r="O822" t="str">
            <v>ESPECIAL. ODONTOLÓG.</v>
          </cell>
          <cell r="P822" t="str">
            <v>ESPECIALISTA EN ENDODONCIA</v>
          </cell>
          <cell r="Q822" t="str">
            <v>TALCA</v>
          </cell>
          <cell r="R822" t="str">
            <v>FACULTAD DE ODONTOLOGÍA</v>
          </cell>
          <cell r="S822" t="str">
            <v>FACULTAD DE ODONTOLOGÍA</v>
          </cell>
        </row>
        <row r="823">
          <cell r="A823">
            <v>15570194</v>
          </cell>
          <cell r="B823" t="str">
            <v>15570194</v>
          </cell>
          <cell r="C823" t="str">
            <v>3</v>
          </cell>
          <cell r="D823" t="str">
            <v>PARADA VALLEJO HERNAN PATRICIO</v>
          </cell>
          <cell r="E823" t="str">
            <v>VGE400050</v>
          </cell>
          <cell r="F823">
            <v>44</v>
          </cell>
          <cell r="G823">
            <v>30</v>
          </cell>
          <cell r="H823" t="str">
            <v>HERNAN.PARADA@UTALCA.CL</v>
          </cell>
          <cell r="I823">
            <v>43466</v>
          </cell>
          <cell r="J823">
            <v>46387</v>
          </cell>
          <cell r="K823" t="str">
            <v>CONTRATA</v>
          </cell>
          <cell r="L823" t="str">
            <v>PROFESIONAL</v>
          </cell>
          <cell r="M823" t="str">
            <v>PROFESIONAL</v>
          </cell>
          <cell r="N823" t="str">
            <v>GRADO I.17</v>
          </cell>
          <cell r="O823" t="str">
            <v>TÍTULO PROFESIONAL</v>
          </cell>
          <cell r="P823" t="str">
            <v>INGENIERO CONSTRUCTOR</v>
          </cell>
          <cell r="Q823" t="str">
            <v>LINARES</v>
          </cell>
          <cell r="R823" t="str">
            <v>VIC. GESTIÓN ECONÓMICA Y ADMINISTRACIÓN</v>
          </cell>
          <cell r="S823" t="str">
            <v>DEPARTAMENTO DE ADMINISTRACIÓN DE CAMPUS</v>
          </cell>
        </row>
        <row r="824">
          <cell r="A824">
            <v>15575962</v>
          </cell>
          <cell r="B824" t="str">
            <v>15575962</v>
          </cell>
          <cell r="C824" t="str">
            <v>3</v>
          </cell>
          <cell r="D824" t="str">
            <v>CARRASCO GONZALEZ MONICA BEATR</v>
          </cell>
          <cell r="E824" t="str">
            <v>FAM320002</v>
          </cell>
          <cell r="F824">
            <v>44</v>
          </cell>
          <cell r="G824">
            <v>30</v>
          </cell>
          <cell r="H824" t="str">
            <v>MONICA.CARRASCO@UTALCA.CL</v>
          </cell>
          <cell r="I824">
            <v>44317</v>
          </cell>
          <cell r="J824">
            <v>46446</v>
          </cell>
          <cell r="K824" t="str">
            <v>CONTRATA</v>
          </cell>
          <cell r="L824" t="str">
            <v>CA DOCENTE</v>
          </cell>
          <cell r="M824" t="str">
            <v>INSTRUCTOR</v>
          </cell>
          <cell r="N824" t="str">
            <v>GRADO D</v>
          </cell>
          <cell r="O824" t="str">
            <v>TÍTULO PROFESIONAL</v>
          </cell>
          <cell r="P824" t="str">
            <v>MÉDICO CIRUJANO</v>
          </cell>
          <cell r="Q824" t="str">
            <v>TALCA</v>
          </cell>
          <cell r="R824" t="str">
            <v>FACULTAD DE MEDICINA</v>
          </cell>
          <cell r="S824" t="str">
            <v>DEPARTAMENTO DE MEDICINA CLÍNICA</v>
          </cell>
        </row>
        <row r="825">
          <cell r="A825">
            <v>15584572</v>
          </cell>
          <cell r="B825" t="str">
            <v>15584572</v>
          </cell>
          <cell r="C825" t="str">
            <v>4</v>
          </cell>
          <cell r="D825" t="str">
            <v>PINTO GUTIERREZ CRISTIAN ALEXI</v>
          </cell>
          <cell r="E825" t="str">
            <v>FEN310004</v>
          </cell>
          <cell r="F825">
            <v>44</v>
          </cell>
          <cell r="G825">
            <v>30</v>
          </cell>
          <cell r="H825" t="str">
            <v>CRISTIAN.PINTO@UTALCA.CL</v>
          </cell>
          <cell r="I825">
            <v>44075</v>
          </cell>
          <cell r="J825">
            <v>2958465</v>
          </cell>
          <cell r="K825" t="str">
            <v>PLANTA</v>
          </cell>
          <cell r="L825" t="str">
            <v>CA ORDINARIA</v>
          </cell>
          <cell r="M825" t="str">
            <v>PROFESOR ASISTENTE</v>
          </cell>
          <cell r="N825" t="str">
            <v>GRADO C</v>
          </cell>
          <cell r="O825" t="str">
            <v>DOCTORADO</v>
          </cell>
          <cell r="P825" t="str">
            <v>DOCTOR OF PHILOSOPHY</v>
          </cell>
          <cell r="Q825" t="str">
            <v>TALCA</v>
          </cell>
          <cell r="R825" t="str">
            <v>FACULTAD DE ECONOMÍA Y NEGOCIOS</v>
          </cell>
          <cell r="S825" t="str">
            <v>ESC. AUDITORIA Y CONTROL DE GESTIÓN TLCA</v>
          </cell>
        </row>
        <row r="826">
          <cell r="A826">
            <v>15592802</v>
          </cell>
          <cell r="B826" t="str">
            <v>15592802</v>
          </cell>
          <cell r="C826" t="str">
            <v>6</v>
          </cell>
          <cell r="D826" t="str">
            <v>LOPEZ SEPULVEDA KARIN DANIELA</v>
          </cell>
          <cell r="E826" t="str">
            <v>ADC024001</v>
          </cell>
          <cell r="F826">
            <v>44</v>
          </cell>
          <cell r="G826">
            <v>30</v>
          </cell>
          <cell r="H826" t="str">
            <v>KLOPEZ@UTALCA.CL</v>
          </cell>
          <cell r="I826">
            <v>43466</v>
          </cell>
          <cell r="J826">
            <v>46387</v>
          </cell>
          <cell r="K826" t="str">
            <v>CONTRATA</v>
          </cell>
          <cell r="L826" t="str">
            <v>PROFESIONAL</v>
          </cell>
          <cell r="M826" t="str">
            <v>PROFESIONAL</v>
          </cell>
          <cell r="N826" t="str">
            <v>GRADO I.17</v>
          </cell>
          <cell r="O826" t="str">
            <v>TÍTULO PROFESIONAL</v>
          </cell>
          <cell r="P826" t="str">
            <v>INGENIERO AGRÓNOMO</v>
          </cell>
          <cell r="Q826" t="str">
            <v>TALCA</v>
          </cell>
          <cell r="R826" t="str">
            <v>DRCCIÓN. GNAL. VINCULACIÓN CON EL MEDIO</v>
          </cell>
          <cell r="S826" t="str">
            <v>DEPARTAMENTO DE SUSTENTABILIDAD</v>
          </cell>
        </row>
        <row r="827">
          <cell r="A827">
            <v>15596707</v>
          </cell>
          <cell r="B827" t="str">
            <v>15596707</v>
          </cell>
          <cell r="C827" t="str">
            <v>2</v>
          </cell>
          <cell r="D827" t="str">
            <v>PEÑA AZOCAR MARGARITA ANDREA</v>
          </cell>
          <cell r="E827" t="str">
            <v/>
          </cell>
          <cell r="F827">
            <v>44</v>
          </cell>
          <cell r="G827">
            <v>30</v>
          </cell>
          <cell r="H827" t="str">
            <v>MPENA@UTALCA.CL</v>
          </cell>
          <cell r="I827">
            <v>41275</v>
          </cell>
          <cell r="J827">
            <v>2958465</v>
          </cell>
          <cell r="K827" t="str">
            <v>PLANTA</v>
          </cell>
          <cell r="L827" t="str">
            <v>ADMINISTRATIVO</v>
          </cell>
          <cell r="M827" t="str">
            <v>ADMINISTRATIVO</v>
          </cell>
          <cell r="N827" t="str">
            <v>GRADO I.20</v>
          </cell>
          <cell r="O827" t="str">
            <v>TÍTULO PROFESIONAL</v>
          </cell>
          <cell r="P827" t="str">
            <v>INGENIERO DE EJECUCIÓN EN ADMINISTRACIÓN</v>
          </cell>
          <cell r="Q827" t="str">
            <v>TALCA</v>
          </cell>
          <cell r="R827" t="str">
            <v>DRCCIÓN. GNAL. VINCULACIÓN CON EL MEDIO</v>
          </cell>
          <cell r="S827" t="str">
            <v>DRCCIÓN. GNAL. VINCULACIÓN CON EL MEDIO</v>
          </cell>
        </row>
        <row r="828">
          <cell r="A828">
            <v>15596828</v>
          </cell>
          <cell r="B828" t="str">
            <v>15596828</v>
          </cell>
          <cell r="C828" t="str">
            <v>1</v>
          </cell>
          <cell r="D828" t="str">
            <v>CASTRO ARRIAGADA MARIA CAROLIN</v>
          </cell>
          <cell r="E828" t="str">
            <v>VRF100001</v>
          </cell>
          <cell r="F828">
            <v>44</v>
          </cell>
          <cell r="G828">
            <v>30</v>
          </cell>
          <cell r="H828" t="str">
            <v>MARCASTRO@UTALCA.CL</v>
          </cell>
          <cell r="I828">
            <v>39569</v>
          </cell>
          <cell r="J828">
            <v>2958465</v>
          </cell>
          <cell r="K828" t="str">
            <v>PLANTA</v>
          </cell>
          <cell r="L828" t="str">
            <v>TÉCNICO</v>
          </cell>
          <cell r="M828" t="str">
            <v>TÉCNICO</v>
          </cell>
          <cell r="N828" t="str">
            <v>GRADO I.23</v>
          </cell>
          <cell r="O828" t="str">
            <v>MAGISTER</v>
          </cell>
          <cell r="P828" t="str">
            <v>MAGISTER EN ADMINISTRACIÓN DE EMPRESAS</v>
          </cell>
          <cell r="Q828" t="str">
            <v>TALCA</v>
          </cell>
          <cell r="R828" t="str">
            <v>VICERRECTORÍA DE FORMACIÓN</v>
          </cell>
          <cell r="S828" t="str">
            <v>VICERRECTORÍA DE FORMACIÓN</v>
          </cell>
        </row>
        <row r="829">
          <cell r="A829">
            <v>15597334</v>
          </cell>
          <cell r="B829" t="str">
            <v>15597334</v>
          </cell>
          <cell r="C829" t="str">
            <v>K</v>
          </cell>
          <cell r="D829" t="str">
            <v>GUAJARDO LEIVA SERGIO EDUARDO</v>
          </cell>
          <cell r="E829" t="str">
            <v>VAC100001</v>
          </cell>
          <cell r="F829">
            <v>44</v>
          </cell>
          <cell r="G829">
            <v>30</v>
          </cell>
          <cell r="H829" t="str">
            <v>SERGIO.GUAJARDO@UTALCA.CL</v>
          </cell>
          <cell r="I829">
            <v>45658</v>
          </cell>
          <cell r="J829">
            <v>46387</v>
          </cell>
          <cell r="K829" t="str">
            <v>CONTRATA</v>
          </cell>
          <cell r="L829" t="str">
            <v>INVESTIGADOR ASISTENTE</v>
          </cell>
          <cell r="M829" t="str">
            <v>INVESTIGADOR</v>
          </cell>
          <cell r="N829" t="str">
            <v>SIN GRADO</v>
          </cell>
          <cell r="O829" t="str">
            <v>DOCTORADO</v>
          </cell>
          <cell r="P829" t="str">
            <v>DOCTOR EN CIENCIAS BIOLÓGICAS CON MENCIÓN EN</v>
          </cell>
          <cell r="Q829" t="str">
            <v>TALCA</v>
          </cell>
          <cell r="R829" t="str">
            <v>VICERRECTORÍA ACADÉMICA</v>
          </cell>
          <cell r="S829" t="str">
            <v>VICERRECTORÍA ACADÉMICA</v>
          </cell>
        </row>
        <row r="830">
          <cell r="A830">
            <v>15597360</v>
          </cell>
          <cell r="B830" t="str">
            <v>15597360</v>
          </cell>
          <cell r="C830" t="str">
            <v>9</v>
          </cell>
          <cell r="D830" t="str">
            <v>QUITRAL CARO CAROLINA ANDREA</v>
          </cell>
          <cell r="E830" t="str">
            <v>FEN310002</v>
          </cell>
          <cell r="F830">
            <v>44</v>
          </cell>
          <cell r="G830">
            <v>30</v>
          </cell>
          <cell r="H830" t="str">
            <v>CQUITRAL@UTALCA.CL</v>
          </cell>
          <cell r="I830">
            <v>41275</v>
          </cell>
          <cell r="J830">
            <v>2958465</v>
          </cell>
          <cell r="K830" t="str">
            <v>PLANTA</v>
          </cell>
          <cell r="L830" t="str">
            <v>ADMINISTRATIVO</v>
          </cell>
          <cell r="M830" t="str">
            <v>ADMINISTRATIVO</v>
          </cell>
          <cell r="N830" t="str">
            <v>GRADO I.19</v>
          </cell>
          <cell r="O830" t="str">
            <v>TÉC. NIVEL MEDIO</v>
          </cell>
          <cell r="P830" t="str">
            <v>TECNICO PROGRAMADOR EN COMPUTACION</v>
          </cell>
          <cell r="Q830" t="str">
            <v>TALCA</v>
          </cell>
          <cell r="R830" t="str">
            <v>FACULTAD DE ECONOMÍA Y NEGOCIOS</v>
          </cell>
          <cell r="S830" t="str">
            <v>ESC. DE ING. INFORMÁTICA EMPRESARIAL</v>
          </cell>
        </row>
        <row r="831">
          <cell r="A831">
            <v>15597834</v>
          </cell>
          <cell r="B831" t="str">
            <v>15597834</v>
          </cell>
          <cell r="C831" t="str">
            <v>1</v>
          </cell>
          <cell r="D831" t="str">
            <v>ROJAS UMAÑA VICTOR FERNANDO</v>
          </cell>
          <cell r="E831" t="str">
            <v/>
          </cell>
          <cell r="F831">
            <v>40</v>
          </cell>
          <cell r="G831">
            <v>30</v>
          </cell>
          <cell r="H831" t="str">
            <v>VIROJAS@UTALCA.CL</v>
          </cell>
          <cell r="I831">
            <v>44927</v>
          </cell>
          <cell r="J831">
            <v>46387</v>
          </cell>
          <cell r="K831" t="str">
            <v>CONTRATA</v>
          </cell>
          <cell r="L831" t="str">
            <v>TÉCNICO</v>
          </cell>
          <cell r="M831" t="str">
            <v>TÉCNICO</v>
          </cell>
          <cell r="N831" t="str">
            <v>GRADO I.17</v>
          </cell>
          <cell r="O831" t="str">
            <v>TÉC. NIVEL MEDIO</v>
          </cell>
          <cell r="P831" t="str">
            <v>TECNICO AGRICOLA GENERALISTA</v>
          </cell>
          <cell r="Q831" t="str">
            <v>TALCA</v>
          </cell>
          <cell r="R831" t="str">
            <v>FACULTAD DE CIENCIAS AGRARIAS</v>
          </cell>
          <cell r="S831" t="str">
            <v>DEPARTAMENTO DE PRODUCCIÓN AGRÍCOLA</v>
          </cell>
        </row>
        <row r="832">
          <cell r="A832">
            <v>15598017</v>
          </cell>
          <cell r="B832" t="str">
            <v>15598017</v>
          </cell>
          <cell r="C832" t="str">
            <v>6</v>
          </cell>
          <cell r="D832" t="str">
            <v>JORQUERA FUENTES PAULA DENISSE</v>
          </cell>
          <cell r="E832" t="str">
            <v>FCS320007</v>
          </cell>
          <cell r="F832">
            <v>44</v>
          </cell>
          <cell r="G832">
            <v>30</v>
          </cell>
          <cell r="H832" t="str">
            <v>PJORQUERA@UTALCA.CL</v>
          </cell>
          <cell r="I832">
            <v>43374</v>
          </cell>
          <cell r="J832">
            <v>46446</v>
          </cell>
          <cell r="K832" t="str">
            <v>CONTRATA</v>
          </cell>
          <cell r="L832" t="str">
            <v>CA DOCENTE</v>
          </cell>
          <cell r="M832" t="str">
            <v>INSTRUCTOR</v>
          </cell>
          <cell r="N832" t="str">
            <v>GRADO D</v>
          </cell>
          <cell r="O832" t="str">
            <v>MAGISTER</v>
          </cell>
          <cell r="P832" t="str">
            <v>MAGISTER EN EDUCACIÓN ESPECIAL Y PSICOPEDAGOG</v>
          </cell>
          <cell r="Q832" t="str">
            <v>TALCA</v>
          </cell>
          <cell r="R832" t="str">
            <v>FACULTAD DE CIENCIAS DE LA SALUD</v>
          </cell>
          <cell r="S832" t="str">
            <v>DPTO. DE CIENCIAS BÁSICAS BIOMÉDICAS</v>
          </cell>
        </row>
        <row r="833">
          <cell r="A833">
            <v>15598255</v>
          </cell>
          <cell r="B833" t="str">
            <v>15598255</v>
          </cell>
          <cell r="C833" t="str">
            <v>1</v>
          </cell>
          <cell r="D833" t="str">
            <v>BARRERA VALENZUELA ANDREA KARI</v>
          </cell>
          <cell r="E833" t="str">
            <v>FCS320002</v>
          </cell>
          <cell r="F833">
            <v>44</v>
          </cell>
          <cell r="G833">
            <v>30</v>
          </cell>
          <cell r="H833" t="str">
            <v>ABARRERA@UTALCA.CL</v>
          </cell>
          <cell r="I833">
            <v>44409</v>
          </cell>
          <cell r="J833">
            <v>46446</v>
          </cell>
          <cell r="K833" t="str">
            <v>CONTRATA</v>
          </cell>
          <cell r="L833" t="str">
            <v>CA DOCENTE</v>
          </cell>
          <cell r="M833" t="str">
            <v>PROFESOR ASISTENTE</v>
          </cell>
          <cell r="N833" t="str">
            <v>GRADO C</v>
          </cell>
          <cell r="O833" t="str">
            <v>MAGISTER</v>
          </cell>
          <cell r="P833" t="str">
            <v>MAGISTER EN CIENCIAS BIOMÉDICAS MENCION: MICR</v>
          </cell>
          <cell r="Q833" t="str">
            <v>TALCA</v>
          </cell>
          <cell r="R833" t="str">
            <v>FACULTAD DE CIENCIAS DE LA SALUD</v>
          </cell>
          <cell r="S833" t="str">
            <v>DEPARTAMENTO DE MICROBIOLOGÍA</v>
          </cell>
        </row>
        <row r="834">
          <cell r="A834">
            <v>15598271</v>
          </cell>
          <cell r="B834" t="str">
            <v>15598271</v>
          </cell>
          <cell r="C834" t="str">
            <v>3</v>
          </cell>
          <cell r="D834" t="str">
            <v>BUENO RAMIREZ GUILLERMO ANTONI</v>
          </cell>
          <cell r="E834" t="str">
            <v>FAM200001</v>
          </cell>
          <cell r="F834">
            <v>44</v>
          </cell>
          <cell r="G834">
            <v>30</v>
          </cell>
          <cell r="H834" t="str">
            <v>GBUENO@UTALCA.CL</v>
          </cell>
          <cell r="I834">
            <v>43101</v>
          </cell>
          <cell r="J834">
            <v>46387</v>
          </cell>
          <cell r="K834" t="str">
            <v>CONTRATA</v>
          </cell>
          <cell r="L834" t="str">
            <v>ADMINISTRATIVO</v>
          </cell>
          <cell r="M834" t="str">
            <v>ADMINISTRATIVO</v>
          </cell>
          <cell r="N834" t="str">
            <v>GRADO I.21</v>
          </cell>
          <cell r="O834" t="str">
            <v>TÍTULO PROFESIONAL</v>
          </cell>
          <cell r="P834" t="str">
            <v>INGENIERO DE EJECUCIÓN EN ADMINISTRACIÓN DE E</v>
          </cell>
          <cell r="Q834" t="str">
            <v>TALCA</v>
          </cell>
          <cell r="R834" t="str">
            <v>FACULTAD DE MEDICINA</v>
          </cell>
          <cell r="S834" t="str">
            <v>FACULTAD DE MEDICINA</v>
          </cell>
        </row>
        <row r="835">
          <cell r="A835">
            <v>15598479</v>
          </cell>
          <cell r="B835" t="str">
            <v>15598479</v>
          </cell>
          <cell r="C835" t="str">
            <v>1</v>
          </cell>
          <cell r="D835" t="str">
            <v>PALMA BRAVO CRISTIAN RODRIGO</v>
          </cell>
          <cell r="E835" t="str">
            <v>VGE400019</v>
          </cell>
          <cell r="F835">
            <v>44</v>
          </cell>
          <cell r="G835">
            <v>30</v>
          </cell>
          <cell r="H835" t="str">
            <v>CPALMA@UTALCA.CL</v>
          </cell>
          <cell r="I835">
            <v>42095</v>
          </cell>
          <cell r="J835">
            <v>2958465</v>
          </cell>
          <cell r="K835" t="str">
            <v>PLANTA</v>
          </cell>
          <cell r="L835" t="str">
            <v>ADMINISTRATIVO</v>
          </cell>
          <cell r="M835" t="str">
            <v>ADMINISTRATIVO</v>
          </cell>
          <cell r="N835" t="str">
            <v>GRADO I.20</v>
          </cell>
          <cell r="O835" t="str">
            <v>TÍTULO PROFESIONAL</v>
          </cell>
          <cell r="P835" t="str">
            <v>CONTADOR PÚBLICO Y AUDITOR</v>
          </cell>
          <cell r="Q835" t="str">
            <v>TALCA</v>
          </cell>
          <cell r="R835" t="str">
            <v>VIC. GESTIÓN ECONÓMICA Y ADMINISTRACIÓN</v>
          </cell>
          <cell r="S835" t="str">
            <v>DPTO. DE GESTIÓN DE PAGO A PROVEEDORES</v>
          </cell>
        </row>
        <row r="836">
          <cell r="A836">
            <v>15598594</v>
          </cell>
          <cell r="B836" t="str">
            <v>15598594</v>
          </cell>
          <cell r="C836" t="str">
            <v>1</v>
          </cell>
          <cell r="D836" t="str">
            <v>ALCANTARA SALAZAR YOBANY ISAAC</v>
          </cell>
          <cell r="E836" t="str">
            <v>FAD310001</v>
          </cell>
          <cell r="F836">
            <v>44</v>
          </cell>
          <cell r="G836">
            <v>30</v>
          </cell>
          <cell r="H836" t="str">
            <v>YALCANTARA@UTALCA.CL</v>
          </cell>
          <cell r="I836">
            <v>43101</v>
          </cell>
          <cell r="J836">
            <v>46387</v>
          </cell>
          <cell r="K836" t="str">
            <v>CONTRATA</v>
          </cell>
          <cell r="L836" t="str">
            <v>ADMINISTRATIVO</v>
          </cell>
          <cell r="M836" t="str">
            <v>ADMINISTRATIVO</v>
          </cell>
          <cell r="N836" t="str">
            <v>GRADO I.21</v>
          </cell>
          <cell r="O836" t="str">
            <v>TÉC. NIVEL SUPERIOR</v>
          </cell>
          <cell r="P836" t="str">
            <v>TÉCNICO DE NIVEL SUPERIOR EN SISTEMAS INFORMÁ</v>
          </cell>
          <cell r="Q836" t="str">
            <v>TALCA</v>
          </cell>
          <cell r="R836" t="str">
            <v>FACULTAD DE ARQUITECTUR, MÚSICA Y DISEÑO</v>
          </cell>
          <cell r="S836" t="str">
            <v>ESCUELA DE ARQUITECTURA</v>
          </cell>
        </row>
        <row r="837">
          <cell r="A837">
            <v>15598859</v>
          </cell>
          <cell r="B837" t="str">
            <v>15598859</v>
          </cell>
          <cell r="C837" t="str">
            <v>2</v>
          </cell>
          <cell r="D837" t="str">
            <v>URIBE ORTIZ NATALIA PAULINA</v>
          </cell>
          <cell r="E837" t="str">
            <v>FPS310001</v>
          </cell>
          <cell r="F837">
            <v>33</v>
          </cell>
          <cell r="G837">
            <v>30</v>
          </cell>
          <cell r="H837" t="str">
            <v>NURIBE@UTALCA.CL</v>
          </cell>
          <cell r="I837">
            <v>43374</v>
          </cell>
          <cell r="J837">
            <v>46446</v>
          </cell>
          <cell r="K837" t="str">
            <v>CONTRATA</v>
          </cell>
          <cell r="L837" t="str">
            <v>CA DOCENTE</v>
          </cell>
          <cell r="M837" t="str">
            <v>PROFESOR ASISTENTE</v>
          </cell>
          <cell r="N837" t="str">
            <v>GRADO C</v>
          </cell>
          <cell r="O837" t="str">
            <v>MAGISTER</v>
          </cell>
          <cell r="P837" t="str">
            <v>MAGÍSTER EN PSICOLOGÍA CON MENCIÓN EN PSICOLO</v>
          </cell>
          <cell r="Q837" t="str">
            <v>TALCA</v>
          </cell>
          <cell r="R837" t="str">
            <v>FACULTAD DE PSICOLOGÍA</v>
          </cell>
          <cell r="S837" t="str">
            <v>ESCUELA DE PSICOLOGÍA</v>
          </cell>
        </row>
        <row r="838">
          <cell r="A838">
            <v>15598918</v>
          </cell>
          <cell r="B838" t="str">
            <v>15598918</v>
          </cell>
          <cell r="C838" t="str">
            <v>1</v>
          </cell>
          <cell r="D838" t="str">
            <v>MEDEL LEON PIA CAROLINA</v>
          </cell>
          <cell r="E838" t="str">
            <v>VGE400052</v>
          </cell>
          <cell r="F838">
            <v>44</v>
          </cell>
          <cell r="G838">
            <v>30</v>
          </cell>
          <cell r="H838" t="str">
            <v>PIA.MEDEL@UTALCA.CL</v>
          </cell>
          <cell r="I838">
            <v>44927</v>
          </cell>
          <cell r="J838">
            <v>46387</v>
          </cell>
          <cell r="K838" t="str">
            <v>CONTRATA</v>
          </cell>
          <cell r="L838" t="str">
            <v>TÉCNICO</v>
          </cell>
          <cell r="M838" t="str">
            <v>TÉCNICO</v>
          </cell>
          <cell r="N838" t="str">
            <v>GRADO I.23</v>
          </cell>
          <cell r="O838" t="str">
            <v>TÉC. NIVEL SUPERIOR</v>
          </cell>
          <cell r="P838" t="str">
            <v>TECNICO DE NIVEL SUPERIOR EN ADMINISTRACION D</v>
          </cell>
          <cell r="Q838" t="str">
            <v>TALCA</v>
          </cell>
          <cell r="R838" t="str">
            <v>VIC. GESTIÓN ECONÓMICA Y ADMINISTRACIÓN</v>
          </cell>
          <cell r="S838" t="str">
            <v>DEPARTAMENTO DE GESTIÓN DE PERSONAS</v>
          </cell>
        </row>
        <row r="839">
          <cell r="A839">
            <v>15599221</v>
          </cell>
          <cell r="B839" t="str">
            <v>15599221</v>
          </cell>
          <cell r="C839" t="str">
            <v>2</v>
          </cell>
          <cell r="D839" t="str">
            <v>CACERES MELLADO MACARENA ANDRE</v>
          </cell>
          <cell r="E839" t="str">
            <v>VRF400002</v>
          </cell>
          <cell r="F839">
            <v>44</v>
          </cell>
          <cell r="G839">
            <v>30</v>
          </cell>
          <cell r="H839" t="str">
            <v>MACACERES@UTALCA.CL</v>
          </cell>
          <cell r="I839">
            <v>43466</v>
          </cell>
          <cell r="J839">
            <v>46387</v>
          </cell>
          <cell r="K839" t="str">
            <v>CONTRATA</v>
          </cell>
          <cell r="L839" t="str">
            <v>PROFESIONAL</v>
          </cell>
          <cell r="M839" t="str">
            <v>PROFESIONAL</v>
          </cell>
          <cell r="N839" t="str">
            <v>GRADO I.17</v>
          </cell>
          <cell r="O839" t="str">
            <v>TÍTULO PROFESIONAL</v>
          </cell>
          <cell r="P839" t="str">
            <v>PROFESORA DE EDUCACIÓN GENERAL BÁSICA</v>
          </cell>
          <cell r="Q839" t="str">
            <v>TALCA</v>
          </cell>
          <cell r="R839" t="str">
            <v>VICERRECTORÍA DE FORMACIÓN</v>
          </cell>
          <cell r="S839" t="str">
            <v>UN. DE DESARROLLO CURRICULAR DE PREGRADO</v>
          </cell>
        </row>
        <row r="840">
          <cell r="A840">
            <v>15599414</v>
          </cell>
          <cell r="B840" t="str">
            <v>15599414</v>
          </cell>
          <cell r="C840" t="str">
            <v>2</v>
          </cell>
          <cell r="D840" t="str">
            <v>LOBOS PEREZ ALEJANDRO ANTONIO</v>
          </cell>
          <cell r="E840" t="str">
            <v>FAD320003</v>
          </cell>
          <cell r="F840">
            <v>44</v>
          </cell>
          <cell r="G840">
            <v>30</v>
          </cell>
          <cell r="H840" t="str">
            <v>ALOBOS@UTALCA.CL</v>
          </cell>
          <cell r="I840">
            <v>43344</v>
          </cell>
          <cell r="J840">
            <v>46446</v>
          </cell>
          <cell r="K840" t="str">
            <v>CONTRATA</v>
          </cell>
          <cell r="L840" t="str">
            <v>CA DOCENTE</v>
          </cell>
          <cell r="M840" t="str">
            <v>INSTRUCTOR</v>
          </cell>
          <cell r="N840" t="str">
            <v>GRADO D</v>
          </cell>
          <cell r="O840" t="str">
            <v>MAGISTER</v>
          </cell>
          <cell r="P840" t="str">
            <v>MASTER EN DISEÑO INDUSTRIAL Y DESARROLLO DE P</v>
          </cell>
          <cell r="Q840" t="str">
            <v>TALCA</v>
          </cell>
          <cell r="R840" t="str">
            <v>FACULTAD DE ARQUITECTUR, MÚSICA Y DISEÑO</v>
          </cell>
          <cell r="S840" t="str">
            <v>DEPARTAMENTO DE DISEÑO</v>
          </cell>
        </row>
        <row r="841">
          <cell r="A841">
            <v>15612263</v>
          </cell>
          <cell r="B841" t="str">
            <v>15612263</v>
          </cell>
          <cell r="C841" t="str">
            <v>7</v>
          </cell>
          <cell r="D841" t="str">
            <v>MENDEZ REBOLLEDO LUCIANO MANUE</v>
          </cell>
          <cell r="E841" t="str">
            <v>VGE400020</v>
          </cell>
          <cell r="F841">
            <v>44</v>
          </cell>
          <cell r="G841">
            <v>30</v>
          </cell>
          <cell r="H841" t="str">
            <v>LUCIANO.MENDEZ@UTALCA.CL</v>
          </cell>
          <cell r="I841">
            <v>44562</v>
          </cell>
          <cell r="J841">
            <v>46387</v>
          </cell>
          <cell r="K841" t="str">
            <v>CONTRATA</v>
          </cell>
          <cell r="L841" t="str">
            <v>ADMINISTRATIVO</v>
          </cell>
          <cell r="M841" t="str">
            <v>ADMINISTRATIVO</v>
          </cell>
          <cell r="N841" t="str">
            <v>GRADO I.21</v>
          </cell>
          <cell r="O841" t="str">
            <v>TÍTULO PROFESIONAL</v>
          </cell>
          <cell r="P841" t="str">
            <v>INGENIERO DE EJECUCIÓN EN ADMINISTRACIÓN</v>
          </cell>
          <cell r="Q841" t="str">
            <v>TALCA</v>
          </cell>
          <cell r="R841" t="str">
            <v>VIC. GESTIÓN ECONÓMICA Y ADMINISTRACIÓN</v>
          </cell>
          <cell r="S841" t="str">
            <v>DEPARTAMENTO DE TESORERÍA</v>
          </cell>
        </row>
        <row r="842">
          <cell r="A842">
            <v>15613206</v>
          </cell>
          <cell r="B842" t="str">
            <v>15613206</v>
          </cell>
          <cell r="C842" t="str">
            <v>3</v>
          </cell>
          <cell r="D842" t="str">
            <v>CONTRERAS REBOLLEDO PAULA  SOL</v>
          </cell>
          <cell r="E842" t="str">
            <v>FCS320011</v>
          </cell>
          <cell r="F842">
            <v>44</v>
          </cell>
          <cell r="G842">
            <v>30</v>
          </cell>
          <cell r="H842" t="str">
            <v>PAUCONTRERAS@UTALCA.CL</v>
          </cell>
          <cell r="I842">
            <v>44743</v>
          </cell>
          <cell r="J842">
            <v>46446</v>
          </cell>
          <cell r="K842" t="str">
            <v>CONTRATA</v>
          </cell>
          <cell r="L842" t="str">
            <v>CA DOCENTE</v>
          </cell>
          <cell r="M842" t="str">
            <v>INSTRUCTOR</v>
          </cell>
          <cell r="N842" t="str">
            <v>GRADO D</v>
          </cell>
          <cell r="O842" t="str">
            <v>MAGISTER</v>
          </cell>
          <cell r="P842" t="str">
            <v>MAGISTER EN SALUD FAMILIAR</v>
          </cell>
          <cell r="Q842" t="str">
            <v>TALCA</v>
          </cell>
          <cell r="R842" t="str">
            <v>FACULTAD DE CIENCIAS DE LA SALUD</v>
          </cell>
          <cell r="S842" t="str">
            <v>DEPTO. CIENCIAS DE LA NUT. Y ALIMENTOS</v>
          </cell>
        </row>
        <row r="843">
          <cell r="A843">
            <v>15617614</v>
          </cell>
          <cell r="B843" t="str">
            <v>15617614</v>
          </cell>
          <cell r="C843" t="str">
            <v>1</v>
          </cell>
          <cell r="D843" t="str">
            <v>AVILA CONCHA FELIPE GUILLERMO</v>
          </cell>
          <cell r="E843" t="str">
            <v>FCS320011</v>
          </cell>
          <cell r="F843">
            <v>44</v>
          </cell>
          <cell r="G843">
            <v>30</v>
          </cell>
          <cell r="H843" t="str">
            <v>FAVILAC@UTALCA.CL</v>
          </cell>
          <cell r="I843">
            <v>41505</v>
          </cell>
          <cell r="J843">
            <v>2958465</v>
          </cell>
          <cell r="K843" t="str">
            <v>PLANTA</v>
          </cell>
          <cell r="L843" t="str">
            <v>CA ORDINARIA</v>
          </cell>
          <cell r="M843" t="str">
            <v>PROFESOR ASOCIADO</v>
          </cell>
          <cell r="N843" t="str">
            <v>GRADO B</v>
          </cell>
          <cell r="O843" t="str">
            <v>DOCTORADO</v>
          </cell>
          <cell r="P843" t="str">
            <v>DOCTOR EN QUÍMICA</v>
          </cell>
          <cell r="Q843" t="str">
            <v>TALCA</v>
          </cell>
          <cell r="R843" t="str">
            <v>FACULTAD DE CIENCIAS DE LA SALUD</v>
          </cell>
          <cell r="S843" t="str">
            <v>DEPTO. CIENCIAS DE LA NUT. Y ALIMENTOS</v>
          </cell>
        </row>
        <row r="844">
          <cell r="A844">
            <v>15618041</v>
          </cell>
          <cell r="B844" t="str">
            <v>15618041</v>
          </cell>
          <cell r="C844" t="str">
            <v>6</v>
          </cell>
          <cell r="D844" t="str">
            <v>BERRIOS GONZALEZ PABLO SALVADO</v>
          </cell>
          <cell r="E844" t="str">
            <v>VAC400024</v>
          </cell>
          <cell r="F844">
            <v>44</v>
          </cell>
          <cell r="G844">
            <v>30</v>
          </cell>
          <cell r="H844" t="str">
            <v/>
          </cell>
          <cell r="I844">
            <v>45880</v>
          </cell>
          <cell r="J844">
            <v>46387</v>
          </cell>
          <cell r="K844" t="str">
            <v>CONTRATA</v>
          </cell>
          <cell r="L844" t="str">
            <v>C ESPECIALES</v>
          </cell>
          <cell r="M844" t="str">
            <v>INVESTIGADOR</v>
          </cell>
          <cell r="N844" t="str">
            <v>SIN GRADO</v>
          </cell>
          <cell r="O844" t="str">
            <v>DOCTORADO</v>
          </cell>
          <cell r="P844" t="str">
            <v>DOCTOR EN ESTUDIOS LATINOAMERICANOS</v>
          </cell>
          <cell r="Q844" t="str">
            <v>TALCA</v>
          </cell>
          <cell r="R844" t="str">
            <v>VICERRECTORÍA ACADÉMICA</v>
          </cell>
          <cell r="S844" t="str">
            <v>VICERRECTORÍA ACADÉMICA</v>
          </cell>
        </row>
        <row r="845">
          <cell r="A845">
            <v>15630786</v>
          </cell>
          <cell r="B845" t="str">
            <v>15630786</v>
          </cell>
          <cell r="C845" t="str">
            <v>6</v>
          </cell>
          <cell r="D845" t="str">
            <v>RIVERA MARTINEZ CESAR ANDRES</v>
          </cell>
          <cell r="E845" t="str">
            <v>FOD320002</v>
          </cell>
          <cell r="F845">
            <v>44</v>
          </cell>
          <cell r="G845">
            <v>30</v>
          </cell>
          <cell r="H845" t="str">
            <v>CERIVERA@UTALCA.CL</v>
          </cell>
          <cell r="I845">
            <v>40603</v>
          </cell>
          <cell r="J845">
            <v>2958465</v>
          </cell>
          <cell r="K845" t="str">
            <v>PLANTA</v>
          </cell>
          <cell r="L845" t="str">
            <v>CA ORDINARIA</v>
          </cell>
          <cell r="M845" t="str">
            <v>PROFESOR ASOCIADO</v>
          </cell>
          <cell r="N845" t="str">
            <v>GRADO B</v>
          </cell>
          <cell r="O845" t="str">
            <v>DOCTORADO</v>
          </cell>
          <cell r="P845" t="str">
            <v>DOUTOR EM ESTOMATOPATOLOGIA</v>
          </cell>
          <cell r="Q845" t="str">
            <v>TALCA</v>
          </cell>
          <cell r="R845" t="str">
            <v>FACULTAD DE ODONTOLOGÍA</v>
          </cell>
          <cell r="S845" t="str">
            <v>DEPARTAMENTO DE ESTOMATOLOGÍA</v>
          </cell>
        </row>
        <row r="846">
          <cell r="A846">
            <v>15631816</v>
          </cell>
          <cell r="B846" t="str">
            <v>15631816</v>
          </cell>
          <cell r="C846" t="str">
            <v>7</v>
          </cell>
          <cell r="D846" t="str">
            <v>BUSTAMANTE OLIVARES ERICA IVON</v>
          </cell>
          <cell r="E846" t="str">
            <v>FOD200001</v>
          </cell>
          <cell r="F846">
            <v>22</v>
          </cell>
          <cell r="G846">
            <v>30</v>
          </cell>
          <cell r="H846" t="str">
            <v>EBUSTAMANTE@UTALCA.CL</v>
          </cell>
          <cell r="I846">
            <v>45292</v>
          </cell>
          <cell r="J846">
            <v>46387</v>
          </cell>
          <cell r="K846" t="str">
            <v>CONTRATA</v>
          </cell>
          <cell r="L846" t="str">
            <v>C ESPECIALES</v>
          </cell>
          <cell r="M846" t="str">
            <v>TUTOR(A) PRÁCTICA</v>
          </cell>
          <cell r="N846" t="str">
            <v>SIN GRADO</v>
          </cell>
          <cell r="O846" t="str">
            <v>ESPECIAL. ODONTOLÓG.</v>
          </cell>
          <cell r="P846" t="str">
            <v>ESPECIALISTA EN ORTODONCIA Y ORTOPEDIA DENTOF</v>
          </cell>
          <cell r="Q846" t="str">
            <v>TALCA</v>
          </cell>
          <cell r="R846" t="str">
            <v>FACULTAD DE ODONTOLOGÍA</v>
          </cell>
          <cell r="S846" t="str">
            <v>FACULTAD DE ODONTOLOGÍA</v>
          </cell>
        </row>
        <row r="847">
          <cell r="A847">
            <v>15632049</v>
          </cell>
          <cell r="B847" t="str">
            <v>15632049</v>
          </cell>
          <cell r="C847" t="str">
            <v>8</v>
          </cell>
          <cell r="D847" t="str">
            <v>BALLESTEROS TEUBER GABRIEL IGN</v>
          </cell>
          <cell r="E847" t="str">
            <v>VAC400024</v>
          </cell>
          <cell r="F847">
            <v>44</v>
          </cell>
          <cell r="G847">
            <v>30</v>
          </cell>
          <cell r="H847" t="str">
            <v>GBALLESTEROS@UTALCA.CL</v>
          </cell>
          <cell r="I847">
            <v>44562</v>
          </cell>
          <cell r="J847">
            <v>46387</v>
          </cell>
          <cell r="K847" t="str">
            <v>CONTRATA</v>
          </cell>
          <cell r="L847" t="str">
            <v>C ESPECIALES</v>
          </cell>
          <cell r="M847" t="str">
            <v>INVESTIGADOR</v>
          </cell>
          <cell r="N847" t="str">
            <v>SIN GRADO</v>
          </cell>
          <cell r="O847" t="str">
            <v>DOCTORADO</v>
          </cell>
          <cell r="P847" t="str">
            <v>DOCTOR EN CIENCIAS MENCIÓN INGENIERÍA GENÉTIC</v>
          </cell>
          <cell r="Q847" t="str">
            <v>TALCA</v>
          </cell>
          <cell r="R847" t="str">
            <v>VICERRECTORÍA ACADÉMICA</v>
          </cell>
          <cell r="S847" t="str">
            <v>VICERRECTORÍA ACADÉMICA</v>
          </cell>
        </row>
        <row r="848">
          <cell r="A848">
            <v>15632197</v>
          </cell>
          <cell r="B848" t="str">
            <v>15632197</v>
          </cell>
          <cell r="C848" t="str">
            <v>4</v>
          </cell>
          <cell r="D848" t="str">
            <v>MUÑOZ VÁSQUEZ PAULA ANDREA</v>
          </cell>
          <cell r="E848" t="str">
            <v/>
          </cell>
          <cell r="F848">
            <v>44</v>
          </cell>
          <cell r="G848">
            <v>30</v>
          </cell>
          <cell r="H848" t="str">
            <v/>
          </cell>
          <cell r="I848">
            <v>46082</v>
          </cell>
          <cell r="J848">
            <v>46387</v>
          </cell>
          <cell r="K848" t="str">
            <v>CONTRATA</v>
          </cell>
          <cell r="L848" t="str">
            <v>PROFESIONAL</v>
          </cell>
          <cell r="M848" t="str">
            <v>PROFESIONAL</v>
          </cell>
          <cell r="N848" t="str">
            <v>GRADO I.17</v>
          </cell>
          <cell r="O848" t="str">
            <v>MAGISTER</v>
          </cell>
          <cell r="P848" t="str">
            <v>MAGISTER EN INGENIERIA INDUSTRIAL Y DE SISTEM</v>
          </cell>
          <cell r="Q848" t="str">
            <v>TALCA</v>
          </cell>
          <cell r="R848" t="str">
            <v>DIRECCIÓN DE ASEGURAMIENTO DE LA CALIDAD</v>
          </cell>
          <cell r="S848" t="str">
            <v>DEPARTAMENTO DE ACREDITACIÓN</v>
          </cell>
        </row>
        <row r="849">
          <cell r="A849">
            <v>15632297</v>
          </cell>
          <cell r="B849" t="str">
            <v>15632297</v>
          </cell>
          <cell r="C849" t="str">
            <v>0</v>
          </cell>
          <cell r="D849" t="str">
            <v>DURAN VERDUGO FABIO ESTEBAN</v>
          </cell>
          <cell r="E849" t="str">
            <v>FCI320001</v>
          </cell>
          <cell r="F849">
            <v>44</v>
          </cell>
          <cell r="G849">
            <v>30</v>
          </cell>
          <cell r="H849" t="str">
            <v>FDURAN@UTALCA.CL</v>
          </cell>
          <cell r="I849">
            <v>43101</v>
          </cell>
          <cell r="J849">
            <v>46446</v>
          </cell>
          <cell r="K849" t="str">
            <v>CONTRATA</v>
          </cell>
          <cell r="L849" t="str">
            <v>CA DOCENTE</v>
          </cell>
          <cell r="M849" t="str">
            <v>PROFESOR ASISTENTE</v>
          </cell>
          <cell r="N849" t="str">
            <v>GRADO C</v>
          </cell>
          <cell r="O849" t="str">
            <v>MAGISTER</v>
          </cell>
          <cell r="P849" t="str">
            <v>MÁSTER UNIVERSITARIO EN SOFTWARE LIBRE</v>
          </cell>
          <cell r="Q849" t="str">
            <v>TALCA</v>
          </cell>
          <cell r="R849" t="str">
            <v>FACULTAD DE INGENIERÍA</v>
          </cell>
          <cell r="S849" t="str">
            <v>DEPARTAMENTO DE BIOINFORMÁTICA</v>
          </cell>
        </row>
        <row r="850">
          <cell r="A850">
            <v>15632305</v>
          </cell>
          <cell r="B850" t="str">
            <v>15632305</v>
          </cell>
          <cell r="C850" t="str">
            <v>5</v>
          </cell>
          <cell r="D850" t="str">
            <v>BUSTAMANTE VALDES ROQUE  ESTEB</v>
          </cell>
          <cell r="E850" t="str">
            <v>IMF300001</v>
          </cell>
          <cell r="F850">
            <v>44</v>
          </cell>
          <cell r="G850">
            <v>30</v>
          </cell>
          <cell r="H850" t="str">
            <v>RBUSTAMANTE@UTALCA.CL</v>
          </cell>
          <cell r="I850">
            <v>42583</v>
          </cell>
          <cell r="J850">
            <v>46446</v>
          </cell>
          <cell r="K850" t="str">
            <v>CONTRATA</v>
          </cell>
          <cell r="L850" t="str">
            <v>CA DOCENTE</v>
          </cell>
          <cell r="M850" t="str">
            <v>INSTRUCTOR</v>
          </cell>
          <cell r="N850" t="str">
            <v>GRADO D</v>
          </cell>
          <cell r="O850" t="str">
            <v>MAGISTER</v>
          </cell>
          <cell r="P850" t="str">
            <v>MAGISTER EN CIENCIAS CON MENCION EN MATEMATIC</v>
          </cell>
          <cell r="Q850" t="str">
            <v>CURICO</v>
          </cell>
          <cell r="R850" t="str">
            <v>INSTITUTO DE MATEMÁTICAS</v>
          </cell>
          <cell r="S850" t="str">
            <v>INSTITUTO DE MATEMÁTICAS</v>
          </cell>
        </row>
        <row r="851">
          <cell r="A851">
            <v>15635594</v>
          </cell>
          <cell r="B851" t="str">
            <v>15635594</v>
          </cell>
          <cell r="C851" t="str">
            <v>1</v>
          </cell>
          <cell r="D851" t="str">
            <v>LETELIER LARA VICTOR GONZALO</v>
          </cell>
          <cell r="E851" t="str">
            <v>FAD310001</v>
          </cell>
          <cell r="F851">
            <v>44</v>
          </cell>
          <cell r="G851">
            <v>30</v>
          </cell>
          <cell r="H851" t="str">
            <v>VLETELIER@UTALCA.CL</v>
          </cell>
          <cell r="I851">
            <v>43040</v>
          </cell>
          <cell r="J851">
            <v>46446</v>
          </cell>
          <cell r="K851" t="str">
            <v>CONTRATA</v>
          </cell>
          <cell r="L851" t="str">
            <v>CA DOCENTE</v>
          </cell>
          <cell r="M851" t="str">
            <v>PROFESOR ASISTENTE</v>
          </cell>
          <cell r="N851" t="str">
            <v>GRADO C</v>
          </cell>
          <cell r="O851" t="str">
            <v>MAGISTER</v>
          </cell>
          <cell r="P851" t="str">
            <v>MÁSTER UNIVERSITARIO EN TEORIA Y PRACTICA DEL</v>
          </cell>
          <cell r="Q851" t="str">
            <v>TALCA</v>
          </cell>
          <cell r="R851" t="str">
            <v>FACULTAD DE ARQUITECTUR, MÚSICA Y DISEÑO</v>
          </cell>
          <cell r="S851" t="str">
            <v>ESCUELA DE ARQUITECTURA</v>
          </cell>
        </row>
        <row r="852">
          <cell r="A852">
            <v>15645653</v>
          </cell>
          <cell r="B852" t="str">
            <v>15645653</v>
          </cell>
          <cell r="C852" t="str">
            <v>5</v>
          </cell>
          <cell r="D852" t="str">
            <v>SAAVEDRA REDLICH KARIN ANDREA</v>
          </cell>
          <cell r="E852" t="str">
            <v>FCI320004</v>
          </cell>
          <cell r="F852">
            <v>44</v>
          </cell>
          <cell r="G852">
            <v>30</v>
          </cell>
          <cell r="H852" t="str">
            <v>KSAAVEDRA@UTALCA.CL</v>
          </cell>
          <cell r="I852">
            <v>41122</v>
          </cell>
          <cell r="J852">
            <v>2958465</v>
          </cell>
          <cell r="K852" t="str">
            <v>PLANTA</v>
          </cell>
          <cell r="L852" t="str">
            <v>CA ORDINARIA</v>
          </cell>
          <cell r="M852" t="str">
            <v>PROFESOR ASOCIADO</v>
          </cell>
          <cell r="N852" t="str">
            <v>GRADO B</v>
          </cell>
          <cell r="O852" t="str">
            <v>DOCTORADO</v>
          </cell>
          <cell r="P852" t="str">
            <v>DOCTOR EN INGENIERÍA MECÁNICA</v>
          </cell>
          <cell r="Q852" t="str">
            <v>CURICO</v>
          </cell>
          <cell r="R852" t="str">
            <v>FACULTAD DE INGENIERÍA</v>
          </cell>
          <cell r="S852" t="str">
            <v>DEPARTAMENTO DE TECNOLOGÍA INDUSTRIALES</v>
          </cell>
        </row>
        <row r="853">
          <cell r="A853">
            <v>15648687</v>
          </cell>
          <cell r="B853" t="str">
            <v>15648687</v>
          </cell>
          <cell r="C853" t="str">
            <v>6</v>
          </cell>
          <cell r="D853" t="str">
            <v>PINCHEIRA ORELLANA GONZALO OMA</v>
          </cell>
          <cell r="E853" t="str">
            <v>FCI320004</v>
          </cell>
          <cell r="F853">
            <v>44</v>
          </cell>
          <cell r="G853">
            <v>30</v>
          </cell>
          <cell r="H853" t="str">
            <v>GPINCHEIRA@UTALCA.CL</v>
          </cell>
          <cell r="I853">
            <v>42430</v>
          </cell>
          <cell r="J853">
            <v>2958465</v>
          </cell>
          <cell r="K853" t="str">
            <v>PLANTA</v>
          </cell>
          <cell r="L853" t="str">
            <v>CA ORDINARIA</v>
          </cell>
          <cell r="M853" t="str">
            <v>PROFESOR ASISTENTE</v>
          </cell>
          <cell r="N853" t="str">
            <v>GRADO C</v>
          </cell>
          <cell r="O853" t="str">
            <v>DOCTORADO</v>
          </cell>
          <cell r="P853" t="str">
            <v>DOCTOR EN CIENCIA E INGENIERÍA DE MATERIALES</v>
          </cell>
          <cell r="Q853" t="str">
            <v>CURICO</v>
          </cell>
          <cell r="R853" t="str">
            <v>FACULTAD DE INGENIERÍA</v>
          </cell>
          <cell r="S853" t="str">
            <v>DEPARTAMENTO DE TECNOLOGÍA INDUSTRIALES</v>
          </cell>
        </row>
        <row r="854">
          <cell r="A854">
            <v>15656712</v>
          </cell>
          <cell r="B854" t="str">
            <v>15656712</v>
          </cell>
          <cell r="C854" t="str">
            <v>4</v>
          </cell>
          <cell r="D854" t="str">
            <v>ROBLES AGUILAR JUAN ANDRES</v>
          </cell>
          <cell r="E854" t="str">
            <v/>
          </cell>
          <cell r="F854">
            <v>44</v>
          </cell>
          <cell r="G854">
            <v>30</v>
          </cell>
          <cell r="H854" t="str">
            <v>JUROBLES@UTALCA.CL</v>
          </cell>
          <cell r="I854">
            <v>44927</v>
          </cell>
          <cell r="J854">
            <v>46387</v>
          </cell>
          <cell r="K854" t="str">
            <v>CONTRATA</v>
          </cell>
          <cell r="L854" t="str">
            <v>PROFESIONAL</v>
          </cell>
          <cell r="M854" t="str">
            <v>PROFESIONAL</v>
          </cell>
          <cell r="N854" t="str">
            <v>GRADO I.17</v>
          </cell>
          <cell r="O854" t="str">
            <v>TÍTULO PROFESIONAL</v>
          </cell>
          <cell r="P854" t="str">
            <v>PROFESOR DE MATEMATICAS Y COMPUTACION</v>
          </cell>
          <cell r="Q854" t="str">
            <v>TALCA</v>
          </cell>
          <cell r="R854" t="str">
            <v>VICERRECTORÍA DE FORMACIÓN</v>
          </cell>
          <cell r="S854" t="str">
            <v>UN. DE ACOMPAÑAMIENTO ESTUDIANTIL (CIMA)</v>
          </cell>
        </row>
        <row r="855">
          <cell r="A855">
            <v>15678036</v>
          </cell>
          <cell r="B855" t="str">
            <v>15678036</v>
          </cell>
          <cell r="C855" t="str">
            <v>7</v>
          </cell>
          <cell r="D855" t="str">
            <v>CARRASCO SANCHEZ VERONICA DEL</v>
          </cell>
          <cell r="E855" t="str">
            <v>FCS320002</v>
          </cell>
          <cell r="F855">
            <v>44</v>
          </cell>
          <cell r="G855">
            <v>30</v>
          </cell>
          <cell r="H855" t="str">
            <v>VECARRASCO@UTALCA.CL</v>
          </cell>
          <cell r="I855">
            <v>43405</v>
          </cell>
          <cell r="J855">
            <v>46830</v>
          </cell>
          <cell r="K855" t="str">
            <v>PLANTA</v>
          </cell>
          <cell r="L855" t="str">
            <v>CA ORDINARIA</v>
          </cell>
          <cell r="M855" t="str">
            <v>PROFESOR ASISTENTE</v>
          </cell>
          <cell r="N855" t="str">
            <v>GRADO C</v>
          </cell>
          <cell r="O855" t="str">
            <v>DOCTORADO</v>
          </cell>
          <cell r="P855" t="str">
            <v>DOCTOR EN CIENCIAS CON MENCIÓN EN INVEST. Y D</v>
          </cell>
          <cell r="Q855" t="str">
            <v>TALCA</v>
          </cell>
          <cell r="R855" t="str">
            <v>FACULTAD DE CIENCIAS DE LA SALUD</v>
          </cell>
          <cell r="S855" t="str">
            <v>DEPARTAMENTO DE MICROBIOLOGÍA</v>
          </cell>
        </row>
        <row r="856">
          <cell r="A856">
            <v>15696906</v>
          </cell>
          <cell r="B856" t="str">
            <v>15696906</v>
          </cell>
          <cell r="C856" t="str">
            <v>0</v>
          </cell>
          <cell r="D856" t="str">
            <v>VASQUEZ ASCENCIO MARIA PAULINA</v>
          </cell>
          <cell r="E856" t="str">
            <v>VDE400009</v>
          </cell>
          <cell r="F856">
            <v>40</v>
          </cell>
          <cell r="G856">
            <v>30</v>
          </cell>
          <cell r="H856" t="str">
            <v>MARIA.VASQUEZ@UTALCA.CL</v>
          </cell>
          <cell r="I856">
            <v>44197</v>
          </cell>
          <cell r="J856">
            <v>46387</v>
          </cell>
          <cell r="K856" t="str">
            <v>CONTRATA</v>
          </cell>
          <cell r="L856" t="str">
            <v>TÉCNICO</v>
          </cell>
          <cell r="M856" t="str">
            <v>TÉCNICO</v>
          </cell>
          <cell r="N856" t="str">
            <v>GRADO I.21</v>
          </cell>
          <cell r="O856" t="str">
            <v>TÉC. NIVEL SUPERIOR</v>
          </cell>
          <cell r="P856" t="str">
            <v>TECNICO EN ENFERMERIA DE NIVEL SUPERIOR</v>
          </cell>
          <cell r="Q856" t="str">
            <v>TALCA</v>
          </cell>
          <cell r="R856" t="str">
            <v>VICERRECTORÍA DE DESARROLLO ESTUDIANTIL</v>
          </cell>
          <cell r="S856" t="str">
            <v>DIRECCIÓN DE SALUD ESTUDIANTIL</v>
          </cell>
        </row>
        <row r="857">
          <cell r="A857">
            <v>15698146</v>
          </cell>
          <cell r="B857" t="str">
            <v>15698146</v>
          </cell>
          <cell r="C857" t="str">
            <v>K</v>
          </cell>
          <cell r="D857" t="str">
            <v>BECERRA CASTRO MACARENA</v>
          </cell>
          <cell r="E857" t="str">
            <v>VGE400050</v>
          </cell>
          <cell r="F857">
            <v>44</v>
          </cell>
          <cell r="G857">
            <v>30</v>
          </cell>
          <cell r="H857" t="str">
            <v>MBECERRA@UTALCA.CL</v>
          </cell>
          <cell r="I857">
            <v>43466</v>
          </cell>
          <cell r="J857">
            <v>46387</v>
          </cell>
          <cell r="K857" t="str">
            <v>CONTRATA</v>
          </cell>
          <cell r="L857" t="str">
            <v>PROFESIONAL</v>
          </cell>
          <cell r="M857" t="str">
            <v>PROFESIONAL</v>
          </cell>
          <cell r="N857" t="str">
            <v>GRADO I.17</v>
          </cell>
          <cell r="O857" t="str">
            <v>TÍTULO PROFESIONAL</v>
          </cell>
          <cell r="P857" t="str">
            <v>NUTRICIONISTA DIETISTA</v>
          </cell>
          <cell r="Q857" t="str">
            <v>TALCA</v>
          </cell>
          <cell r="R857" t="str">
            <v>VIC. GESTIÓN ECONÓMICA Y ADMINISTRACIÓN</v>
          </cell>
          <cell r="S857" t="str">
            <v>DEPARTAMENTO DE ADMINISTRACIÓN DE CAMPUS</v>
          </cell>
        </row>
        <row r="858">
          <cell r="A858">
            <v>15698269</v>
          </cell>
          <cell r="B858" t="str">
            <v>15698269</v>
          </cell>
          <cell r="C858" t="str">
            <v>5</v>
          </cell>
          <cell r="D858" t="str">
            <v>ACEITUNO DIAZ MACARENA PAZ</v>
          </cell>
          <cell r="E858" t="str">
            <v>VRF400005</v>
          </cell>
          <cell r="F858">
            <v>44</v>
          </cell>
          <cell r="G858">
            <v>30</v>
          </cell>
          <cell r="H858" t="str">
            <v>MACEITUNO@UTALCA.CL</v>
          </cell>
          <cell r="I858">
            <v>43466</v>
          </cell>
          <cell r="J858">
            <v>46446</v>
          </cell>
          <cell r="K858" t="str">
            <v>CONTRATA</v>
          </cell>
          <cell r="L858" t="str">
            <v>CA DOCENTE</v>
          </cell>
          <cell r="M858" t="str">
            <v>INSTRUCTOR</v>
          </cell>
          <cell r="N858" t="str">
            <v>GRADO D</v>
          </cell>
          <cell r="O858" t="str">
            <v>MAGISTER</v>
          </cell>
          <cell r="P858" t="str">
            <v>MAGÍSTER EN EDUCACIÓN FÍSICA CON MENCIÓN EN A</v>
          </cell>
          <cell r="Q858" t="str">
            <v>TALCA</v>
          </cell>
          <cell r="R858" t="str">
            <v>VICERRECTORÍA DE FORMACIÓN</v>
          </cell>
          <cell r="S858" t="str">
            <v>PROGRAMA DE DEPORTES</v>
          </cell>
        </row>
        <row r="859">
          <cell r="A859">
            <v>15700994</v>
          </cell>
          <cell r="B859" t="str">
            <v>15700994</v>
          </cell>
          <cell r="C859" t="str">
            <v>K</v>
          </cell>
          <cell r="D859" t="str">
            <v>TORREJÓN RAMIREZ CAROLINA ANDR</v>
          </cell>
          <cell r="E859" t="str">
            <v>VGE400058</v>
          </cell>
          <cell r="F859">
            <v>44</v>
          </cell>
          <cell r="G859">
            <v>30</v>
          </cell>
          <cell r="H859" t="str">
            <v>CAROLINA.TORREJON@UTALCA.CL</v>
          </cell>
          <cell r="I859">
            <v>44197</v>
          </cell>
          <cell r="J859">
            <v>46387</v>
          </cell>
          <cell r="K859" t="str">
            <v>CONTRATA</v>
          </cell>
          <cell r="L859" t="str">
            <v>TÉCNICO</v>
          </cell>
          <cell r="M859" t="str">
            <v>TÉCNICO</v>
          </cell>
          <cell r="N859" t="str">
            <v>GRADO I.21</v>
          </cell>
          <cell r="O859" t="str">
            <v>TÍTULO PROFESIONAL</v>
          </cell>
          <cell r="P859" t="str">
            <v>TÉCNICA UNIVERSITARIA EM PREVENCIÓN DE RIESGO</v>
          </cell>
          <cell r="Q859" t="str">
            <v>TALCA</v>
          </cell>
          <cell r="R859" t="str">
            <v>VIC. GESTIÓN ECONÓMICA Y ADMINISTRACIÓN</v>
          </cell>
          <cell r="S859" t="str">
            <v>UND. PREVENCIÓN RIESGOS Y MEDIO AMBIENTE</v>
          </cell>
        </row>
        <row r="860">
          <cell r="A860">
            <v>15709247</v>
          </cell>
          <cell r="B860" t="str">
            <v>15709247</v>
          </cell>
          <cell r="C860" t="str">
            <v>2</v>
          </cell>
          <cell r="D860" t="str">
            <v>MOREL ORELLANA KAREN DENISSE</v>
          </cell>
          <cell r="E860" t="str">
            <v>FCS200001</v>
          </cell>
          <cell r="F860">
            <v>44</v>
          </cell>
          <cell r="G860">
            <v>30</v>
          </cell>
          <cell r="H860" t="str">
            <v>KAREN.MOREL@UTALCA.CL</v>
          </cell>
          <cell r="I860">
            <v>44197</v>
          </cell>
          <cell r="J860">
            <v>46387</v>
          </cell>
          <cell r="K860" t="str">
            <v>CONTRATA</v>
          </cell>
          <cell r="L860" t="str">
            <v>PROFESIONAL</v>
          </cell>
          <cell r="M860" t="str">
            <v>PROFESIONAL</v>
          </cell>
          <cell r="N860" t="str">
            <v>GRADO I.17</v>
          </cell>
          <cell r="O860" t="str">
            <v>TÉC. NIVEL SUPERIOR</v>
          </cell>
          <cell r="P860" t="str">
            <v>TÉCNICO EN ADMINISTRACIÓN DE EMPRESAS</v>
          </cell>
          <cell r="Q860" t="str">
            <v>TALCA</v>
          </cell>
          <cell r="R860" t="str">
            <v>FACULTAD DE CIENCIAS DE LA SALUD</v>
          </cell>
          <cell r="S860" t="str">
            <v>FACULTAD DE CIENCIAS DE LA SALUD</v>
          </cell>
        </row>
        <row r="861">
          <cell r="A861">
            <v>15710576</v>
          </cell>
          <cell r="B861" t="str">
            <v>15710576</v>
          </cell>
          <cell r="C861" t="str">
            <v>0</v>
          </cell>
          <cell r="D861" t="str">
            <v>GONZALEZ LASTRA CAROLINA ISABE</v>
          </cell>
          <cell r="E861" t="str">
            <v>VRF100001</v>
          </cell>
          <cell r="F861">
            <v>44</v>
          </cell>
          <cell r="G861">
            <v>30</v>
          </cell>
          <cell r="H861" t="str">
            <v>CGONZALEZL@UTALCA.CL</v>
          </cell>
          <cell r="I861">
            <v>43466</v>
          </cell>
          <cell r="J861">
            <v>46387</v>
          </cell>
          <cell r="K861" t="str">
            <v>CONTRATA</v>
          </cell>
          <cell r="L861" t="str">
            <v>ADMINISTRATIVO</v>
          </cell>
          <cell r="M861" t="str">
            <v>ADMINISTRATIVO</v>
          </cell>
          <cell r="N861" t="str">
            <v>GRADO I.21</v>
          </cell>
          <cell r="O861" t="str">
            <v>TÉC. NIVEL MEDIO</v>
          </cell>
          <cell r="P861" t="str">
            <v>TÉCNICO DE NIVEL MEDIO EN ADMINISTRACIÓN</v>
          </cell>
          <cell r="Q861" t="str">
            <v>TALCA</v>
          </cell>
          <cell r="R861" t="str">
            <v>VICERRECTORÍA DE FORMACIÓN</v>
          </cell>
          <cell r="S861" t="str">
            <v>VICERRECTORÍA DE FORMACIÓN</v>
          </cell>
        </row>
        <row r="862">
          <cell r="A862">
            <v>15731084</v>
          </cell>
          <cell r="B862" t="str">
            <v>15731084</v>
          </cell>
          <cell r="C862" t="str">
            <v>4</v>
          </cell>
          <cell r="D862" t="str">
            <v>TAPIA MAGAÑA RICARDO FERNANDO</v>
          </cell>
          <cell r="E862" t="str">
            <v>VGE400032</v>
          </cell>
          <cell r="F862">
            <v>44</v>
          </cell>
          <cell r="G862">
            <v>30</v>
          </cell>
          <cell r="H862" t="str">
            <v>RTAPIA@UTALCA.CL</v>
          </cell>
          <cell r="I862">
            <v>42795</v>
          </cell>
          <cell r="J862">
            <v>46387</v>
          </cell>
          <cell r="K862" t="str">
            <v>CONTRATA</v>
          </cell>
          <cell r="L862" t="str">
            <v>DIR EXCLU. CONFIANZA</v>
          </cell>
          <cell r="M862" t="str">
            <v>PROFESIONAL</v>
          </cell>
          <cell r="N862" t="str">
            <v>GRADO I.17</v>
          </cell>
          <cell r="O862" t="str">
            <v>TÍTULO PROFESIONAL</v>
          </cell>
          <cell r="P862" t="str">
            <v>INGENIERO COMERCIAL MENCIÓN INFORMÁTICA</v>
          </cell>
          <cell r="Q862" t="str">
            <v>TALCA</v>
          </cell>
          <cell r="R862" t="str">
            <v>VIC. GESTIÓN ECONÓMICA Y ADMINISTRACIÓN</v>
          </cell>
          <cell r="S862" t="str">
            <v>OFICINA DE GESTIÓN DE PROYECTOS BASALES</v>
          </cell>
        </row>
        <row r="863">
          <cell r="A863">
            <v>15737433</v>
          </cell>
          <cell r="B863" t="str">
            <v>15737433</v>
          </cell>
          <cell r="C863" t="str">
            <v>8</v>
          </cell>
          <cell r="D863" t="str">
            <v>ARAOS MUÑOZ FELIPE JUAN PABLO</v>
          </cell>
          <cell r="E863" t="str">
            <v>VRF400008</v>
          </cell>
          <cell r="F863">
            <v>44</v>
          </cell>
          <cell r="G863">
            <v>30</v>
          </cell>
          <cell r="H863" t="str">
            <v>FARAOS@UTALCA.CL</v>
          </cell>
          <cell r="I863">
            <v>43171</v>
          </cell>
          <cell r="J863">
            <v>46446</v>
          </cell>
          <cell r="K863" t="str">
            <v>CONTRATA</v>
          </cell>
          <cell r="L863" t="str">
            <v>CA DOCENTE</v>
          </cell>
          <cell r="M863" t="str">
            <v>INSTRUCTOR</v>
          </cell>
          <cell r="N863" t="str">
            <v>GRADO D</v>
          </cell>
          <cell r="O863" t="str">
            <v>MAGISTER</v>
          </cell>
          <cell r="P863" t="str">
            <v>MASTER OF APPLIED LINGUISTICS (ADVANCED)</v>
          </cell>
          <cell r="Q863" t="str">
            <v>CURICO</v>
          </cell>
          <cell r="R863" t="str">
            <v>DIRECCIÓN DE PREGRADO</v>
          </cell>
          <cell r="S863" t="str">
            <v>PROGRAMA DE IDIOMAS</v>
          </cell>
        </row>
        <row r="864">
          <cell r="A864">
            <v>15739398</v>
          </cell>
          <cell r="B864" t="str">
            <v>15739398</v>
          </cell>
          <cell r="C864" t="str">
            <v>7</v>
          </cell>
          <cell r="D864" t="str">
            <v>GARRIDO URRUTIA HAILINK TAMARA</v>
          </cell>
          <cell r="E864" t="str">
            <v>VGE400003</v>
          </cell>
          <cell r="F864">
            <v>44</v>
          </cell>
          <cell r="G864">
            <v>30</v>
          </cell>
          <cell r="H864" t="str">
            <v>HGARRIDO@UTALCA.CL</v>
          </cell>
          <cell r="I864">
            <v>42095</v>
          </cell>
          <cell r="J864">
            <v>2958465</v>
          </cell>
          <cell r="K864" t="str">
            <v>PLANTA</v>
          </cell>
          <cell r="L864" t="str">
            <v>ADMINISTRATIVO</v>
          </cell>
          <cell r="M864" t="str">
            <v>ADMINISTRATIVO</v>
          </cell>
          <cell r="N864" t="str">
            <v>GRADO I.19</v>
          </cell>
          <cell r="O864" t="str">
            <v>TÍTULO PROFESIONAL</v>
          </cell>
          <cell r="P864" t="str">
            <v>INGENIERO DE EJECUCIÓN EN ADMINISTRACIÓN AGRO</v>
          </cell>
          <cell r="Q864" t="str">
            <v>TALCA</v>
          </cell>
          <cell r="R864" t="str">
            <v>VIC. GESTIÓN ECONÓMICA Y ADMINISTRACIÓN</v>
          </cell>
          <cell r="S864" t="str">
            <v>DEPARTAMENTO DE GESTIÓN DE PERSONAS</v>
          </cell>
        </row>
        <row r="865">
          <cell r="A865">
            <v>15747186</v>
          </cell>
          <cell r="B865" t="str">
            <v>15747186</v>
          </cell>
          <cell r="C865" t="str">
            <v>4</v>
          </cell>
          <cell r="D865" t="str">
            <v>IBAÑEZ ARAVENA PABLO CESAR</v>
          </cell>
          <cell r="E865" t="str">
            <v>FOD200001</v>
          </cell>
          <cell r="F865">
            <v>7</v>
          </cell>
          <cell r="G865">
            <v>30</v>
          </cell>
          <cell r="H865" t="str">
            <v>PAIBANEZ@UTALCA.CL</v>
          </cell>
          <cell r="I865">
            <v>42795</v>
          </cell>
          <cell r="J865">
            <v>46387</v>
          </cell>
          <cell r="K865" t="str">
            <v>CONTRATA</v>
          </cell>
          <cell r="L865" t="str">
            <v>C ESPECIALES</v>
          </cell>
          <cell r="M865" t="str">
            <v>TUTOR(A) PRÁCTICA</v>
          </cell>
          <cell r="N865" t="str">
            <v>SIN GRADO</v>
          </cell>
          <cell r="O865" t="str">
            <v>MAGISTER</v>
          </cell>
          <cell r="P865" t="str">
            <v>MAGISTER EN REHABILITACIÓN</v>
          </cell>
          <cell r="Q865" t="str">
            <v>TALCA</v>
          </cell>
          <cell r="R865" t="str">
            <v>FACULTAD DE ODONTOLOGÍA</v>
          </cell>
          <cell r="S865" t="str">
            <v>FACULTAD DE ODONTOLOGÍA</v>
          </cell>
        </row>
        <row r="866">
          <cell r="A866">
            <v>15758827</v>
          </cell>
          <cell r="B866" t="str">
            <v>15758827</v>
          </cell>
          <cell r="C866" t="str">
            <v>3</v>
          </cell>
          <cell r="D866" t="str">
            <v>ZEPEDA PAULO FRANCISCA</v>
          </cell>
          <cell r="E866" t="str">
            <v>VAC400024</v>
          </cell>
          <cell r="F866">
            <v>44</v>
          </cell>
          <cell r="G866">
            <v>30</v>
          </cell>
          <cell r="H866" t="str">
            <v>FZEPEDA@UTALCA.CL</v>
          </cell>
          <cell r="I866">
            <v>44621</v>
          </cell>
          <cell r="J866">
            <v>46326</v>
          </cell>
          <cell r="K866" t="str">
            <v>CONTRATA</v>
          </cell>
          <cell r="L866" t="str">
            <v>INVESTIGADOR ASISTENTE</v>
          </cell>
          <cell r="M866" t="str">
            <v>INVESTIGADOR</v>
          </cell>
          <cell r="N866" t="str">
            <v>SIN GRADO</v>
          </cell>
          <cell r="O866" t="str">
            <v>DOCTORADO</v>
          </cell>
          <cell r="P866" t="str">
            <v>DOCTORADO EN CIENCIAS</v>
          </cell>
          <cell r="Q866" t="str">
            <v>TALCA</v>
          </cell>
          <cell r="R866" t="str">
            <v>VICERRECTORÍA ACADÉMICA</v>
          </cell>
          <cell r="S866" t="str">
            <v>VICERRECTORÍA ACADÉMICA</v>
          </cell>
        </row>
        <row r="867">
          <cell r="A867">
            <v>15772713</v>
          </cell>
          <cell r="B867" t="str">
            <v>15772713</v>
          </cell>
          <cell r="C867" t="str">
            <v>3</v>
          </cell>
          <cell r="D867" t="str">
            <v>MUÑOZ MORALES ALEXIS EDUARDO</v>
          </cell>
          <cell r="E867" t="str">
            <v/>
          </cell>
          <cell r="F867">
            <v>44</v>
          </cell>
          <cell r="G867">
            <v>30</v>
          </cell>
          <cell r="H867" t="str">
            <v>ALEMUNOZ@UTALCA.CL</v>
          </cell>
          <cell r="I867">
            <v>44927</v>
          </cell>
          <cell r="J867">
            <v>46387</v>
          </cell>
          <cell r="K867" t="str">
            <v>CONTRATA</v>
          </cell>
          <cell r="L867" t="str">
            <v>TÉCNICO</v>
          </cell>
          <cell r="M867" t="str">
            <v>TÉCNICO</v>
          </cell>
          <cell r="N867" t="str">
            <v>GRADO I.23</v>
          </cell>
          <cell r="O867" t="str">
            <v>TÉC. NIVEL MEDIO</v>
          </cell>
          <cell r="P867" t="str">
            <v>TECNICO AGROPECUARIO</v>
          </cell>
          <cell r="Q867" t="str">
            <v>TALCA</v>
          </cell>
          <cell r="R867" t="str">
            <v>FACULTAD DE CIENCIAS AGRARIAS</v>
          </cell>
          <cell r="S867" t="str">
            <v>DEPARTAMENTO DE PRODUCCIÓN AGRÍCOLA</v>
          </cell>
        </row>
        <row r="868">
          <cell r="A868">
            <v>15773416</v>
          </cell>
          <cell r="B868" t="str">
            <v>15773416</v>
          </cell>
          <cell r="C868" t="str">
            <v>4</v>
          </cell>
          <cell r="D868" t="str">
            <v>GONZALEZ GONZALEZ LUZ ELENA</v>
          </cell>
          <cell r="E868" t="str">
            <v/>
          </cell>
          <cell r="F868">
            <v>42</v>
          </cell>
          <cell r="G868">
            <v>30</v>
          </cell>
          <cell r="H868" t="str">
            <v>LUZ.GONZALEZG@UTALCA.CL</v>
          </cell>
          <cell r="I868">
            <v>44927</v>
          </cell>
          <cell r="J868">
            <v>46387</v>
          </cell>
          <cell r="K868" t="str">
            <v>CONTRATA</v>
          </cell>
          <cell r="L868" t="str">
            <v>TÉCNICO</v>
          </cell>
          <cell r="M868" t="str">
            <v>TÉCNICO</v>
          </cell>
          <cell r="N868" t="str">
            <v>GRADO I.23</v>
          </cell>
          <cell r="O868" t="str">
            <v>TÉC. NIVEL MEDIO</v>
          </cell>
          <cell r="P868" t="str">
            <v>TECNICO EN LABORATORIO QUIMICO</v>
          </cell>
          <cell r="Q868" t="str">
            <v>TALCA</v>
          </cell>
          <cell r="R868" t="str">
            <v>FACULTAD DE CIENCIAS AGRARIAS</v>
          </cell>
          <cell r="S868" t="str">
            <v>CENTRO TECNOLÓGICO DE SUELOS Y CULTIVOS</v>
          </cell>
        </row>
        <row r="869">
          <cell r="A869">
            <v>15773753</v>
          </cell>
          <cell r="B869" t="str">
            <v>15773753</v>
          </cell>
          <cell r="C869" t="str">
            <v>8</v>
          </cell>
          <cell r="D869" t="str">
            <v>AMIGO PAVEZ JESSICA ANDREA</v>
          </cell>
          <cell r="E869" t="str">
            <v>IQR300001</v>
          </cell>
          <cell r="F869">
            <v>44</v>
          </cell>
          <cell r="G869">
            <v>30</v>
          </cell>
          <cell r="H869" t="str">
            <v>JEAMIGO@UTALCA.CL</v>
          </cell>
          <cell r="I869">
            <v>41275</v>
          </cell>
          <cell r="J869">
            <v>46387</v>
          </cell>
          <cell r="K869" t="str">
            <v>CONTRATA</v>
          </cell>
          <cell r="L869" t="str">
            <v>TÉCNICO</v>
          </cell>
          <cell r="M869" t="str">
            <v>TÉCNICO</v>
          </cell>
          <cell r="N869" t="str">
            <v>GRADO I.15</v>
          </cell>
          <cell r="O869" t="str">
            <v>TÉC. NIVEL MEDIO</v>
          </cell>
          <cell r="P869" t="str">
            <v>TECNICO EN LABORATORIO QUIMICO</v>
          </cell>
          <cell r="Q869" t="str">
            <v>TALCA</v>
          </cell>
          <cell r="R869" t="str">
            <v>INSTITUTO QUÍMICA DE RECURSOS NATURALES</v>
          </cell>
          <cell r="S869" t="str">
            <v>INSTITUTO QUÍMICA DE RECURSOS NATURALES</v>
          </cell>
        </row>
        <row r="870">
          <cell r="A870">
            <v>15774453</v>
          </cell>
          <cell r="B870" t="str">
            <v>15774453</v>
          </cell>
          <cell r="C870" t="str">
            <v>4</v>
          </cell>
          <cell r="D870" t="str">
            <v>CASANOVA MIRA PALOMA LILLIER</v>
          </cell>
          <cell r="E870" t="str">
            <v/>
          </cell>
          <cell r="F870">
            <v>40</v>
          </cell>
          <cell r="G870">
            <v>30</v>
          </cell>
          <cell r="H870" t="str">
            <v>PCASANOVA@UTALCA.CL</v>
          </cell>
          <cell r="I870">
            <v>44927</v>
          </cell>
          <cell r="J870">
            <v>46387</v>
          </cell>
          <cell r="K870" t="str">
            <v>CONTRATA</v>
          </cell>
          <cell r="L870" t="str">
            <v>TÉCNICO</v>
          </cell>
          <cell r="M870" t="str">
            <v>TÉCNICO</v>
          </cell>
          <cell r="N870" t="str">
            <v>GRADO I.23</v>
          </cell>
          <cell r="O870" t="str">
            <v>TÉC. NIVEL MEDIO</v>
          </cell>
          <cell r="P870" t="str">
            <v>TECNICO DE NIVEL MEDIO EN LABORATORIO QUIMICO</v>
          </cell>
          <cell r="Q870" t="str">
            <v>TALCA</v>
          </cell>
          <cell r="R870" t="str">
            <v>FACULTAD DE CIENCIAS AGRARIAS</v>
          </cell>
          <cell r="S870" t="str">
            <v>CENTRO TECNOLÓGICO DE SUELOS Y CULTIVOS</v>
          </cell>
        </row>
        <row r="871">
          <cell r="A871">
            <v>15791635</v>
          </cell>
          <cell r="B871" t="str">
            <v>15791635</v>
          </cell>
          <cell r="C871" t="str">
            <v>1</v>
          </cell>
          <cell r="D871" t="str">
            <v>MOLINA MOLINA BRENDA JENNIFFER</v>
          </cell>
          <cell r="E871" t="str">
            <v>VRF400008</v>
          </cell>
          <cell r="F871">
            <v>44</v>
          </cell>
          <cell r="G871">
            <v>30</v>
          </cell>
          <cell r="H871" t="str">
            <v>BMOLINA@UTALCA.CL</v>
          </cell>
          <cell r="I871">
            <v>42217</v>
          </cell>
          <cell r="J871">
            <v>46446</v>
          </cell>
          <cell r="K871" t="str">
            <v>CONTRATA</v>
          </cell>
          <cell r="L871" t="str">
            <v>CA DOCENTE</v>
          </cell>
          <cell r="M871" t="str">
            <v>PROFESOR ASISTENTE</v>
          </cell>
          <cell r="N871" t="str">
            <v>GRADO C</v>
          </cell>
          <cell r="O871" t="str">
            <v>MAGISTER</v>
          </cell>
          <cell r="P871" t="str">
            <v>MAGÍSTER EN ENSEÑANZA DEL INGLÉS COMO LENGUA</v>
          </cell>
          <cell r="Q871" t="str">
            <v>SANTIAGO</v>
          </cell>
          <cell r="R871" t="str">
            <v>DIRECCIÓN DE PREGRADO</v>
          </cell>
          <cell r="S871" t="str">
            <v>PROGRAMA DE IDIOMAS</v>
          </cell>
        </row>
        <row r="872">
          <cell r="A872">
            <v>15795849</v>
          </cell>
          <cell r="B872" t="str">
            <v>15795849</v>
          </cell>
          <cell r="C872" t="str">
            <v>6</v>
          </cell>
          <cell r="D872" t="str">
            <v>LEMUS CASTILLO YENNIFER WALESK</v>
          </cell>
          <cell r="E872" t="str">
            <v>FOD350001</v>
          </cell>
          <cell r="F872">
            <v>44</v>
          </cell>
          <cell r="G872">
            <v>30</v>
          </cell>
          <cell r="H872" t="str">
            <v>YENNIFER.LEMUS@UTALCA.CL</v>
          </cell>
          <cell r="I872">
            <v>45061</v>
          </cell>
          <cell r="J872">
            <v>46387</v>
          </cell>
          <cell r="K872" t="str">
            <v>CONTRATA</v>
          </cell>
          <cell r="L872" t="str">
            <v>TÉCNICO</v>
          </cell>
          <cell r="M872" t="str">
            <v>TÉCNICO</v>
          </cell>
          <cell r="N872" t="str">
            <v>GRADO I.23</v>
          </cell>
          <cell r="O872" t="str">
            <v>TÉC. NIVEL SUPERIOR</v>
          </cell>
          <cell r="P872" t="str">
            <v>TÉCNICO EN ENFERMERÍA DE NIVEL SUPERIOR</v>
          </cell>
          <cell r="Q872" t="str">
            <v>TALCA</v>
          </cell>
          <cell r="R872" t="str">
            <v>FACULTAD DE ODONTOLOGÍA</v>
          </cell>
          <cell r="S872" t="str">
            <v>CLÍNICAS ODONTOLÓGICAS</v>
          </cell>
        </row>
        <row r="873">
          <cell r="A873">
            <v>15805362</v>
          </cell>
          <cell r="B873" t="str">
            <v>15805362</v>
          </cell>
          <cell r="C873" t="str">
            <v>4</v>
          </cell>
          <cell r="D873" t="str">
            <v>DROGUETT OSSA DANIEL ANDRES</v>
          </cell>
          <cell r="E873" t="str">
            <v>FOD320002</v>
          </cell>
          <cell r="F873">
            <v>22</v>
          </cell>
          <cell r="G873">
            <v>30</v>
          </cell>
          <cell r="H873" t="str">
            <v>DDROGUETT@UTALCA.CL</v>
          </cell>
          <cell r="I873">
            <v>39934</v>
          </cell>
          <cell r="J873">
            <v>46446</v>
          </cell>
          <cell r="K873" t="str">
            <v>CONTRATA</v>
          </cell>
          <cell r="L873" t="str">
            <v>CA DE LA PROFESIÓN</v>
          </cell>
          <cell r="M873" t="str">
            <v>PROFESOR ASISTENTE</v>
          </cell>
          <cell r="N873" t="str">
            <v>GRADO C</v>
          </cell>
          <cell r="O873" t="str">
            <v>DOCTORADO</v>
          </cell>
          <cell r="P873" t="str">
            <v>DOCTOR EN CIENCIAS BIOMÉDICAS</v>
          </cell>
          <cell r="Q873" t="str">
            <v>TALCA</v>
          </cell>
          <cell r="R873" t="str">
            <v>FACULTAD DE ODONTOLOGÍA</v>
          </cell>
          <cell r="S873" t="str">
            <v>DEPARTAMENTO DE ESTOMATOLOGÍA</v>
          </cell>
        </row>
        <row r="874">
          <cell r="A874">
            <v>15808734</v>
          </cell>
          <cell r="B874" t="str">
            <v>15808734</v>
          </cell>
          <cell r="C874" t="str">
            <v>0</v>
          </cell>
          <cell r="D874" t="str">
            <v>GARCIA JEREZ MARIA ELENA</v>
          </cell>
          <cell r="E874" t="str">
            <v>FED310002</v>
          </cell>
          <cell r="F874">
            <v>44</v>
          </cell>
          <cell r="G874">
            <v>30</v>
          </cell>
          <cell r="H874" t="str">
            <v>MARIA.GARCIA@UTALCA.CL</v>
          </cell>
          <cell r="I874">
            <v>44652</v>
          </cell>
          <cell r="J874">
            <v>46446</v>
          </cell>
          <cell r="K874" t="str">
            <v>CONTRATA</v>
          </cell>
          <cell r="L874" t="str">
            <v>CA DOCENTE</v>
          </cell>
          <cell r="M874" t="str">
            <v>INSTRUCTOR</v>
          </cell>
          <cell r="N874" t="str">
            <v>GRADO D</v>
          </cell>
          <cell r="O874" t="str">
            <v>MAGISTER</v>
          </cell>
          <cell r="P874" t="str">
            <v>MASTER OF ARTS</v>
          </cell>
          <cell r="Q874" t="str">
            <v>LINARES</v>
          </cell>
          <cell r="R874" t="str">
            <v>FACULTAD DE CIENCIAS DE LA EDUCACIÓN</v>
          </cell>
          <cell r="S874" t="str">
            <v>ESCUELA DE PEDAGOGÍA EN INGLÉS</v>
          </cell>
        </row>
        <row r="875">
          <cell r="A875">
            <v>15809256</v>
          </cell>
          <cell r="B875" t="str">
            <v>15809256</v>
          </cell>
          <cell r="C875" t="str">
            <v>5</v>
          </cell>
          <cell r="D875" t="str">
            <v>NUÑEZ SAEZ JOSE JOAQUIN</v>
          </cell>
          <cell r="E875" t="str">
            <v>VRF400009</v>
          </cell>
          <cell r="F875">
            <v>44</v>
          </cell>
          <cell r="G875">
            <v>30</v>
          </cell>
          <cell r="H875" t="str">
            <v>JONUNEZ@UTALCA.CL</v>
          </cell>
          <cell r="I875">
            <v>43525</v>
          </cell>
          <cell r="J875">
            <v>46446</v>
          </cell>
          <cell r="K875" t="str">
            <v>CONTRATA</v>
          </cell>
          <cell r="L875" t="str">
            <v>CA DOCENTE</v>
          </cell>
          <cell r="M875" t="str">
            <v>INSTRUCTOR</v>
          </cell>
          <cell r="N875" t="str">
            <v>GRADO D</v>
          </cell>
          <cell r="O875" t="str">
            <v>MAGISTER</v>
          </cell>
          <cell r="P875" t="str">
            <v>MAGÍSTER EN GESTIÓN Y POLÍTICAS PÚBLICAS</v>
          </cell>
          <cell r="Q875" t="str">
            <v>TALCA</v>
          </cell>
          <cell r="R875" t="str">
            <v>DIRECCIÓN DE PREGRADO</v>
          </cell>
          <cell r="S875" t="str">
            <v>PROGRAMA DE FORMACIÓN FUNDAMENTAL</v>
          </cell>
        </row>
        <row r="876">
          <cell r="A876">
            <v>15835342</v>
          </cell>
          <cell r="B876" t="str">
            <v>15835342</v>
          </cell>
          <cell r="C876" t="str">
            <v>3</v>
          </cell>
          <cell r="D876" t="str">
            <v>MEZA GONZALEZ BEKY ORELLA</v>
          </cell>
          <cell r="E876" t="str">
            <v>ADC310001</v>
          </cell>
          <cell r="F876">
            <v>44</v>
          </cell>
          <cell r="G876">
            <v>30</v>
          </cell>
          <cell r="H876" t="str">
            <v>BMEZA@UTALCA.CL</v>
          </cell>
          <cell r="I876">
            <v>43466</v>
          </cell>
          <cell r="J876">
            <v>46387</v>
          </cell>
          <cell r="K876" t="str">
            <v>CONTRATA</v>
          </cell>
          <cell r="L876" t="str">
            <v>ADMINISTRATIVO</v>
          </cell>
          <cell r="M876" t="str">
            <v>ADMINISTRATIVO</v>
          </cell>
          <cell r="N876" t="str">
            <v>GRADO I.21</v>
          </cell>
          <cell r="O876" t="str">
            <v>TÉC. NIVEL SUPERIOR</v>
          </cell>
          <cell r="P876" t="str">
            <v>TÉCNICO EN ADMINISTRACIÓN DE EMPRESAS</v>
          </cell>
          <cell r="Q876" t="str">
            <v>TALCA</v>
          </cell>
          <cell r="R876" t="str">
            <v>INSTITUTO DE CIENCIAS BIOLÓGICAS</v>
          </cell>
          <cell r="S876" t="str">
            <v>ESCUELA DE BIOQUÍMICA</v>
          </cell>
        </row>
        <row r="877">
          <cell r="A877">
            <v>15843371</v>
          </cell>
          <cell r="B877" t="str">
            <v>15843371</v>
          </cell>
          <cell r="C877" t="str">
            <v>0</v>
          </cell>
          <cell r="D877" t="str">
            <v>PERALTA MIRANDA JUAN PABLO</v>
          </cell>
          <cell r="E877" t="str">
            <v>FCS320009</v>
          </cell>
          <cell r="F877">
            <v>44</v>
          </cell>
          <cell r="G877">
            <v>30</v>
          </cell>
          <cell r="H877" t="str">
            <v>JPERALTA@UTALCA.CL</v>
          </cell>
          <cell r="I877">
            <v>41913</v>
          </cell>
          <cell r="J877">
            <v>46446</v>
          </cell>
          <cell r="K877" t="str">
            <v>CONTRATA</v>
          </cell>
          <cell r="L877" t="str">
            <v>CA DOCENTE</v>
          </cell>
          <cell r="M877" t="str">
            <v>INSTRUCTOR</v>
          </cell>
          <cell r="N877" t="str">
            <v>GRADO D</v>
          </cell>
          <cell r="O877" t="str">
            <v>MAGISTER</v>
          </cell>
          <cell r="P877" t="str">
            <v>MAGÍSTER EN GESTION DE INSTITUCIONES DE SALUD</v>
          </cell>
          <cell r="Q877" t="str">
            <v>TALCA</v>
          </cell>
          <cell r="R877" t="str">
            <v>FACULTAD DE CIENCIAS DE LA SALUD</v>
          </cell>
          <cell r="S877" t="str">
            <v>DPTO. DE CIENCIAS DEL MOVIMIENTO HUMANO</v>
          </cell>
        </row>
        <row r="878">
          <cell r="A878">
            <v>15855433</v>
          </cell>
          <cell r="B878" t="str">
            <v>15855433</v>
          </cell>
          <cell r="C878" t="str">
            <v>K</v>
          </cell>
          <cell r="D878" t="str">
            <v>ORELLANA MOLINA MAURICIO ALEJA</v>
          </cell>
          <cell r="E878" t="str">
            <v>FCS320011</v>
          </cell>
          <cell r="F878">
            <v>44</v>
          </cell>
          <cell r="G878">
            <v>30</v>
          </cell>
          <cell r="H878" t="str">
            <v>MAUORELLANA@UTALCA.CL</v>
          </cell>
          <cell r="I878">
            <v>44986</v>
          </cell>
          <cell r="J878">
            <v>46446</v>
          </cell>
          <cell r="K878" t="str">
            <v>CONTRATA</v>
          </cell>
          <cell r="L878" t="str">
            <v>CA DOCENTE</v>
          </cell>
          <cell r="M878" t="str">
            <v>INSTRUCTOR</v>
          </cell>
          <cell r="N878" t="str">
            <v>GRADO D</v>
          </cell>
          <cell r="O878" t="str">
            <v>MAGISTER</v>
          </cell>
          <cell r="P878" t="str">
            <v>MAGISTER EN GESTION EN ATENCION PRIMARIA DE S</v>
          </cell>
          <cell r="Q878" t="str">
            <v>TALCA</v>
          </cell>
          <cell r="R878" t="str">
            <v>FACULTAD DE CIENCIAS DE LA SALUD</v>
          </cell>
          <cell r="S878" t="str">
            <v>DEPTO. CIENCIAS DE LA NUT. Y ALIMENTOS</v>
          </cell>
        </row>
        <row r="879">
          <cell r="A879">
            <v>15855698</v>
          </cell>
          <cell r="B879" t="str">
            <v>15855698</v>
          </cell>
          <cell r="C879" t="str">
            <v>7</v>
          </cell>
          <cell r="D879" t="str">
            <v>SOLAR GARCIA CARLA PAMELA</v>
          </cell>
          <cell r="E879" t="str">
            <v>FCS320001</v>
          </cell>
          <cell r="F879">
            <v>22</v>
          </cell>
          <cell r="G879">
            <v>30</v>
          </cell>
          <cell r="H879" t="str">
            <v>CARLA.SOLAR@UTALCA.CL</v>
          </cell>
          <cell r="I879">
            <v>45383</v>
          </cell>
          <cell r="J879">
            <v>46446</v>
          </cell>
          <cell r="K879" t="str">
            <v>CONTRATA</v>
          </cell>
          <cell r="L879" t="str">
            <v>CA DOCENTE</v>
          </cell>
          <cell r="M879" t="str">
            <v>INSTRUCTOR</v>
          </cell>
          <cell r="N879" t="str">
            <v>GRADO D</v>
          </cell>
          <cell r="O879" t="str">
            <v>MAGISTER</v>
          </cell>
          <cell r="P879" t="str">
            <v>MAGISTER EN CIENCIAS BIOMÉDICAS, MENCIÓN: BIO</v>
          </cell>
          <cell r="Q879" t="str">
            <v>TALCA</v>
          </cell>
          <cell r="R879" t="str">
            <v>FACULTAD DE CIENCIAS DE LA SALUD</v>
          </cell>
          <cell r="S879" t="str">
            <v>DPTO. BIOQUÍM. CLÍN. E INMUNOHEMATOLOGÍA</v>
          </cell>
        </row>
        <row r="880">
          <cell r="A880">
            <v>15875139</v>
          </cell>
          <cell r="B880" t="str">
            <v>15875139</v>
          </cell>
          <cell r="C880" t="str">
            <v>9</v>
          </cell>
          <cell r="D880" t="str">
            <v>MARDONES SEPULVEDA CRISTIAN MA</v>
          </cell>
          <cell r="E880" t="str">
            <v>IMF300001</v>
          </cell>
          <cell r="F880">
            <v>44</v>
          </cell>
          <cell r="G880">
            <v>30</v>
          </cell>
          <cell r="H880" t="str">
            <v>CRMARDONES@UTALCA.CL</v>
          </cell>
          <cell r="I880">
            <v>43374</v>
          </cell>
          <cell r="J880">
            <v>46446</v>
          </cell>
          <cell r="K880" t="str">
            <v>CONTRATA</v>
          </cell>
          <cell r="L880" t="str">
            <v>CA DOCENTE</v>
          </cell>
          <cell r="M880" t="str">
            <v>INSTRUCTOR</v>
          </cell>
          <cell r="N880" t="str">
            <v>GRADO D</v>
          </cell>
          <cell r="O880" t="str">
            <v>MAGISTER</v>
          </cell>
          <cell r="P880" t="str">
            <v>MAGÍSTER EN CIENCIAS CON MENCIÓN EN MATEMÁTIC</v>
          </cell>
          <cell r="Q880" t="str">
            <v>TALCA</v>
          </cell>
          <cell r="R880" t="str">
            <v>INSTITUTO DE MATEMÁTICAS</v>
          </cell>
          <cell r="S880" t="str">
            <v>INSTITUTO DE MATEMÁTICAS</v>
          </cell>
        </row>
        <row r="881">
          <cell r="A881">
            <v>15877215</v>
          </cell>
          <cell r="B881" t="str">
            <v>15877215</v>
          </cell>
          <cell r="C881" t="str">
            <v>9</v>
          </cell>
          <cell r="D881" t="str">
            <v>TORRES GELDRES ANDREA SUSANA</v>
          </cell>
          <cell r="E881" t="str">
            <v>FCS320011</v>
          </cell>
          <cell r="F881">
            <v>44</v>
          </cell>
          <cell r="G881">
            <v>30</v>
          </cell>
          <cell r="H881" t="str">
            <v>ANDTORRES@UTALCA.CL</v>
          </cell>
          <cell r="I881">
            <v>44621</v>
          </cell>
          <cell r="J881">
            <v>46446</v>
          </cell>
          <cell r="K881" t="str">
            <v>CONTRATA</v>
          </cell>
          <cell r="L881" t="str">
            <v>CA DOCENTE</v>
          </cell>
          <cell r="M881" t="str">
            <v>INSTRUCTOR</v>
          </cell>
          <cell r="N881" t="str">
            <v>GRADO D</v>
          </cell>
          <cell r="O881" t="str">
            <v>MAGISTER</v>
          </cell>
          <cell r="P881" t="str">
            <v>MAGISTER EN NUTRICIÓN HUMANA</v>
          </cell>
          <cell r="Q881" t="str">
            <v>TALCA</v>
          </cell>
          <cell r="R881" t="str">
            <v>FACULTAD DE CIENCIAS DE LA SALUD</v>
          </cell>
          <cell r="S881" t="str">
            <v>DEPTO. CIENCIAS DE LA NUT. Y ALIMENTOS</v>
          </cell>
        </row>
        <row r="882">
          <cell r="A882">
            <v>15906342</v>
          </cell>
          <cell r="B882" t="str">
            <v>15906342</v>
          </cell>
          <cell r="C882" t="str">
            <v>9</v>
          </cell>
          <cell r="D882" t="str">
            <v>SALINAS GAONA ALVARO RODRIGO</v>
          </cell>
          <cell r="E882" t="str">
            <v>FCI320004</v>
          </cell>
          <cell r="F882">
            <v>44</v>
          </cell>
          <cell r="G882">
            <v>30</v>
          </cell>
          <cell r="H882" t="str">
            <v>ALVARO.SALINAS@UTALCA.CL</v>
          </cell>
          <cell r="I882">
            <v>43891</v>
          </cell>
          <cell r="J882">
            <v>46446</v>
          </cell>
          <cell r="K882" t="str">
            <v>CONTRATA</v>
          </cell>
          <cell r="L882" t="str">
            <v>CA DOCENTE</v>
          </cell>
          <cell r="M882" t="str">
            <v>INSTRUCTOR</v>
          </cell>
          <cell r="N882" t="str">
            <v>GRADO D</v>
          </cell>
          <cell r="O882" t="str">
            <v>DOCTORADO</v>
          </cell>
          <cell r="P882" t="str">
            <v>DOCTOR EN CIENCIAS DE LA INGENIERIA MENCION C</v>
          </cell>
          <cell r="Q882" t="str">
            <v>CURICO</v>
          </cell>
          <cell r="R882" t="str">
            <v>FACULTAD DE INGENIERÍA</v>
          </cell>
          <cell r="S882" t="str">
            <v>DEPARTAMENTO DE TECNOLOGÍA INDUSTRIALES</v>
          </cell>
        </row>
        <row r="883">
          <cell r="A883">
            <v>15906533</v>
          </cell>
          <cell r="B883" t="str">
            <v>15906533</v>
          </cell>
          <cell r="C883" t="str">
            <v>2</v>
          </cell>
          <cell r="D883" t="str">
            <v>ESPINOSA SAN MARTIN MARCELA PA</v>
          </cell>
          <cell r="E883" t="str">
            <v>FOD320001</v>
          </cell>
          <cell r="F883">
            <v>33</v>
          </cell>
          <cell r="G883">
            <v>30</v>
          </cell>
          <cell r="H883" t="str">
            <v>MAESPINOSA@UTALCA.CL</v>
          </cell>
          <cell r="I883">
            <v>44713</v>
          </cell>
          <cell r="J883">
            <v>46446</v>
          </cell>
          <cell r="K883" t="str">
            <v>CONTRATA</v>
          </cell>
          <cell r="L883" t="str">
            <v>CA DOCENTE</v>
          </cell>
          <cell r="M883" t="str">
            <v>INSTRUCTOR</v>
          </cell>
          <cell r="N883" t="str">
            <v>GRADO D</v>
          </cell>
          <cell r="O883" t="str">
            <v>ESPECIAL. ODONTOLÓG.</v>
          </cell>
          <cell r="P883" t="str">
            <v>ESPECIALIDAD EN ENDODONCIA</v>
          </cell>
          <cell r="Q883" t="str">
            <v>TALCA</v>
          </cell>
          <cell r="R883" t="str">
            <v>FACULTAD DE ODONTOLOGÍA</v>
          </cell>
          <cell r="S883" t="str">
            <v>DPTO. REHABILITACIÓN BUCO-MAXILOFACIAL</v>
          </cell>
        </row>
        <row r="884">
          <cell r="A884">
            <v>15907172</v>
          </cell>
          <cell r="B884" t="str">
            <v>15907172</v>
          </cell>
          <cell r="C884" t="str">
            <v>3</v>
          </cell>
          <cell r="D884" t="str">
            <v>SOTO GAETE LUIS ALFREDO</v>
          </cell>
          <cell r="E884" t="str">
            <v>VGE400054</v>
          </cell>
          <cell r="F884">
            <v>44</v>
          </cell>
          <cell r="G884">
            <v>30</v>
          </cell>
          <cell r="H884" t="str">
            <v>LUISOTO@UTALCA.CL</v>
          </cell>
          <cell r="I884">
            <v>43831</v>
          </cell>
          <cell r="J884">
            <v>46387</v>
          </cell>
          <cell r="K884" t="str">
            <v>CONTRATA</v>
          </cell>
          <cell r="L884" t="str">
            <v>ADMINISTRATIVO</v>
          </cell>
          <cell r="M884" t="str">
            <v>ADMINISTRATIVO</v>
          </cell>
          <cell r="N884" t="str">
            <v>GRADO I.21</v>
          </cell>
          <cell r="O884" t="str">
            <v>ESCOLARIDAD CIENT HU</v>
          </cell>
          <cell r="P884" t="str">
            <v>LICENCIA ENSEÑANZA MEDIA</v>
          </cell>
          <cell r="Q884" t="str">
            <v>TALCA</v>
          </cell>
          <cell r="R884" t="str">
            <v>VIC. GESTIÓN ECONÓMICA Y ADMINISTRACIÓN</v>
          </cell>
          <cell r="S884" t="str">
            <v>DEPARTAMENTO DE SERVICIOS  Y PROCESOS TI</v>
          </cell>
        </row>
        <row r="885">
          <cell r="A885">
            <v>15907208</v>
          </cell>
          <cell r="B885" t="str">
            <v>15907208</v>
          </cell>
          <cell r="C885" t="str">
            <v>8</v>
          </cell>
          <cell r="D885" t="str">
            <v>QUINTEROS TOLEDO CAROLINA ANDR</v>
          </cell>
          <cell r="E885" t="str">
            <v>IQR300001</v>
          </cell>
          <cell r="F885">
            <v>44</v>
          </cell>
          <cell r="G885">
            <v>30</v>
          </cell>
          <cell r="H885" t="str">
            <v>CQUINTEROST@UTALCA.CL</v>
          </cell>
          <cell r="I885">
            <v>41365</v>
          </cell>
          <cell r="J885">
            <v>46387</v>
          </cell>
          <cell r="K885" t="str">
            <v>CONTRATA</v>
          </cell>
          <cell r="L885" t="str">
            <v>C ESPECIALES</v>
          </cell>
          <cell r="M885" t="str">
            <v>TUTOR(A) PRÁCTICA</v>
          </cell>
          <cell r="N885" t="str">
            <v>SIN GRADO</v>
          </cell>
          <cell r="O885" t="str">
            <v>MAGISTER</v>
          </cell>
          <cell r="P885" t="str">
            <v>MAGISTER EN ENSEÑANZA DE LAS CIENCIAS MENCION</v>
          </cell>
          <cell r="Q885" t="str">
            <v>TALCA</v>
          </cell>
          <cell r="R885" t="str">
            <v>INSTITUTO QUÍMICA DE RECURSOS NATURALES</v>
          </cell>
          <cell r="S885" t="str">
            <v>INSTITUTO QUÍMICA DE RECURSOS NATURALES</v>
          </cell>
        </row>
        <row r="886">
          <cell r="A886">
            <v>15907264</v>
          </cell>
          <cell r="B886" t="str">
            <v>15907264</v>
          </cell>
          <cell r="C886" t="str">
            <v>9</v>
          </cell>
          <cell r="D886" t="str">
            <v>REYES IBAÑEZ MELISSA ANDREA</v>
          </cell>
          <cell r="E886" t="str">
            <v>ADC030185</v>
          </cell>
          <cell r="F886">
            <v>44</v>
          </cell>
          <cell r="G886">
            <v>30</v>
          </cell>
          <cell r="H886" t="str">
            <v>MREYESI@UTALCA.CL</v>
          </cell>
          <cell r="I886">
            <v>43466</v>
          </cell>
          <cell r="J886">
            <v>46387</v>
          </cell>
          <cell r="K886" t="str">
            <v>CONTRATA</v>
          </cell>
          <cell r="L886" t="str">
            <v>ADMINISTRATIVO</v>
          </cell>
          <cell r="M886" t="str">
            <v>ADMINISTRATIVO</v>
          </cell>
          <cell r="N886" t="str">
            <v>GRADO I.21</v>
          </cell>
          <cell r="O886" t="str">
            <v>TÍTULO PROFESIONAL</v>
          </cell>
          <cell r="P886" t="str">
            <v>TRABAJADORA SOCIAL</v>
          </cell>
          <cell r="Q886" t="str">
            <v>TALCA</v>
          </cell>
          <cell r="R886" t="str">
            <v>DIRECCIÓN DE ASEGURAMIENTO DE LA CALIDAD</v>
          </cell>
          <cell r="S886" t="str">
            <v>UNIDAD DE ACREDITACIÓN DE POSTGRADO</v>
          </cell>
        </row>
        <row r="887">
          <cell r="A887">
            <v>15907505</v>
          </cell>
          <cell r="B887" t="str">
            <v>15907505</v>
          </cell>
          <cell r="C887" t="str">
            <v>2</v>
          </cell>
          <cell r="D887" t="str">
            <v>MENDOZA NUÑEZ CARLA VERONICA</v>
          </cell>
          <cell r="E887" t="str">
            <v>FPS340002</v>
          </cell>
          <cell r="F887">
            <v>44</v>
          </cell>
          <cell r="G887">
            <v>30</v>
          </cell>
          <cell r="H887" t="str">
            <v>CAMENDOZA@UTALCA.CL</v>
          </cell>
          <cell r="I887">
            <v>44256</v>
          </cell>
          <cell r="J887">
            <v>46387</v>
          </cell>
          <cell r="K887" t="str">
            <v>CONTRATA</v>
          </cell>
          <cell r="L887" t="str">
            <v>PROFESIONAL</v>
          </cell>
          <cell r="M887" t="str">
            <v>PROFESIONAL</v>
          </cell>
          <cell r="N887" t="str">
            <v>GRADO I.17</v>
          </cell>
          <cell r="O887" t="str">
            <v>TÍTULO PROFESIONAL</v>
          </cell>
          <cell r="P887" t="str">
            <v>PSICOLOGA</v>
          </cell>
          <cell r="Q887" t="str">
            <v>TALCA</v>
          </cell>
          <cell r="R887" t="str">
            <v>FACULTAD DE PSICOLOGÍA</v>
          </cell>
          <cell r="S887" t="str">
            <v>CENTRO DE PSICOLOGÍA APLICADA</v>
          </cell>
        </row>
        <row r="888">
          <cell r="A888">
            <v>15907530</v>
          </cell>
          <cell r="B888" t="str">
            <v>15907530</v>
          </cell>
          <cell r="C888" t="str">
            <v>3</v>
          </cell>
          <cell r="D888" t="str">
            <v>VERGARA JAQUE ARIELA PATRICIA</v>
          </cell>
          <cell r="E888" t="str">
            <v>FCI320001</v>
          </cell>
          <cell r="F888">
            <v>44</v>
          </cell>
          <cell r="G888">
            <v>30</v>
          </cell>
          <cell r="H888" t="str">
            <v>ARVERGARA@UTALCA.CL</v>
          </cell>
          <cell r="I888">
            <v>42795</v>
          </cell>
          <cell r="J888">
            <v>2958465</v>
          </cell>
          <cell r="K888" t="str">
            <v>PLANTA</v>
          </cell>
          <cell r="L888" t="str">
            <v>CA ORDINARIA</v>
          </cell>
          <cell r="M888" t="str">
            <v>PROFESOR ASOCIADO</v>
          </cell>
          <cell r="N888" t="str">
            <v>GRADO B</v>
          </cell>
          <cell r="O888" t="str">
            <v>DOCTORADO</v>
          </cell>
          <cell r="P888" t="str">
            <v>DOCTOR EN CIENCIAS APLICADAS</v>
          </cell>
          <cell r="Q888" t="str">
            <v>TALCA</v>
          </cell>
          <cell r="R888" t="str">
            <v>FACULTAD DE INGENIERÍA</v>
          </cell>
          <cell r="S888" t="str">
            <v>DEPARTAMENTO DE BIOINFORMÁTICA</v>
          </cell>
        </row>
        <row r="889">
          <cell r="A889">
            <v>15920457</v>
          </cell>
          <cell r="B889" t="str">
            <v>15920457</v>
          </cell>
          <cell r="C889" t="str">
            <v>K</v>
          </cell>
          <cell r="D889" t="str">
            <v>CARRASCO MEZA ANDREA PAZ</v>
          </cell>
          <cell r="E889" t="str">
            <v>FOD200001</v>
          </cell>
          <cell r="F889">
            <v>22</v>
          </cell>
          <cell r="G889">
            <v>30</v>
          </cell>
          <cell r="H889" t="str">
            <v>ACARRASCO@UTALCA.CL</v>
          </cell>
          <cell r="I889">
            <v>44348</v>
          </cell>
          <cell r="J889">
            <v>46387</v>
          </cell>
          <cell r="K889" t="str">
            <v>CONTRATA</v>
          </cell>
          <cell r="L889" t="str">
            <v>C ESPECIALES</v>
          </cell>
          <cell r="M889" t="str">
            <v>TUTOR(A) PRÁCTICA</v>
          </cell>
          <cell r="N889" t="str">
            <v>SIN GRADO</v>
          </cell>
          <cell r="O889" t="str">
            <v>ESPECIAL. ODONTOLÓG.</v>
          </cell>
          <cell r="P889" t="str">
            <v>ESPECIALISTA EN IMAGENOLOGIA ORAL Y MAXILOFAC</v>
          </cell>
          <cell r="Q889" t="str">
            <v>TALCA</v>
          </cell>
          <cell r="R889" t="str">
            <v>FACULTAD DE ODONTOLOGÍA</v>
          </cell>
          <cell r="S889" t="str">
            <v>FACULTAD DE ODONTOLOGÍA</v>
          </cell>
        </row>
        <row r="890">
          <cell r="A890">
            <v>15920622</v>
          </cell>
          <cell r="B890" t="str">
            <v>15920622</v>
          </cell>
          <cell r="C890" t="str">
            <v>K</v>
          </cell>
          <cell r="D890" t="str">
            <v>TAPIA LASTRA PILAR ANDREA</v>
          </cell>
          <cell r="E890" t="str">
            <v>FOD200001</v>
          </cell>
          <cell r="F890">
            <v>20</v>
          </cell>
          <cell r="G890">
            <v>30</v>
          </cell>
          <cell r="H890" t="str">
            <v>PITAPIA@UTALCA.CL</v>
          </cell>
          <cell r="I890">
            <v>45078</v>
          </cell>
          <cell r="J890">
            <v>46387</v>
          </cell>
          <cell r="K890" t="str">
            <v>CONTRATA</v>
          </cell>
          <cell r="L890" t="str">
            <v>C ESPECIALES</v>
          </cell>
          <cell r="M890" t="str">
            <v>TUTOR(A) PRÁCTICA</v>
          </cell>
          <cell r="N890" t="str">
            <v>SIN GRADO</v>
          </cell>
          <cell r="O890" t="str">
            <v>ESPECIAL. ODONTOLÓG.</v>
          </cell>
          <cell r="P890" t="str">
            <v>ESPECIALISTA EN CIRUGIA Y TRAUMATOLOGIA BUCAL</v>
          </cell>
          <cell r="Q890" t="str">
            <v>TALCA</v>
          </cell>
          <cell r="R890" t="str">
            <v>FACULTAD DE ODONTOLOGÍA</v>
          </cell>
          <cell r="S890" t="str">
            <v>FACULTAD DE ODONTOLOGÍA</v>
          </cell>
        </row>
        <row r="891">
          <cell r="A891">
            <v>15923231</v>
          </cell>
          <cell r="B891" t="str">
            <v>15923231</v>
          </cell>
          <cell r="C891" t="str">
            <v>K</v>
          </cell>
          <cell r="D891" t="str">
            <v>ULLOA HERRERA CAROLINA ANDREA</v>
          </cell>
          <cell r="E891" t="str">
            <v>ADC030180</v>
          </cell>
          <cell r="F891">
            <v>44</v>
          </cell>
          <cell r="G891">
            <v>30</v>
          </cell>
          <cell r="H891" t="str">
            <v>CAROLINA.ULLOA@UTALCA.CL</v>
          </cell>
          <cell r="I891">
            <v>44805</v>
          </cell>
          <cell r="J891">
            <v>46387</v>
          </cell>
          <cell r="K891" t="str">
            <v>CONTRATA</v>
          </cell>
          <cell r="L891" t="str">
            <v>DIR EXCLU. CONFIANZA</v>
          </cell>
          <cell r="M891" t="str">
            <v>PROFESIONAL</v>
          </cell>
          <cell r="N891" t="str">
            <v>GRADO I.17</v>
          </cell>
          <cell r="O891" t="str">
            <v>TÍTULO PROFESIONAL</v>
          </cell>
          <cell r="P891" t="str">
            <v>PROFESOR DE HISTORIA Y GEOGRAFÍA</v>
          </cell>
          <cell r="Q891" t="str">
            <v>TALCA</v>
          </cell>
          <cell r="R891" t="str">
            <v>DIRECCIÓN DE ASEGURAMIENTO DE LA CALIDAD</v>
          </cell>
          <cell r="S891" t="str">
            <v>DEPARTAMENTO DE ACREDITACIÓN</v>
          </cell>
        </row>
        <row r="892">
          <cell r="A892">
            <v>15923848</v>
          </cell>
          <cell r="B892" t="str">
            <v>15923848</v>
          </cell>
          <cell r="C892" t="str">
            <v>2</v>
          </cell>
          <cell r="D892" t="str">
            <v>GONZALEZ MUÑOZ YENNY KAREN</v>
          </cell>
          <cell r="E892" t="str">
            <v>FCS310007</v>
          </cell>
          <cell r="F892">
            <v>44</v>
          </cell>
          <cell r="G892">
            <v>30</v>
          </cell>
          <cell r="H892" t="str">
            <v>YENNY.GONZALEZ@UTALCA.CL</v>
          </cell>
          <cell r="I892">
            <v>43952</v>
          </cell>
          <cell r="J892">
            <v>46446</v>
          </cell>
          <cell r="K892" t="str">
            <v>CONTRATA</v>
          </cell>
          <cell r="L892" t="str">
            <v>CA DOCENTE</v>
          </cell>
          <cell r="M892" t="str">
            <v>INSTRUCTOR</v>
          </cell>
          <cell r="N892" t="str">
            <v>GRADO D</v>
          </cell>
          <cell r="O892" t="str">
            <v>MAGISTER</v>
          </cell>
          <cell r="P892" t="str">
            <v>MAGÍSTER EN GESTIÓN INTEGRAL DE ORGANIZACIONE</v>
          </cell>
          <cell r="Q892" t="str">
            <v>TALCA</v>
          </cell>
          <cell r="R892" t="str">
            <v>FACULTAD DE CIENCIAS DE LA SALUD</v>
          </cell>
          <cell r="S892" t="str">
            <v>ESCUELA DE OBSTETRICIA Y PUERICULTURA</v>
          </cell>
        </row>
        <row r="893">
          <cell r="A893">
            <v>15927876</v>
          </cell>
          <cell r="B893" t="str">
            <v>15927876</v>
          </cell>
          <cell r="C893" t="str">
            <v>K</v>
          </cell>
          <cell r="D893" t="str">
            <v>CARRASCO URRA FERNANDO ANDRES</v>
          </cell>
          <cell r="E893" t="str">
            <v>ICB300001</v>
          </cell>
          <cell r="F893">
            <v>44</v>
          </cell>
          <cell r="G893">
            <v>30</v>
          </cell>
          <cell r="H893" t="str">
            <v>FERNANDO.CARRASCO@UTALCA.CL</v>
          </cell>
          <cell r="I893">
            <v>43160</v>
          </cell>
          <cell r="J893">
            <v>46446</v>
          </cell>
          <cell r="K893" t="str">
            <v>CONTRATA</v>
          </cell>
          <cell r="L893" t="str">
            <v>CA DOCENTE</v>
          </cell>
          <cell r="M893" t="str">
            <v>INSTRUCTOR</v>
          </cell>
          <cell r="N893" t="str">
            <v>GRADO D</v>
          </cell>
          <cell r="O893" t="str">
            <v>DOCTORADO</v>
          </cell>
          <cell r="P893" t="str">
            <v>DOCTOR EN CIENCIAS BIOLÓGICAS ÁREA BOTÁNICA</v>
          </cell>
          <cell r="Q893" t="str">
            <v>TALCA</v>
          </cell>
          <cell r="R893" t="str">
            <v>INSTITUTO DE CIENCIAS BIOLÓGICAS</v>
          </cell>
          <cell r="S893" t="str">
            <v>INSTITUTO DE CIENCIAS BIOLÓGICAS</v>
          </cell>
        </row>
        <row r="894">
          <cell r="A894">
            <v>15928323</v>
          </cell>
          <cell r="B894" t="str">
            <v>15928323</v>
          </cell>
          <cell r="C894" t="str">
            <v>2</v>
          </cell>
          <cell r="D894" t="str">
            <v>BECAR LABRAÑA EMILIO JOSE</v>
          </cell>
          <cell r="E894" t="str">
            <v>FCJ320002</v>
          </cell>
          <cell r="F894">
            <v>44</v>
          </cell>
          <cell r="G894">
            <v>30</v>
          </cell>
          <cell r="H894" t="str">
            <v>EMILIO.BECAR@UTALCA.CL</v>
          </cell>
          <cell r="I894">
            <v>44986</v>
          </cell>
          <cell r="J894">
            <v>46234</v>
          </cell>
          <cell r="K894" t="str">
            <v>CONTRATA</v>
          </cell>
          <cell r="L894" t="str">
            <v>INVESTIGADOR ASISTENTE</v>
          </cell>
          <cell r="M894" t="str">
            <v>INVESTIGADOR</v>
          </cell>
          <cell r="N894" t="str">
            <v>SIN GRADO</v>
          </cell>
          <cell r="O894" t="str">
            <v>DOCTORADO</v>
          </cell>
          <cell r="P894" t="str">
            <v>DOCTOR EN DERECHO</v>
          </cell>
          <cell r="Q894" t="str">
            <v>TALCA</v>
          </cell>
          <cell r="R894" t="str">
            <v>VICERRECTORÍA ACADÉMICA</v>
          </cell>
          <cell r="S894" t="str">
            <v>VICERRECTORÍA ACADÉMICA</v>
          </cell>
        </row>
        <row r="895">
          <cell r="A895">
            <v>15934963</v>
          </cell>
          <cell r="B895" t="str">
            <v>15934963</v>
          </cell>
          <cell r="C895" t="str">
            <v>2</v>
          </cell>
          <cell r="D895" t="str">
            <v>BOPP MONTERO CARLOS</v>
          </cell>
          <cell r="E895" t="str">
            <v>VAC400024</v>
          </cell>
          <cell r="F895">
            <v>44</v>
          </cell>
          <cell r="G895">
            <v>30</v>
          </cell>
          <cell r="H895" t="str">
            <v>CBOPPM@GMAIL.COM</v>
          </cell>
          <cell r="I895">
            <v>45880</v>
          </cell>
          <cell r="J895">
            <v>46387</v>
          </cell>
          <cell r="K895" t="str">
            <v>CONTRATA</v>
          </cell>
          <cell r="L895" t="str">
            <v>C ESPECIALES</v>
          </cell>
          <cell r="M895" t="str">
            <v>INVESTIGADOR</v>
          </cell>
          <cell r="N895" t="str">
            <v>SIN GRADO</v>
          </cell>
          <cell r="O895" t="str">
            <v>DOCTORADO</v>
          </cell>
          <cell r="P895" t="str">
            <v>DOCTOR EN CIENCIAS AGRARIAS</v>
          </cell>
          <cell r="Q895" t="str">
            <v>TALCA</v>
          </cell>
          <cell r="R895" t="str">
            <v>VICERRECTORÍA ACADÉMICA</v>
          </cell>
          <cell r="S895" t="str">
            <v>VICERRECTORÍA ACADÉMICA</v>
          </cell>
        </row>
        <row r="896">
          <cell r="A896">
            <v>15940003</v>
          </cell>
          <cell r="B896" t="str">
            <v>15940003</v>
          </cell>
          <cell r="C896" t="str">
            <v>4</v>
          </cell>
          <cell r="D896" t="str">
            <v>IBARRA MARTINEZ ANDREA PATRICI</v>
          </cell>
          <cell r="E896" t="str">
            <v>VDE400012</v>
          </cell>
          <cell r="F896">
            <v>22</v>
          </cell>
          <cell r="G896">
            <v>30</v>
          </cell>
          <cell r="H896" t="str">
            <v>ANDREA.IBARRA@UTALCA.CL</v>
          </cell>
          <cell r="I896">
            <v>44197</v>
          </cell>
          <cell r="J896">
            <v>46387</v>
          </cell>
          <cell r="K896" t="str">
            <v>CONTRATA</v>
          </cell>
          <cell r="L896" t="str">
            <v>PROFESIONAL</v>
          </cell>
          <cell r="M896" t="str">
            <v>PROFESIONAL</v>
          </cell>
          <cell r="N896" t="str">
            <v>GRADO I.17</v>
          </cell>
          <cell r="O896" t="str">
            <v>TÍTULO PROFESIONAL</v>
          </cell>
          <cell r="P896" t="str">
            <v>PSICOLOGO</v>
          </cell>
          <cell r="Q896" t="str">
            <v>SANTIAGO</v>
          </cell>
          <cell r="R896" t="str">
            <v>VICERRECTORÍA DE DESARROLLO ESTUDIANTIL</v>
          </cell>
          <cell r="S896" t="str">
            <v>DIRECCIÓN DE SALUD ESTUDIANTIL</v>
          </cell>
        </row>
        <row r="897">
          <cell r="A897">
            <v>15943002</v>
          </cell>
          <cell r="B897" t="str">
            <v>15943002</v>
          </cell>
          <cell r="C897" t="str">
            <v>2</v>
          </cell>
          <cell r="D897" t="str">
            <v>URRUTIA URRUTIA GABRIEL AGUSTI</v>
          </cell>
          <cell r="E897" t="str">
            <v>FCS320010</v>
          </cell>
          <cell r="F897">
            <v>44</v>
          </cell>
          <cell r="G897">
            <v>30</v>
          </cell>
          <cell r="H897" t="str">
            <v>GURRUTIA@UTALCA.CL</v>
          </cell>
          <cell r="I897">
            <v>41395</v>
          </cell>
          <cell r="J897">
            <v>46446</v>
          </cell>
          <cell r="K897" t="str">
            <v>CONTRATA</v>
          </cell>
          <cell r="L897" t="str">
            <v>CA DOCENTE</v>
          </cell>
          <cell r="M897" t="str">
            <v>PROFESOR ASISTENTE</v>
          </cell>
          <cell r="N897" t="str">
            <v>GRADO C</v>
          </cell>
          <cell r="O897" t="str">
            <v>DOCTORADO</v>
          </cell>
          <cell r="P897" t="str">
            <v>DOUTOR EM DISTURBIOS DA COMUNICACAO HUMANA</v>
          </cell>
          <cell r="Q897" t="str">
            <v>TALCA</v>
          </cell>
          <cell r="R897" t="str">
            <v>FACULTAD DE CIENCIAS DE LA SALUD</v>
          </cell>
          <cell r="S897" t="str">
            <v>DPTO. DE CIENCIAS DE FONOAUDIOLOGÍA</v>
          </cell>
        </row>
        <row r="898">
          <cell r="A898">
            <v>15946319</v>
          </cell>
          <cell r="B898" t="str">
            <v>15946319</v>
          </cell>
          <cell r="C898" t="str">
            <v>2</v>
          </cell>
          <cell r="D898" t="str">
            <v>CABRERA MANCILLA MARIA ALEJAND</v>
          </cell>
          <cell r="E898" t="str">
            <v>FCI310009</v>
          </cell>
          <cell r="F898">
            <v>44</v>
          </cell>
          <cell r="G898">
            <v>30</v>
          </cell>
          <cell r="H898" t="str">
            <v>MCABRERA@UTALCA.CL</v>
          </cell>
          <cell r="I898">
            <v>38930</v>
          </cell>
          <cell r="J898">
            <v>2958465</v>
          </cell>
          <cell r="K898" t="str">
            <v>PLANTA</v>
          </cell>
          <cell r="L898" t="str">
            <v>ADMINISTRATIVO</v>
          </cell>
          <cell r="M898" t="str">
            <v>ADMINISTRATIVO</v>
          </cell>
          <cell r="N898" t="str">
            <v>GRADO I.18</v>
          </cell>
          <cell r="O898" t="str">
            <v>TÍTULO PROFESIONAL</v>
          </cell>
          <cell r="P898" t="str">
            <v>INGENIERO DE EJECUCION EN ADMINISTRACION</v>
          </cell>
          <cell r="Q898" t="str">
            <v>CURICO</v>
          </cell>
          <cell r="R898" t="str">
            <v>FACULTAD DE INGENIERÍA</v>
          </cell>
          <cell r="S898" t="str">
            <v>ESCUELA DE INGENIERÍA CIVIL EN MECÁNICA</v>
          </cell>
        </row>
        <row r="899">
          <cell r="A899">
            <v>15946968</v>
          </cell>
          <cell r="B899" t="str">
            <v>15946968</v>
          </cell>
          <cell r="C899" t="str">
            <v>9</v>
          </cell>
          <cell r="D899" t="str">
            <v>ESCOBAR TORRES LORENA CECILIA</v>
          </cell>
          <cell r="E899" t="str">
            <v>VGE400003</v>
          </cell>
          <cell r="F899">
            <v>44</v>
          </cell>
          <cell r="G899">
            <v>30</v>
          </cell>
          <cell r="H899" t="str">
            <v>LORENAESCOBAR@UTALCA.CL</v>
          </cell>
          <cell r="I899">
            <v>43466</v>
          </cell>
          <cell r="J899">
            <v>46387</v>
          </cell>
          <cell r="K899" t="str">
            <v>CONTRATA</v>
          </cell>
          <cell r="L899" t="str">
            <v>PROFESIONAL</v>
          </cell>
          <cell r="M899" t="str">
            <v>PROFESIONAL</v>
          </cell>
          <cell r="N899" t="str">
            <v>GRADO I.17</v>
          </cell>
          <cell r="O899" t="str">
            <v>TÍTULO PROFESIONAL</v>
          </cell>
          <cell r="P899" t="str">
            <v>INGENIERO EN RECURSOS HUNMANOS</v>
          </cell>
          <cell r="Q899" t="str">
            <v>TALCA</v>
          </cell>
          <cell r="R899" t="str">
            <v>VIC. GESTIÓN ECONÓMICA Y ADMINISTRACIÓN</v>
          </cell>
          <cell r="S899" t="str">
            <v>DEPARTAMENTO DE GESTIÓN DE PERSONAS</v>
          </cell>
        </row>
        <row r="900">
          <cell r="A900">
            <v>15983861</v>
          </cell>
          <cell r="B900" t="str">
            <v>15983861</v>
          </cell>
          <cell r="C900" t="str">
            <v>7</v>
          </cell>
          <cell r="D900" t="str">
            <v>SOLIS BURGOS CARLOS GABRIEL</v>
          </cell>
          <cell r="E900" t="str">
            <v>VGE400053</v>
          </cell>
          <cell r="F900">
            <v>44</v>
          </cell>
          <cell r="G900">
            <v>30</v>
          </cell>
          <cell r="H900" t="str">
            <v>CARLOS.SOLIS@UTALCA.CL</v>
          </cell>
          <cell r="I900">
            <v>43010</v>
          </cell>
          <cell r="J900">
            <v>2958465</v>
          </cell>
          <cell r="K900" t="str">
            <v>PLANTA</v>
          </cell>
          <cell r="L900" t="str">
            <v>DIR EXCLU. CONFIANZA</v>
          </cell>
          <cell r="M900" t="str">
            <v>DIR EXCLU. CONFIANZA</v>
          </cell>
          <cell r="N900" t="str">
            <v>GRADO I.7</v>
          </cell>
          <cell r="O900" t="str">
            <v>MAGISTER</v>
          </cell>
          <cell r="P900" t="str">
            <v>MAGÍSTER EN ADMINISTRACIÓN DE EMPRESAS</v>
          </cell>
          <cell r="Q900" t="str">
            <v>TALCA</v>
          </cell>
          <cell r="R900" t="str">
            <v>VIC. GESTIÓN ECONÓMICA Y ADMINISTRACIÓN</v>
          </cell>
          <cell r="S900" t="str">
            <v>DIRECCIÓN DE LOGÍSTICA Y SERVICIOS</v>
          </cell>
        </row>
        <row r="901">
          <cell r="A901">
            <v>15991561</v>
          </cell>
          <cell r="B901" t="str">
            <v>15991561</v>
          </cell>
          <cell r="C901" t="str">
            <v>1</v>
          </cell>
          <cell r="D901" t="str">
            <v>MARINKOVIC GONZALEZ ELISA JOSE</v>
          </cell>
          <cell r="E901" t="str">
            <v>FCS320007</v>
          </cell>
          <cell r="F901">
            <v>44</v>
          </cell>
          <cell r="G901">
            <v>30</v>
          </cell>
          <cell r="H901" t="str">
            <v>EMARINKOVIC@UTALCA.CL</v>
          </cell>
          <cell r="I901">
            <v>42795</v>
          </cell>
          <cell r="J901">
            <v>46446</v>
          </cell>
          <cell r="K901" t="str">
            <v>CONTRATA</v>
          </cell>
          <cell r="L901" t="str">
            <v>CA DOCENTE</v>
          </cell>
          <cell r="M901" t="str">
            <v>INSTRUCTOR</v>
          </cell>
          <cell r="N901" t="str">
            <v>GRADO D</v>
          </cell>
          <cell r="O901" t="str">
            <v>MAGISTER</v>
          </cell>
          <cell r="P901" t="str">
            <v>MAGISTER EN EDUCACION BASADA EN COMPETENCIAS</v>
          </cell>
          <cell r="Q901" t="str">
            <v>TALCA</v>
          </cell>
          <cell r="R901" t="str">
            <v>FACULTAD DE CIENCIAS DE LA SALUD</v>
          </cell>
          <cell r="S901" t="str">
            <v>DPTO. DE CIENCIAS BÁSICAS BIOMÉDICAS</v>
          </cell>
        </row>
        <row r="902">
          <cell r="A902">
            <v>15991682</v>
          </cell>
          <cell r="B902" t="str">
            <v>15991682</v>
          </cell>
          <cell r="C902" t="str">
            <v>0</v>
          </cell>
          <cell r="D902" t="str">
            <v>BENAVIDES ROCA GLORIA ANGELICA</v>
          </cell>
          <cell r="E902" t="str">
            <v>FCS320010</v>
          </cell>
          <cell r="F902">
            <v>44</v>
          </cell>
          <cell r="G902">
            <v>30</v>
          </cell>
          <cell r="H902" t="str">
            <v>GBENAVIDES@UTALCA.CL</v>
          </cell>
          <cell r="I902">
            <v>44621</v>
          </cell>
          <cell r="J902">
            <v>46446</v>
          </cell>
          <cell r="K902" t="str">
            <v>CONTRATA</v>
          </cell>
          <cell r="L902" t="str">
            <v>CA DOCENTE</v>
          </cell>
          <cell r="M902" t="str">
            <v>INSTRUCTOR</v>
          </cell>
          <cell r="N902" t="str">
            <v>GRADO D</v>
          </cell>
          <cell r="O902" t="str">
            <v>MAGISTER</v>
          </cell>
          <cell r="P902" t="str">
            <v>MAGISTER EN EDUCACION BASADA EN COMPETENCIAS</v>
          </cell>
          <cell r="Q902" t="str">
            <v>TALCA</v>
          </cell>
          <cell r="R902" t="str">
            <v>FACULTAD DE CIENCIAS DE LA SALUD</v>
          </cell>
          <cell r="S902" t="str">
            <v>DPTO. DE CIENCIAS DE FONOAUDIOLOGÍA</v>
          </cell>
        </row>
        <row r="903">
          <cell r="A903">
            <v>15992357</v>
          </cell>
          <cell r="B903" t="str">
            <v>15992357</v>
          </cell>
          <cell r="C903" t="str">
            <v>6</v>
          </cell>
          <cell r="D903" t="str">
            <v>OLATE OLAVE VERONICA RACHEL</v>
          </cell>
          <cell r="E903" t="str">
            <v>FCS320001</v>
          </cell>
          <cell r="F903">
            <v>44</v>
          </cell>
          <cell r="G903">
            <v>30</v>
          </cell>
          <cell r="H903" t="str">
            <v>VOLATE@UTALCA.CL</v>
          </cell>
          <cell r="I903">
            <v>44621</v>
          </cell>
          <cell r="J903">
            <v>46387</v>
          </cell>
          <cell r="K903" t="str">
            <v>CONTRATA</v>
          </cell>
          <cell r="L903" t="str">
            <v>INVESTIGADOR ASISTENTE</v>
          </cell>
          <cell r="M903" t="str">
            <v>PROFESIONAL</v>
          </cell>
          <cell r="N903" t="str">
            <v>GRADO I.17</v>
          </cell>
          <cell r="O903" t="str">
            <v>DOCTORADO</v>
          </cell>
          <cell r="P903" t="str">
            <v>DOCTOR EN CIENCIAS CON MENCION EN INVESTIGACI</v>
          </cell>
          <cell r="Q903" t="str">
            <v>TALCA</v>
          </cell>
          <cell r="R903" t="str">
            <v>FACULTAD DE CIENCIAS DE LA SALUD</v>
          </cell>
          <cell r="S903" t="str">
            <v>DPTO. BIOQUÍM. CLÍN. E INMUNOHEMATOLOGÍA</v>
          </cell>
        </row>
        <row r="904">
          <cell r="A904">
            <v>16001282</v>
          </cell>
          <cell r="B904" t="str">
            <v>16001282</v>
          </cell>
          <cell r="C904" t="str">
            <v>K</v>
          </cell>
          <cell r="D904" t="str">
            <v>RETAMAL MORGADO MARIA PAZ</v>
          </cell>
          <cell r="E904" t="str">
            <v>VGE400008</v>
          </cell>
          <cell r="F904">
            <v>44</v>
          </cell>
          <cell r="G904">
            <v>30</v>
          </cell>
          <cell r="H904" t="str">
            <v>MARIA.RETAMAL@UTALCA.CL</v>
          </cell>
          <cell r="I904">
            <v>45089</v>
          </cell>
          <cell r="J904">
            <v>46387</v>
          </cell>
          <cell r="K904" t="str">
            <v>CONTRATA</v>
          </cell>
          <cell r="L904" t="str">
            <v>PROFESIONAL</v>
          </cell>
          <cell r="M904" t="str">
            <v>PROFESIONAL</v>
          </cell>
          <cell r="N904" t="str">
            <v>GRADO I.17</v>
          </cell>
          <cell r="O904" t="str">
            <v>TÍTULO PROFESIONAL</v>
          </cell>
          <cell r="P904" t="str">
            <v>PSICOLOGO</v>
          </cell>
          <cell r="Q904" t="str">
            <v>TALCA</v>
          </cell>
          <cell r="R904" t="str">
            <v>VIC. GESTIÓN ECONÓMICA Y ADMINISTRACIÓN</v>
          </cell>
          <cell r="S904" t="str">
            <v>DEPARTAMENTO DE DESARROLLO DE PERSONAS</v>
          </cell>
        </row>
        <row r="905">
          <cell r="A905">
            <v>16001355</v>
          </cell>
          <cell r="B905" t="str">
            <v>16001355</v>
          </cell>
          <cell r="C905" t="str">
            <v>9</v>
          </cell>
          <cell r="D905" t="str">
            <v>GONZALEZ FERNANDEZ DANIELA FRA</v>
          </cell>
          <cell r="E905" t="str">
            <v>FCS320010</v>
          </cell>
          <cell r="F905">
            <v>22</v>
          </cell>
          <cell r="G905">
            <v>30</v>
          </cell>
          <cell r="H905" t="str">
            <v>DANIELA.GONZALEZ@UTALCA.CL</v>
          </cell>
          <cell r="I905">
            <v>45047</v>
          </cell>
          <cell r="J905">
            <v>46446</v>
          </cell>
          <cell r="K905" t="str">
            <v>CONTRATA</v>
          </cell>
          <cell r="L905" t="str">
            <v>CA DOCENTE</v>
          </cell>
          <cell r="M905" t="str">
            <v>INSTRUCTOR</v>
          </cell>
          <cell r="N905" t="str">
            <v>GRADO D</v>
          </cell>
          <cell r="O905" t="str">
            <v>DOCTORADO</v>
          </cell>
          <cell r="P905" t="str">
            <v>DOCTORA EN CIENCIAS HUMANAS</v>
          </cell>
          <cell r="Q905" t="str">
            <v>TALCA</v>
          </cell>
          <cell r="R905" t="str">
            <v>FACULTAD DE CIENCIAS DE LA SALUD</v>
          </cell>
          <cell r="S905" t="str">
            <v>DPTO. DE CIENCIAS DE FONOAUDIOLOGÍA</v>
          </cell>
        </row>
        <row r="906">
          <cell r="A906">
            <v>16001476</v>
          </cell>
          <cell r="B906" t="str">
            <v>16001476</v>
          </cell>
          <cell r="C906" t="str">
            <v>8</v>
          </cell>
          <cell r="D906" t="str">
            <v>VASQUEZ CAMPOS MIGUEL ALONSO</v>
          </cell>
          <cell r="E906" t="str">
            <v>FCS320010</v>
          </cell>
          <cell r="F906">
            <v>44</v>
          </cell>
          <cell r="G906">
            <v>30</v>
          </cell>
          <cell r="H906" t="str">
            <v>MIVASQUEZ@UTALCA.CL</v>
          </cell>
          <cell r="I906">
            <v>41456</v>
          </cell>
          <cell r="J906">
            <v>46752</v>
          </cell>
          <cell r="K906" t="str">
            <v>CONTRATA</v>
          </cell>
          <cell r="L906" t="str">
            <v>CA DOCENTE</v>
          </cell>
          <cell r="M906" t="str">
            <v>INSTRUCTOR</v>
          </cell>
          <cell r="N906" t="str">
            <v>GRADO D</v>
          </cell>
          <cell r="O906" t="str">
            <v>MAGISTER</v>
          </cell>
          <cell r="P906" t="str">
            <v>MAGÍSTER EN TRASTORNOS DEL LENGUAJE Y DEL HAB</v>
          </cell>
          <cell r="Q906" t="str">
            <v>TALCA</v>
          </cell>
          <cell r="R906" t="str">
            <v>FACULTAD DE CIENCIAS DE LA SALUD</v>
          </cell>
          <cell r="S906" t="str">
            <v>DPTO. DE CIENCIAS DE FONOAUDIOLOGÍA</v>
          </cell>
        </row>
        <row r="907">
          <cell r="A907">
            <v>16001748</v>
          </cell>
          <cell r="B907" t="str">
            <v>16001748</v>
          </cell>
          <cell r="C907" t="str">
            <v>1</v>
          </cell>
          <cell r="D907" t="str">
            <v>SUAZO SOTO DELLANAI ALEJANDRA</v>
          </cell>
          <cell r="E907" t="str">
            <v>VAC400082</v>
          </cell>
          <cell r="F907">
            <v>44</v>
          </cell>
          <cell r="G907">
            <v>30</v>
          </cell>
          <cell r="H907" t="str">
            <v>DESUAZO@UTALCA.CL</v>
          </cell>
          <cell r="I907">
            <v>43466</v>
          </cell>
          <cell r="J907">
            <v>46387</v>
          </cell>
          <cell r="K907" t="str">
            <v>CONTRATA</v>
          </cell>
          <cell r="L907" t="str">
            <v>PROFESIONAL</v>
          </cell>
          <cell r="M907" t="str">
            <v>PROFESIONAL</v>
          </cell>
          <cell r="N907" t="str">
            <v>GRADO I.17</v>
          </cell>
          <cell r="O907" t="str">
            <v>MAGISTER</v>
          </cell>
          <cell r="P907" t="str">
            <v>MAGÍSTER EN GESTIÓN TECNOLÓGICA</v>
          </cell>
          <cell r="Q907" t="str">
            <v>TALCA</v>
          </cell>
          <cell r="R907" t="str">
            <v>VICERRECTORÍA ACADÉMICA</v>
          </cell>
          <cell r="S907" t="str">
            <v>UN. DE GESTIÓN DE LA INNOVACIÓN Y EMPTO.</v>
          </cell>
        </row>
        <row r="908">
          <cell r="A908">
            <v>16001754</v>
          </cell>
          <cell r="B908" t="str">
            <v>16001754</v>
          </cell>
          <cell r="C908" t="str">
            <v>6</v>
          </cell>
          <cell r="D908" t="str">
            <v>FERNANDEZ GONZALEZ CONSTANZA E</v>
          </cell>
          <cell r="E908" t="str">
            <v>FOD320001</v>
          </cell>
          <cell r="F908">
            <v>44</v>
          </cell>
          <cell r="G908">
            <v>30</v>
          </cell>
          <cell r="H908" t="str">
            <v>COFERNANDEZ@UTALCA.CL</v>
          </cell>
          <cell r="I908">
            <v>39873</v>
          </cell>
          <cell r="J908">
            <v>46328</v>
          </cell>
          <cell r="K908" t="str">
            <v>PLANTA</v>
          </cell>
          <cell r="L908" t="str">
            <v>CA ORDINARIA</v>
          </cell>
          <cell r="M908" t="str">
            <v>PROFESOR ASISTENTE</v>
          </cell>
          <cell r="N908" t="str">
            <v>GRADO C</v>
          </cell>
          <cell r="O908" t="str">
            <v>DOCTORADO</v>
          </cell>
          <cell r="P908" t="str">
            <v>DOUTORA EM ODONTOLOGIA</v>
          </cell>
          <cell r="Q908" t="str">
            <v>TALCA</v>
          </cell>
          <cell r="R908" t="str">
            <v>FACULTAD DE ODONTOLOGÍA</v>
          </cell>
          <cell r="S908" t="str">
            <v>DPTO. REHABILITACIÓN BUCO-MAXILOFACIAL</v>
          </cell>
        </row>
        <row r="909">
          <cell r="A909">
            <v>16001930</v>
          </cell>
          <cell r="B909" t="str">
            <v>16001930</v>
          </cell>
          <cell r="C909" t="str">
            <v>1</v>
          </cell>
          <cell r="D909" t="str">
            <v>GONZALEZ HERRERA CARLOS FERNAN</v>
          </cell>
          <cell r="E909" t="str">
            <v>FCS320010</v>
          </cell>
          <cell r="F909">
            <v>44</v>
          </cell>
          <cell r="G909">
            <v>30</v>
          </cell>
          <cell r="H909" t="str">
            <v>CARLOGONZALEZ@UTALCA.CL</v>
          </cell>
          <cell r="I909">
            <v>41456</v>
          </cell>
          <cell r="J909">
            <v>46446</v>
          </cell>
          <cell r="K909" t="str">
            <v>CONTRATA</v>
          </cell>
          <cell r="L909" t="str">
            <v>CA DOCENTE</v>
          </cell>
          <cell r="M909" t="str">
            <v>INSTRUCTOR</v>
          </cell>
          <cell r="N909" t="str">
            <v>GRADO D</v>
          </cell>
          <cell r="O909" t="str">
            <v>DOCTORADO</v>
          </cell>
          <cell r="P909" t="str">
            <v>DOUTOR EM DISTURBIOS DA COMUNICACAO HUMANA</v>
          </cell>
          <cell r="Q909" t="str">
            <v>TALCA</v>
          </cell>
          <cell r="R909" t="str">
            <v>FACULTAD DE CIENCIAS DE LA SALUD</v>
          </cell>
          <cell r="S909" t="str">
            <v>DPTO. DE CIENCIAS DE FONOAUDIOLOGÍA</v>
          </cell>
        </row>
        <row r="910">
          <cell r="A910">
            <v>16002040</v>
          </cell>
          <cell r="B910" t="str">
            <v>16002040</v>
          </cell>
          <cell r="C910" t="str">
            <v>7</v>
          </cell>
          <cell r="D910" t="str">
            <v>AVENDAÑO BUSTAMANTE MAURICIO A</v>
          </cell>
          <cell r="E910" t="str">
            <v>ADC030112</v>
          </cell>
          <cell r="F910">
            <v>44</v>
          </cell>
          <cell r="G910">
            <v>30</v>
          </cell>
          <cell r="H910" t="str">
            <v>MAURICIO.AVENDANO@UTALCA.CL</v>
          </cell>
          <cell r="I910">
            <v>44927</v>
          </cell>
          <cell r="J910">
            <v>46387</v>
          </cell>
          <cell r="K910" t="str">
            <v>CONTRATA</v>
          </cell>
          <cell r="L910" t="str">
            <v>PROFESIONAL</v>
          </cell>
          <cell r="M910" t="str">
            <v>PROFESIONAL</v>
          </cell>
          <cell r="N910" t="str">
            <v>GRADO I.17</v>
          </cell>
          <cell r="O910" t="str">
            <v>TÍTULO PROFESIONAL</v>
          </cell>
          <cell r="P910" t="str">
            <v>INGENIERO EN BIOINFORMATICA</v>
          </cell>
          <cell r="Q910" t="str">
            <v>TALCA</v>
          </cell>
          <cell r="R910" t="str">
            <v>DIRECCIÓN DE ASEGURAMIENTO DE LA CALIDAD</v>
          </cell>
          <cell r="S910" t="str">
            <v>DPTO. DE ANÁLISIS Y ASEGU. DE LA CALIDAD</v>
          </cell>
        </row>
        <row r="911">
          <cell r="A911">
            <v>16002184</v>
          </cell>
          <cell r="B911" t="str">
            <v>16002184</v>
          </cell>
          <cell r="C911" t="str">
            <v>5</v>
          </cell>
          <cell r="D911" t="str">
            <v>VALENZUELA TAPIA MIGUEL ANGEL</v>
          </cell>
          <cell r="E911" t="str">
            <v>ADC024006</v>
          </cell>
          <cell r="F911">
            <v>44</v>
          </cell>
          <cell r="G911">
            <v>30</v>
          </cell>
          <cell r="H911" t="str">
            <v>MIVALENZUELA@UTALCA.CL</v>
          </cell>
          <cell r="I911">
            <v>43466</v>
          </cell>
          <cell r="J911">
            <v>46387</v>
          </cell>
          <cell r="K911" t="str">
            <v>CONTRATA</v>
          </cell>
          <cell r="L911" t="str">
            <v>ADMINISTRATIVO</v>
          </cell>
          <cell r="M911" t="str">
            <v>ADMINISTRATIVO</v>
          </cell>
          <cell r="N911" t="str">
            <v>GRADO I.21</v>
          </cell>
          <cell r="O911" t="str">
            <v>TÉC. NIVEL MEDIO</v>
          </cell>
          <cell r="P911" t="str">
            <v>EDUCACIÓN MEDIA EN LA MODALIDAD TÉCNICO PROFE</v>
          </cell>
          <cell r="Q911" t="str">
            <v>TALCA</v>
          </cell>
          <cell r="R911" t="str">
            <v>DRCCIÓN. GNAL. VINCULACIÓN CON EL MEDIO</v>
          </cell>
          <cell r="S911" t="str">
            <v>UND. JARDÍN BOTÁNICO Y ARBORETUM</v>
          </cell>
        </row>
        <row r="912">
          <cell r="A912">
            <v>16002492</v>
          </cell>
          <cell r="B912" t="str">
            <v>16002492</v>
          </cell>
          <cell r="C912" t="str">
            <v>5</v>
          </cell>
          <cell r="D912" t="str">
            <v>VALDES ESCOBAR PABLO JOSE</v>
          </cell>
          <cell r="E912" t="str">
            <v>VGE400056</v>
          </cell>
          <cell r="F912">
            <v>44</v>
          </cell>
          <cell r="G912">
            <v>30</v>
          </cell>
          <cell r="H912" t="str">
            <v>PABVALDES@UTALCA.CL</v>
          </cell>
          <cell r="I912">
            <v>43466</v>
          </cell>
          <cell r="J912">
            <v>46387</v>
          </cell>
          <cell r="K912" t="str">
            <v>CONTRATA</v>
          </cell>
          <cell r="L912" t="str">
            <v>ADMINISTRATIVO</v>
          </cell>
          <cell r="M912" t="str">
            <v>PROFESIONAL</v>
          </cell>
          <cell r="N912" t="str">
            <v>GRADO I.17</v>
          </cell>
          <cell r="O912" t="str">
            <v>TÍTULO PROFESIONAL</v>
          </cell>
          <cell r="P912" t="str">
            <v>INGENIERO DE EJECUCIÓN EN COMPUTACIÓN E INFOR</v>
          </cell>
          <cell r="Q912" t="str">
            <v>TALCA</v>
          </cell>
          <cell r="R912" t="str">
            <v>VIC. GESTIÓN ECONÓMICA Y ADMINISTRACIÓN</v>
          </cell>
          <cell r="S912" t="str">
            <v>DEPARTAMENTO DE SISTEMAS</v>
          </cell>
        </row>
        <row r="913">
          <cell r="A913">
            <v>16002843</v>
          </cell>
          <cell r="B913" t="str">
            <v>16002843</v>
          </cell>
          <cell r="C913" t="str">
            <v>2</v>
          </cell>
          <cell r="D913" t="str">
            <v>PALMA ENCINA MABEL ANDREA</v>
          </cell>
          <cell r="E913" t="str">
            <v>VAC400001</v>
          </cell>
          <cell r="F913">
            <v>44</v>
          </cell>
          <cell r="G913">
            <v>30</v>
          </cell>
          <cell r="H913" t="str">
            <v>MABEL.PALMA@UTALCA.CL</v>
          </cell>
          <cell r="I913">
            <v>44197</v>
          </cell>
          <cell r="J913">
            <v>46387</v>
          </cell>
          <cell r="K913" t="str">
            <v>CONTRATA</v>
          </cell>
          <cell r="L913" t="str">
            <v>PROFESIONAL</v>
          </cell>
          <cell r="M913" t="str">
            <v>PROFESIONAL</v>
          </cell>
          <cell r="N913" t="str">
            <v>GRADO I.17</v>
          </cell>
          <cell r="O913" t="str">
            <v>TÍTULO PROFESIONAL</v>
          </cell>
          <cell r="P913" t="str">
            <v>BIBLIOTECOLOGA Y DOCUMENTACIÓN</v>
          </cell>
          <cell r="Q913" t="str">
            <v>TALCA</v>
          </cell>
          <cell r="R913" t="str">
            <v>VICERRECTORÍA ACADÉMICA</v>
          </cell>
          <cell r="S913" t="str">
            <v>DIRECCIÓN DE BIBLIOTECAS</v>
          </cell>
        </row>
        <row r="914">
          <cell r="A914">
            <v>16003145</v>
          </cell>
          <cell r="B914" t="str">
            <v>16003145</v>
          </cell>
          <cell r="C914" t="str">
            <v>K</v>
          </cell>
          <cell r="D914" t="str">
            <v>MENDEZ JARA LORENA VALESCA</v>
          </cell>
          <cell r="E914" t="str">
            <v>VGE400054</v>
          </cell>
          <cell r="F914">
            <v>44</v>
          </cell>
          <cell r="G914">
            <v>30</v>
          </cell>
          <cell r="H914" t="str">
            <v>LMENDEZ@UTALCA.CL</v>
          </cell>
          <cell r="I914">
            <v>43101</v>
          </cell>
          <cell r="J914">
            <v>46387</v>
          </cell>
          <cell r="K914" t="str">
            <v>CONTRATA</v>
          </cell>
          <cell r="L914" t="str">
            <v>ADMINISTRATIVO</v>
          </cell>
          <cell r="M914" t="str">
            <v>ADMINISTRATIVO</v>
          </cell>
          <cell r="N914" t="str">
            <v>GRADO I.21</v>
          </cell>
          <cell r="O914" t="str">
            <v>TÉC. NIVEL MEDIO</v>
          </cell>
          <cell r="P914" t="str">
            <v>TECNICO PROFESIONAL - LICENCIA ENSEÑANZA MEDI</v>
          </cell>
          <cell r="Q914" t="str">
            <v>TALCA</v>
          </cell>
          <cell r="R914" t="str">
            <v>VIC. GESTIÓN ECONÓMICA Y ADMINISTRACIÓN</v>
          </cell>
          <cell r="S914" t="str">
            <v>DEPARTAMENTO DE SERVICIOS  Y PROCESOS TI</v>
          </cell>
        </row>
        <row r="915">
          <cell r="A915">
            <v>16003232</v>
          </cell>
          <cell r="B915" t="str">
            <v>16003232</v>
          </cell>
          <cell r="C915" t="str">
            <v>4</v>
          </cell>
          <cell r="D915" t="str">
            <v>ASCENCIO ACUÑA JOSE ALEJANDRO</v>
          </cell>
          <cell r="E915" t="str">
            <v/>
          </cell>
          <cell r="F915">
            <v>44</v>
          </cell>
          <cell r="G915">
            <v>30</v>
          </cell>
          <cell r="H915" t="str">
            <v>JASCENCIO@UTALCA.CL</v>
          </cell>
          <cell r="I915">
            <v>44927</v>
          </cell>
          <cell r="J915">
            <v>46387</v>
          </cell>
          <cell r="K915" t="str">
            <v>CONTRATA</v>
          </cell>
          <cell r="L915" t="str">
            <v>PROFESIONAL</v>
          </cell>
          <cell r="M915" t="str">
            <v>PROFESIONAL</v>
          </cell>
          <cell r="N915" t="str">
            <v>GRADO I.17</v>
          </cell>
          <cell r="O915" t="str">
            <v>TÍTULO PROFESIONAL</v>
          </cell>
          <cell r="P915" t="str">
            <v>INGENIERO DE EJECUCION EN INFORMATICA</v>
          </cell>
          <cell r="Q915" t="str">
            <v>TALCA</v>
          </cell>
          <cell r="R915" t="str">
            <v>VICERRECTORÍA DE FORMACIÓN</v>
          </cell>
          <cell r="S915" t="str">
            <v>DPTO. DE GESTIÓN DE INFORM. ESTUDIANTIL</v>
          </cell>
        </row>
        <row r="916">
          <cell r="A916">
            <v>16009785</v>
          </cell>
          <cell r="B916" t="str">
            <v>16009785</v>
          </cell>
          <cell r="C916" t="str">
            <v>K</v>
          </cell>
          <cell r="D916" t="str">
            <v>MEDINA VILLEGAS MIREYA ALEJAND</v>
          </cell>
          <cell r="E916" t="str">
            <v>VGE400052</v>
          </cell>
          <cell r="F916">
            <v>44</v>
          </cell>
          <cell r="G916">
            <v>30</v>
          </cell>
          <cell r="H916" t="str">
            <v>MIREYA.MEDINA@UTALCA.CL</v>
          </cell>
          <cell r="I916">
            <v>44409</v>
          </cell>
          <cell r="J916">
            <v>46387</v>
          </cell>
          <cell r="K916" t="str">
            <v>CONTRATA</v>
          </cell>
          <cell r="L916" t="str">
            <v>PROFESIONAL</v>
          </cell>
          <cell r="M916" t="str">
            <v>PROFESIONAL</v>
          </cell>
          <cell r="N916" t="str">
            <v>GRADO I.17</v>
          </cell>
          <cell r="O916" t="str">
            <v>MAGISTER</v>
          </cell>
          <cell r="P916" t="str">
            <v>MAGISTER EN DERECHO REGULATORIO</v>
          </cell>
          <cell r="Q916" t="str">
            <v>TALCA</v>
          </cell>
          <cell r="R916" t="str">
            <v>VIC. GESTIÓN ECONÓMICA Y ADMINISTRACIÓN</v>
          </cell>
          <cell r="S916" t="str">
            <v>DIRECCIÓN DE PERSONAS</v>
          </cell>
        </row>
        <row r="917">
          <cell r="A917">
            <v>16011274</v>
          </cell>
          <cell r="B917" t="str">
            <v>16011274</v>
          </cell>
          <cell r="C917" t="str">
            <v>3</v>
          </cell>
          <cell r="D917" t="str">
            <v>JEGO MENDOZA LIZA ELIANA</v>
          </cell>
          <cell r="E917" t="str">
            <v>FCI320009</v>
          </cell>
          <cell r="F917">
            <v>44</v>
          </cell>
          <cell r="G917">
            <v>30</v>
          </cell>
          <cell r="H917" t="str">
            <v>LJEGO@UTALCA.CL</v>
          </cell>
          <cell r="I917">
            <v>43160</v>
          </cell>
          <cell r="J917">
            <v>46446</v>
          </cell>
          <cell r="K917" t="str">
            <v>CONTRATA</v>
          </cell>
          <cell r="L917" t="str">
            <v>CA DOCENTE</v>
          </cell>
          <cell r="M917" t="str">
            <v>PROFESOR ASISTENTE</v>
          </cell>
          <cell r="N917" t="str">
            <v>GRADO C</v>
          </cell>
          <cell r="O917" t="str">
            <v>MAGISTER</v>
          </cell>
          <cell r="P917" t="str">
            <v>MASTER OF SCIENCE IN HUMAN-COMPUTER INTERACTI</v>
          </cell>
          <cell r="Q917" t="str">
            <v>CURICO</v>
          </cell>
          <cell r="R917" t="str">
            <v>FACULTAD DE INGENIERÍA</v>
          </cell>
          <cell r="S917" t="str">
            <v>DPTO. VISUALI. INTERACTIVA Y REA.VIRTUAL</v>
          </cell>
        </row>
        <row r="918">
          <cell r="A918">
            <v>16018044</v>
          </cell>
          <cell r="B918" t="str">
            <v>16018044</v>
          </cell>
          <cell r="C918" t="str">
            <v>7</v>
          </cell>
          <cell r="D918" t="str">
            <v>AYALA GODOY JUAN EDUARDO</v>
          </cell>
          <cell r="E918" t="str">
            <v>VGE400005</v>
          </cell>
          <cell r="F918">
            <v>44</v>
          </cell>
          <cell r="G918">
            <v>30</v>
          </cell>
          <cell r="H918" t="str">
            <v>JUAN.AYALA@UTALCA.CL</v>
          </cell>
          <cell r="I918">
            <v>44896</v>
          </cell>
          <cell r="J918">
            <v>46387</v>
          </cell>
          <cell r="K918" t="str">
            <v>CONTRATA</v>
          </cell>
          <cell r="L918" t="str">
            <v>TÉCNICO</v>
          </cell>
          <cell r="M918" t="str">
            <v>TÉCNICO</v>
          </cell>
          <cell r="N918" t="str">
            <v>GRADO I.23</v>
          </cell>
          <cell r="O918" t="str">
            <v>TÉC. NIVEL SUPERIOR</v>
          </cell>
          <cell r="P918" t="str">
            <v>TECNICO EN ADMINISTRACIÓN DE EMPRESAS</v>
          </cell>
          <cell r="Q918" t="str">
            <v>TALCA</v>
          </cell>
          <cell r="R918" t="str">
            <v>VIC. GESTIÓN ECONÓMICA Y ADMINISTRACIÓN</v>
          </cell>
          <cell r="S918" t="str">
            <v>DEPARTAMENTO DE GESTIÓN DE COMPRAS</v>
          </cell>
        </row>
        <row r="919">
          <cell r="A919">
            <v>16023257</v>
          </cell>
          <cell r="B919" t="str">
            <v>16023257</v>
          </cell>
          <cell r="C919" t="str">
            <v>9</v>
          </cell>
          <cell r="D919" t="str">
            <v>GONZALEZ BRAVO MARIA ANGELICA</v>
          </cell>
          <cell r="E919" t="str">
            <v>FCS320011</v>
          </cell>
          <cell r="F919">
            <v>33</v>
          </cell>
          <cell r="G919">
            <v>30</v>
          </cell>
          <cell r="H919" t="str">
            <v>MARGONZALEZB@UTALCA.CL</v>
          </cell>
          <cell r="I919">
            <v>42064</v>
          </cell>
          <cell r="J919">
            <v>46387</v>
          </cell>
          <cell r="K919" t="str">
            <v>CONTRATA</v>
          </cell>
          <cell r="L919" t="str">
            <v>CA DOCENTE</v>
          </cell>
          <cell r="M919" t="str">
            <v>INSTRUCTOR</v>
          </cell>
          <cell r="N919" t="str">
            <v>GRADO D</v>
          </cell>
          <cell r="O919" t="str">
            <v>MAGISTER</v>
          </cell>
          <cell r="P919" t="str">
            <v>MAGISTER EN NUTRI. Y ALIME. C/M SALUD Y PREVE</v>
          </cell>
          <cell r="Q919" t="str">
            <v>TALCA</v>
          </cell>
          <cell r="R919" t="str">
            <v>FACULTAD DE CIENCIAS DE LA SALUD</v>
          </cell>
          <cell r="S919" t="str">
            <v>DEPTO. CIENCIAS DE LA NUT. Y ALIMENTOS</v>
          </cell>
        </row>
        <row r="920">
          <cell r="A920">
            <v>16024913</v>
          </cell>
          <cell r="B920" t="str">
            <v>16024913</v>
          </cell>
          <cell r="C920" t="str">
            <v>7</v>
          </cell>
          <cell r="D920" t="str">
            <v>MORAGA CRUZ CARLOS ALEJANDRO</v>
          </cell>
          <cell r="E920" t="str">
            <v>FCI320008</v>
          </cell>
          <cell r="F920">
            <v>44</v>
          </cell>
          <cell r="G920">
            <v>30</v>
          </cell>
          <cell r="H920" t="str">
            <v>CARMORAGA@UTALCA.CL</v>
          </cell>
          <cell r="I920">
            <v>42795</v>
          </cell>
          <cell r="J920">
            <v>46446</v>
          </cell>
          <cell r="K920" t="str">
            <v>CONTRATA</v>
          </cell>
          <cell r="L920" t="str">
            <v>CA DOCENTE</v>
          </cell>
          <cell r="M920" t="str">
            <v>PROFESOR ASISTENTE</v>
          </cell>
          <cell r="N920" t="str">
            <v>GRADO C</v>
          </cell>
          <cell r="O920" t="str">
            <v>DOCTORADO</v>
          </cell>
          <cell r="P920" t="str">
            <v>DOCTOR EN INGENIERIA EN MINAS</v>
          </cell>
          <cell r="Q920" t="str">
            <v>CURICO</v>
          </cell>
          <cell r="R920" t="str">
            <v>FACULTAD DE INGENIERÍA</v>
          </cell>
          <cell r="S920" t="str">
            <v>DEPARTAMENTO DE INGENIERÍA DE MINAS</v>
          </cell>
        </row>
        <row r="921">
          <cell r="A921">
            <v>16025515</v>
          </cell>
          <cell r="B921" t="str">
            <v>16025515</v>
          </cell>
          <cell r="C921" t="str">
            <v>3</v>
          </cell>
          <cell r="D921" t="str">
            <v>ARDILES CARDENAS CATALINA LOUR</v>
          </cell>
          <cell r="E921" t="str">
            <v/>
          </cell>
          <cell r="F921">
            <v>44</v>
          </cell>
          <cell r="G921">
            <v>30</v>
          </cell>
          <cell r="H921" t="str">
            <v>CATALINA.ARDILES@UTALCA.CL</v>
          </cell>
          <cell r="I921">
            <v>45215</v>
          </cell>
          <cell r="J921">
            <v>46387</v>
          </cell>
          <cell r="K921" t="str">
            <v>CONTRATA</v>
          </cell>
          <cell r="L921" t="str">
            <v>ADMINISTRATIVO</v>
          </cell>
          <cell r="M921" t="str">
            <v>ADMINISTRATIVO</v>
          </cell>
          <cell r="N921" t="str">
            <v>GRADO I.21</v>
          </cell>
          <cell r="O921" t="str">
            <v>TÍTULO PROFESIONAL</v>
          </cell>
          <cell r="P921" t="str">
            <v>INGENIERO COMERCIAL</v>
          </cell>
          <cell r="Q921" t="str">
            <v>CURICO</v>
          </cell>
          <cell r="R921" t="str">
            <v>FACULTAD DE INGENIERÍA</v>
          </cell>
          <cell r="S921" t="str">
            <v>ESCUELA DE POSTGRADO FACULTAD INGENIERÍA</v>
          </cell>
        </row>
        <row r="922">
          <cell r="A922">
            <v>16043277</v>
          </cell>
          <cell r="B922" t="str">
            <v>16043277</v>
          </cell>
          <cell r="C922" t="str">
            <v>2</v>
          </cell>
          <cell r="D922" t="str">
            <v>SALINAS BARRIOS ABIGAIL NOEMÍ</v>
          </cell>
          <cell r="E922" t="str">
            <v>FCI200001</v>
          </cell>
          <cell r="F922">
            <v>44</v>
          </cell>
          <cell r="G922">
            <v>30</v>
          </cell>
          <cell r="H922" t="str">
            <v>ABIGAIL.SALINAS@UTALCA.CL</v>
          </cell>
          <cell r="I922">
            <v>45809</v>
          </cell>
          <cell r="J922">
            <v>46387</v>
          </cell>
          <cell r="K922" t="str">
            <v>CONTRATA</v>
          </cell>
          <cell r="L922" t="str">
            <v>TÉCNICO</v>
          </cell>
          <cell r="M922" t="str">
            <v>TÉCNICO</v>
          </cell>
          <cell r="N922" t="str">
            <v>GRADO I.23</v>
          </cell>
          <cell r="O922" t="str">
            <v>TÉC. NIVEL SUPERIOR</v>
          </cell>
          <cell r="P922" t="str">
            <v>TÉCNICO DE NIVEL SUPERIOR EN ADMINISTRACIÓN D</v>
          </cell>
          <cell r="Q922" t="str">
            <v>CURICO</v>
          </cell>
          <cell r="R922" t="str">
            <v>FACULTAD DE INGENIERÍA</v>
          </cell>
          <cell r="S922" t="str">
            <v>FACULTAD DE INGENIERÍA</v>
          </cell>
        </row>
        <row r="923">
          <cell r="A923">
            <v>16062986</v>
          </cell>
          <cell r="B923" t="str">
            <v>16062986</v>
          </cell>
          <cell r="C923" t="str">
            <v>K</v>
          </cell>
          <cell r="D923" t="str">
            <v>POBLETE VILCHES HORACIO NELSON</v>
          </cell>
          <cell r="E923" t="str">
            <v>FCI320001</v>
          </cell>
          <cell r="F923">
            <v>44</v>
          </cell>
          <cell r="G923">
            <v>30</v>
          </cell>
          <cell r="H923" t="str">
            <v>HOPOBLETE@UTALCA.CL</v>
          </cell>
          <cell r="I923">
            <v>42795</v>
          </cell>
          <cell r="J923">
            <v>2958465</v>
          </cell>
          <cell r="K923" t="str">
            <v>PLANTA</v>
          </cell>
          <cell r="L923" t="str">
            <v>CA ORDINARIA</v>
          </cell>
          <cell r="M923" t="str">
            <v>PROFESOR ASOCIADO</v>
          </cell>
          <cell r="N923" t="str">
            <v>GRADO B</v>
          </cell>
          <cell r="O923" t="str">
            <v>DOCTORADO</v>
          </cell>
          <cell r="P923" t="str">
            <v>DOCTOR EN CIENCIAS APLICADAS</v>
          </cell>
          <cell r="Q923" t="str">
            <v>CURICO</v>
          </cell>
          <cell r="R923" t="str">
            <v>FACULTAD DE INGENIERÍA</v>
          </cell>
          <cell r="S923" t="str">
            <v>DEPARTAMENTO DE BIOINFORMÁTICA</v>
          </cell>
        </row>
        <row r="924">
          <cell r="A924">
            <v>16064805</v>
          </cell>
          <cell r="B924" t="str">
            <v>16064805</v>
          </cell>
          <cell r="C924" t="str">
            <v>8</v>
          </cell>
          <cell r="D924" t="str">
            <v>GONZALEZ CORNEJO MARCELA ALEJA</v>
          </cell>
          <cell r="E924" t="str">
            <v>VDE400001</v>
          </cell>
          <cell r="F924">
            <v>44</v>
          </cell>
          <cell r="G924">
            <v>30</v>
          </cell>
          <cell r="H924" t="str">
            <v>MARCEGONZALEZ@UTALCA.CL</v>
          </cell>
          <cell r="I924">
            <v>43466</v>
          </cell>
          <cell r="J924">
            <v>46387</v>
          </cell>
          <cell r="K924" t="str">
            <v>CONTRATA</v>
          </cell>
          <cell r="L924" t="str">
            <v>PROFESIONAL</v>
          </cell>
          <cell r="M924" t="str">
            <v>PROFESIONAL</v>
          </cell>
          <cell r="N924" t="str">
            <v>GRADO I.17</v>
          </cell>
          <cell r="O924" t="str">
            <v>TÍTULO PROFESIONAL</v>
          </cell>
          <cell r="P924" t="str">
            <v>ASISTENTE SOCIAL</v>
          </cell>
          <cell r="Q924" t="str">
            <v>SANTIAGO</v>
          </cell>
          <cell r="R924" t="str">
            <v>VICERRECTORÍA DE DESARROLLO ESTUDIANTIL</v>
          </cell>
          <cell r="S924" t="str">
            <v>DIRECCIÓN DE BIENESTAR ESTUDIANTIL</v>
          </cell>
        </row>
        <row r="925">
          <cell r="A925">
            <v>16071696</v>
          </cell>
          <cell r="B925" t="str">
            <v>16071696</v>
          </cell>
          <cell r="C925" t="str">
            <v>7</v>
          </cell>
          <cell r="D925" t="str">
            <v>PAVEZ MADARIAGA RODRIGO ANDRES</v>
          </cell>
          <cell r="E925" t="str">
            <v>FCI320003</v>
          </cell>
          <cell r="F925">
            <v>44</v>
          </cell>
          <cell r="G925">
            <v>30</v>
          </cell>
          <cell r="H925" t="str">
            <v>RPAVEZ@UTALCA.CL</v>
          </cell>
          <cell r="I925">
            <v>43344</v>
          </cell>
          <cell r="J925">
            <v>46446</v>
          </cell>
          <cell r="K925" t="str">
            <v>CONTRATA</v>
          </cell>
          <cell r="L925" t="str">
            <v>CA DOCENTE</v>
          </cell>
          <cell r="M925" t="str">
            <v>INSTRUCTOR</v>
          </cell>
          <cell r="N925" t="str">
            <v>GRADO D</v>
          </cell>
          <cell r="O925" t="str">
            <v>MAGISTER</v>
          </cell>
          <cell r="P925" t="str">
            <v>MAGÍSTER EN CIENCIAS DE LA COMPUTACIÓN</v>
          </cell>
          <cell r="Q925" t="str">
            <v>CURICO</v>
          </cell>
          <cell r="R925" t="str">
            <v>FACULTAD DE INGENIERÍA</v>
          </cell>
          <cell r="S925" t="str">
            <v>DPTO. DE CIENCIAS DE LA COMPUTACIÓN</v>
          </cell>
        </row>
        <row r="926">
          <cell r="A926">
            <v>16072124</v>
          </cell>
          <cell r="B926" t="str">
            <v>16072124</v>
          </cell>
          <cell r="C926" t="str">
            <v>3</v>
          </cell>
          <cell r="D926" t="str">
            <v>AZARES AZARES JUAN EDUARDO</v>
          </cell>
          <cell r="E926" t="str">
            <v>FEN310002</v>
          </cell>
          <cell r="F926">
            <v>44</v>
          </cell>
          <cell r="G926">
            <v>30</v>
          </cell>
          <cell r="H926" t="str">
            <v>JAZARES@UTALCA.CL</v>
          </cell>
          <cell r="I926">
            <v>44197</v>
          </cell>
          <cell r="J926">
            <v>46387</v>
          </cell>
          <cell r="K926" t="str">
            <v>CONTRATA</v>
          </cell>
          <cell r="L926" t="str">
            <v>TÉCNICO</v>
          </cell>
          <cell r="M926" t="str">
            <v>TÉCNICO</v>
          </cell>
          <cell r="N926" t="str">
            <v>GRADO I.21</v>
          </cell>
          <cell r="O926" t="str">
            <v>TÉC. NIVEL SUPERIOR</v>
          </cell>
          <cell r="P926" t="str">
            <v>TECNICO EN INFORMATICA MENCION EN REDES</v>
          </cell>
          <cell r="Q926" t="str">
            <v>TALCA</v>
          </cell>
          <cell r="R926" t="str">
            <v>FACULTAD DE ECONOMÍA Y NEGOCIOS</v>
          </cell>
          <cell r="S926" t="str">
            <v>ESC. DE ING. INFORMÁTICA EMPRESARIAL</v>
          </cell>
        </row>
        <row r="927">
          <cell r="A927">
            <v>16090652</v>
          </cell>
          <cell r="B927" t="str">
            <v>16090652</v>
          </cell>
          <cell r="C927" t="str">
            <v>9</v>
          </cell>
          <cell r="D927" t="str">
            <v>VALENZUELA FIGUEROA GIOVANNI F</v>
          </cell>
          <cell r="E927" t="str">
            <v/>
          </cell>
          <cell r="F927">
            <v>44</v>
          </cell>
          <cell r="G927">
            <v>30</v>
          </cell>
          <cell r="H927" t="str">
            <v>GIVALENZUELA@UTALCA.CL</v>
          </cell>
          <cell r="I927">
            <v>44927</v>
          </cell>
          <cell r="J927">
            <v>46387</v>
          </cell>
          <cell r="K927" t="str">
            <v>CONTRATA</v>
          </cell>
          <cell r="L927" t="str">
            <v>TÉCNICO</v>
          </cell>
          <cell r="M927" t="str">
            <v>TÉCNICO</v>
          </cell>
          <cell r="N927" t="str">
            <v>GRADO I.23</v>
          </cell>
          <cell r="O927" t="str">
            <v>TÍTULO PROFESIONAL</v>
          </cell>
          <cell r="P927" t="str">
            <v>INGENIERO DE EJECUCION EN ADMINISTRACION DE E</v>
          </cell>
          <cell r="Q927" t="str">
            <v>TALCA</v>
          </cell>
          <cell r="R927" t="str">
            <v>FACULTAD DE CIENCIAS AGRARIAS</v>
          </cell>
          <cell r="S927" t="str">
            <v>CENTRO DE INOCUIDAD ALIMENTARIA</v>
          </cell>
        </row>
        <row r="928">
          <cell r="A928">
            <v>16090890</v>
          </cell>
          <cell r="B928" t="str">
            <v>16090890</v>
          </cell>
          <cell r="C928" t="str">
            <v>4</v>
          </cell>
          <cell r="D928" t="str">
            <v>ALVAREZ OPAZO JAIME FERNANDO</v>
          </cell>
          <cell r="E928" t="str">
            <v>FAD310002</v>
          </cell>
          <cell r="F928">
            <v>44</v>
          </cell>
          <cell r="G928">
            <v>30</v>
          </cell>
          <cell r="H928" t="str">
            <v>JAIALVAREZ@UTALCA.CL</v>
          </cell>
          <cell r="I928">
            <v>43160</v>
          </cell>
          <cell r="J928">
            <v>46387</v>
          </cell>
          <cell r="K928" t="str">
            <v>CONTRATA</v>
          </cell>
          <cell r="L928" t="str">
            <v>ADMINISTRATIVO</v>
          </cell>
          <cell r="M928" t="str">
            <v>ADMINISTRATIVO</v>
          </cell>
          <cell r="N928" t="str">
            <v>GRADO I.21</v>
          </cell>
          <cell r="O928" t="str">
            <v>TÍTULO PROFESIONAL</v>
          </cell>
          <cell r="P928" t="str">
            <v>INGENIERO DE EJECUCIÓN EN INFORMÁTICA</v>
          </cell>
          <cell r="Q928" t="str">
            <v>TALCA</v>
          </cell>
          <cell r="R928" t="str">
            <v>FACULTAD DE ARQUITECTUR, MÚSICA Y DISEÑO</v>
          </cell>
          <cell r="S928" t="str">
            <v>ESCUELA DE DISEÑO</v>
          </cell>
        </row>
        <row r="929">
          <cell r="A929">
            <v>16092616</v>
          </cell>
          <cell r="B929" t="str">
            <v>16092616</v>
          </cell>
          <cell r="C929" t="str">
            <v>3</v>
          </cell>
          <cell r="D929" t="str">
            <v>HELBIG SOTO FABIOLA MARIA DEL</v>
          </cell>
          <cell r="E929" t="str">
            <v>FPS310002</v>
          </cell>
          <cell r="F929">
            <v>44</v>
          </cell>
          <cell r="G929">
            <v>30</v>
          </cell>
          <cell r="H929" t="str">
            <v>FABIOLA.HELBIG@UTALCA.CL</v>
          </cell>
          <cell r="I929">
            <v>44431</v>
          </cell>
          <cell r="J929">
            <v>46446</v>
          </cell>
          <cell r="K929" t="str">
            <v>CONTRATA</v>
          </cell>
          <cell r="L929" t="str">
            <v>CA DOCENTE</v>
          </cell>
          <cell r="M929" t="str">
            <v>PROFESOR ASISTENTE</v>
          </cell>
          <cell r="N929" t="str">
            <v>GRADO C</v>
          </cell>
          <cell r="O929" t="str">
            <v>MAGISTER</v>
          </cell>
          <cell r="P929" t="str">
            <v>MAGISTER EN PSICOLOGÍA SOCIAL M/ GESTION Y DE</v>
          </cell>
          <cell r="Q929" t="str">
            <v>TALCA</v>
          </cell>
          <cell r="R929" t="str">
            <v>FACULTAD DE PSICOLOGÍA</v>
          </cell>
          <cell r="S929" t="str">
            <v>ESCUELA DE TERAPIA OCUPACIONAL</v>
          </cell>
        </row>
        <row r="930">
          <cell r="A930">
            <v>16093244</v>
          </cell>
          <cell r="B930" t="str">
            <v>16093244</v>
          </cell>
          <cell r="C930" t="str">
            <v>9</v>
          </cell>
          <cell r="D930" t="str">
            <v>MUÑOZ SANDOVAL CECILIA DE LOS</v>
          </cell>
          <cell r="E930" t="str">
            <v>FOD320001</v>
          </cell>
          <cell r="F930">
            <v>33</v>
          </cell>
          <cell r="G930">
            <v>30</v>
          </cell>
          <cell r="H930" t="str">
            <v>CEMUNOZ@UTALCA.CL</v>
          </cell>
          <cell r="I930">
            <v>43191</v>
          </cell>
          <cell r="J930">
            <v>46446</v>
          </cell>
          <cell r="K930" t="str">
            <v>CONTRATA</v>
          </cell>
          <cell r="L930" t="str">
            <v>CA DOCENTE</v>
          </cell>
          <cell r="M930" t="str">
            <v>PROFESOR ASISTENTE</v>
          </cell>
          <cell r="N930" t="str">
            <v>GRADO C</v>
          </cell>
          <cell r="O930" t="str">
            <v>ESPECIAL. ODONTOLÓG.</v>
          </cell>
          <cell r="P930" t="str">
            <v>ESPECIALISTA EN ODONTOPEDIATRÍA</v>
          </cell>
          <cell r="Q930" t="str">
            <v>TALCA</v>
          </cell>
          <cell r="R930" t="str">
            <v>FACULTAD DE ODONTOLOGÍA</v>
          </cell>
          <cell r="S930" t="str">
            <v>DPTO. REHABILITACIÓN BUCO-MAXILOFACIAL</v>
          </cell>
        </row>
        <row r="931">
          <cell r="A931">
            <v>16098726</v>
          </cell>
          <cell r="B931" t="str">
            <v>16098726</v>
          </cell>
          <cell r="C931" t="str">
            <v>K</v>
          </cell>
          <cell r="D931" t="str">
            <v>CARREÑO BERNALES CRISS GABRIEL</v>
          </cell>
          <cell r="E931" t="str">
            <v>FCI320004</v>
          </cell>
          <cell r="F931">
            <v>44</v>
          </cell>
          <cell r="G931">
            <v>30</v>
          </cell>
          <cell r="H931" t="str">
            <v>CRICARRENO@UTALCA.CL</v>
          </cell>
          <cell r="I931">
            <v>43831</v>
          </cell>
          <cell r="J931">
            <v>46446</v>
          </cell>
          <cell r="K931" t="str">
            <v>CONTRATA</v>
          </cell>
          <cell r="L931" t="str">
            <v>CA DOCENTE</v>
          </cell>
          <cell r="M931" t="str">
            <v>INSTRUCTOR</v>
          </cell>
          <cell r="N931" t="str">
            <v>GRADO D</v>
          </cell>
          <cell r="O931" t="str">
            <v>TÍTULO PROFESIONAL</v>
          </cell>
          <cell r="P931" t="str">
            <v>INGENIERO CIVIL AEROESPACIAL</v>
          </cell>
          <cell r="Q931" t="str">
            <v>CURICO</v>
          </cell>
          <cell r="R931" t="str">
            <v>FACULTAD DE INGENIERÍA</v>
          </cell>
          <cell r="S931" t="str">
            <v>DEPARTAMENTO DE TECNOLOGÍA INDUSTRIALES</v>
          </cell>
        </row>
        <row r="932">
          <cell r="A932">
            <v>16113806</v>
          </cell>
          <cell r="B932" t="str">
            <v>16113806</v>
          </cell>
          <cell r="C932" t="str">
            <v>1</v>
          </cell>
          <cell r="D932" t="str">
            <v>NORAMBUENA RETAMAL CAROLINE MA</v>
          </cell>
          <cell r="E932" t="str">
            <v>VDE400012</v>
          </cell>
          <cell r="F932">
            <v>44</v>
          </cell>
          <cell r="G932">
            <v>29</v>
          </cell>
          <cell r="H932" t="str">
            <v>CANORAMBUENA@UTALCA.CL</v>
          </cell>
          <cell r="I932">
            <v>43101</v>
          </cell>
          <cell r="J932">
            <v>46387</v>
          </cell>
          <cell r="K932" t="str">
            <v>CONTRATA</v>
          </cell>
          <cell r="L932" t="str">
            <v>ADMINISTRATIVO</v>
          </cell>
          <cell r="M932" t="str">
            <v>ADMINISTRATIVO</v>
          </cell>
          <cell r="N932" t="str">
            <v>GRADO I.21</v>
          </cell>
          <cell r="O932" t="str">
            <v>TÉC. NIVEL SUPERIOR</v>
          </cell>
          <cell r="P932" t="str">
            <v>TÉCNICO DE NIVEL SUPERIOR EN ENFERMERÍA</v>
          </cell>
          <cell r="Q932" t="str">
            <v>SANTIAGO</v>
          </cell>
          <cell r="R932" t="str">
            <v>VICERRECTORÍA DE DESARROLLO ESTUDIANTIL</v>
          </cell>
          <cell r="S932" t="str">
            <v>DIRECCIÓN DE SALUD ESTUDIANTIL</v>
          </cell>
        </row>
        <row r="933">
          <cell r="A933">
            <v>16119636</v>
          </cell>
          <cell r="B933" t="str">
            <v>16119636</v>
          </cell>
          <cell r="C933" t="str">
            <v>3</v>
          </cell>
          <cell r="D933" t="str">
            <v>PEREIRA MARIN ROBERTO HERNAN</v>
          </cell>
          <cell r="E933" t="str">
            <v>VRF400008</v>
          </cell>
          <cell r="F933">
            <v>44</v>
          </cell>
          <cell r="G933">
            <v>30</v>
          </cell>
          <cell r="H933" t="str">
            <v>RPEREIRA@UTALCA.CL</v>
          </cell>
          <cell r="I933">
            <v>44621</v>
          </cell>
          <cell r="J933">
            <v>46446</v>
          </cell>
          <cell r="K933" t="str">
            <v>CONTRATA</v>
          </cell>
          <cell r="L933" t="str">
            <v>CA DOCENTE</v>
          </cell>
          <cell r="M933" t="str">
            <v>INSTRUCTOR</v>
          </cell>
          <cell r="N933" t="str">
            <v>GRADO D</v>
          </cell>
          <cell r="O933" t="str">
            <v>MAGISTER</v>
          </cell>
          <cell r="P933" t="str">
            <v>MAGISTER EN DIDACTICA DEL INGLES</v>
          </cell>
          <cell r="Q933" t="str">
            <v>TALCA</v>
          </cell>
          <cell r="R933" t="str">
            <v>DIRECCIÓN DE PREGRADO</v>
          </cell>
          <cell r="S933" t="str">
            <v>PROGRAMA DE IDIOMAS</v>
          </cell>
        </row>
        <row r="934">
          <cell r="A934">
            <v>16140710</v>
          </cell>
          <cell r="B934" t="str">
            <v>16140710</v>
          </cell>
          <cell r="C934" t="str">
            <v>0</v>
          </cell>
          <cell r="D934" t="str">
            <v>VALDERRAMA BASTIA RICARDO ANTO</v>
          </cell>
          <cell r="E934" t="str">
            <v>FED310002</v>
          </cell>
          <cell r="F934">
            <v>44</v>
          </cell>
          <cell r="G934">
            <v>30</v>
          </cell>
          <cell r="H934" t="str">
            <v>RVALDERRAMA@UTALCA.CL</v>
          </cell>
          <cell r="I934">
            <v>43160</v>
          </cell>
          <cell r="J934">
            <v>46446</v>
          </cell>
          <cell r="K934" t="str">
            <v>CONTRATA</v>
          </cell>
          <cell r="L934" t="str">
            <v>CA DOCENTE</v>
          </cell>
          <cell r="M934" t="str">
            <v>PROFESOR ASISTENTE</v>
          </cell>
          <cell r="N934" t="str">
            <v>GRADO C</v>
          </cell>
          <cell r="O934" t="str">
            <v>MAGISTER</v>
          </cell>
          <cell r="P934" t="str">
            <v>MAGÍSTER EN LINGUISTICA APLICADA</v>
          </cell>
          <cell r="Q934" t="str">
            <v>LINARES</v>
          </cell>
          <cell r="R934" t="str">
            <v>FACULTAD DE CIENCIAS DE LA EDUCACIÓN</v>
          </cell>
          <cell r="S934" t="str">
            <v>ESCUELA DE PEDAGOGÍA EN INGLÉS</v>
          </cell>
        </row>
        <row r="935">
          <cell r="A935">
            <v>16148748</v>
          </cell>
          <cell r="B935" t="str">
            <v>16148748</v>
          </cell>
          <cell r="C935" t="str">
            <v>1</v>
          </cell>
          <cell r="D935" t="str">
            <v>RAMIREZ PACHECO DAYSI VERONICA</v>
          </cell>
          <cell r="E935" t="str">
            <v>FCS320009</v>
          </cell>
          <cell r="F935">
            <v>44</v>
          </cell>
          <cell r="G935">
            <v>30</v>
          </cell>
          <cell r="H935" t="str">
            <v>DARAMIREZ@UTALCA.CL</v>
          </cell>
          <cell r="I935">
            <v>40269</v>
          </cell>
          <cell r="J935">
            <v>46446</v>
          </cell>
          <cell r="K935" t="str">
            <v>CONTRATA</v>
          </cell>
          <cell r="L935" t="str">
            <v>CA DOCENTE</v>
          </cell>
          <cell r="M935" t="str">
            <v>INSTRUCTOR</v>
          </cell>
          <cell r="N935" t="str">
            <v>GRADO D</v>
          </cell>
          <cell r="O935" t="str">
            <v>MAGISTER</v>
          </cell>
          <cell r="P935" t="str">
            <v>MAGÍSTER EN FISIOPATOLOGÍA CRANEOCERVICAL, CR</v>
          </cell>
          <cell r="Q935" t="str">
            <v>TALCA</v>
          </cell>
          <cell r="R935" t="str">
            <v>FACULTAD DE CIENCIAS DE LA SALUD</v>
          </cell>
          <cell r="S935" t="str">
            <v>DPTO. DE CIENCIAS DEL MOVIMIENTO HUMANO</v>
          </cell>
        </row>
        <row r="936">
          <cell r="A936">
            <v>16156445</v>
          </cell>
          <cell r="B936" t="str">
            <v>16156445</v>
          </cell>
          <cell r="C936" t="str">
            <v>1</v>
          </cell>
          <cell r="D936" t="str">
            <v>GRANDON AVENDAÑO MADERLINE LIS</v>
          </cell>
          <cell r="E936" t="str">
            <v>VRF400009</v>
          </cell>
          <cell r="F936">
            <v>44</v>
          </cell>
          <cell r="G936">
            <v>30</v>
          </cell>
          <cell r="H936" t="str">
            <v>MGRANDON@UTALCA.CL</v>
          </cell>
          <cell r="I936">
            <v>43466</v>
          </cell>
          <cell r="J936">
            <v>46446</v>
          </cell>
          <cell r="K936" t="str">
            <v>CONTRATA</v>
          </cell>
          <cell r="L936" t="str">
            <v>CA DOCENTE</v>
          </cell>
          <cell r="M936" t="str">
            <v>PROFESOR ASISTENTE</v>
          </cell>
          <cell r="N936" t="str">
            <v>GRADO C</v>
          </cell>
          <cell r="O936" t="str">
            <v>MAGISTER</v>
          </cell>
          <cell r="P936" t="str">
            <v>MAGÍSTER EN GESTIÓN DE SISTEMAS DE SALUD</v>
          </cell>
          <cell r="Q936" t="str">
            <v>TALCA</v>
          </cell>
          <cell r="R936" t="str">
            <v>DIRECCIÓN DE PREGRADO</v>
          </cell>
          <cell r="S936" t="str">
            <v>PROGRAMA DE FORMACIÓN FUNDAMENTAL</v>
          </cell>
        </row>
        <row r="937">
          <cell r="A937">
            <v>16192576</v>
          </cell>
          <cell r="B937" t="str">
            <v>16192576</v>
          </cell>
          <cell r="C937" t="str">
            <v>4</v>
          </cell>
          <cell r="D937" t="str">
            <v>PAVEZ PARDO ALEJANDRA DENISSE</v>
          </cell>
          <cell r="E937" t="str">
            <v>FED310002</v>
          </cell>
          <cell r="F937">
            <v>44</v>
          </cell>
          <cell r="G937">
            <v>30</v>
          </cell>
          <cell r="H937" t="str">
            <v>ALEJANDRA.PAVEZ@UTALCA.CL</v>
          </cell>
          <cell r="I937">
            <v>43556</v>
          </cell>
          <cell r="J937">
            <v>46446</v>
          </cell>
          <cell r="K937" t="str">
            <v>CONTRATA</v>
          </cell>
          <cell r="L937" t="str">
            <v>CA DOCENTE</v>
          </cell>
          <cell r="M937" t="str">
            <v>INSTRUCTOR</v>
          </cell>
          <cell r="N937" t="str">
            <v>GRADO D</v>
          </cell>
          <cell r="O937" t="str">
            <v>MAGISTER</v>
          </cell>
          <cell r="P937" t="str">
            <v>MAGÍSTER EN DOCENCIA EN EDUCACIÓN SUPERIOR</v>
          </cell>
          <cell r="Q937" t="str">
            <v>LINARES</v>
          </cell>
          <cell r="R937" t="str">
            <v>FACULTAD DE CIENCIAS DE LA EDUCACIÓN</v>
          </cell>
          <cell r="S937" t="str">
            <v>ESCUELA DE PEDAGOGÍA EN INGLÉS</v>
          </cell>
        </row>
        <row r="938">
          <cell r="A938">
            <v>16204534</v>
          </cell>
          <cell r="B938" t="str">
            <v>16204534</v>
          </cell>
          <cell r="C938" t="str">
            <v>2</v>
          </cell>
          <cell r="D938" t="str">
            <v>GATICA CUEVAS JESSICA CARINA</v>
          </cell>
          <cell r="E938" t="str">
            <v>IMF300001</v>
          </cell>
          <cell r="F938">
            <v>44</v>
          </cell>
          <cell r="G938">
            <v>30</v>
          </cell>
          <cell r="H938" t="str">
            <v>JGATICA@UTALCA.CL</v>
          </cell>
          <cell r="I938">
            <v>43221</v>
          </cell>
          <cell r="J938">
            <v>46446</v>
          </cell>
          <cell r="K938" t="str">
            <v>CONTRATA</v>
          </cell>
          <cell r="L938" t="str">
            <v>CA DOCENTE</v>
          </cell>
          <cell r="M938" t="str">
            <v>PROFESOR ASISTENTE</v>
          </cell>
          <cell r="N938" t="str">
            <v>GRADO C</v>
          </cell>
          <cell r="O938" t="str">
            <v>DOCTORADO</v>
          </cell>
          <cell r="P938" t="str">
            <v>DOCTOR EN MATEMATICAS</v>
          </cell>
          <cell r="Q938" t="str">
            <v>LINARES</v>
          </cell>
          <cell r="R938" t="str">
            <v>INSTITUTO DE MATEMÁTICAS</v>
          </cell>
          <cell r="S938" t="str">
            <v>INSTITUTO DE MATEMÁTICAS</v>
          </cell>
        </row>
        <row r="939">
          <cell r="A939">
            <v>16208252</v>
          </cell>
          <cell r="B939" t="str">
            <v>16208252</v>
          </cell>
          <cell r="C939" t="str">
            <v>3</v>
          </cell>
          <cell r="D939" t="str">
            <v>FAUNDEZ MORALES FRANCISCA MICH</v>
          </cell>
          <cell r="E939" t="str">
            <v/>
          </cell>
          <cell r="F939">
            <v>19</v>
          </cell>
          <cell r="G939">
            <v>30</v>
          </cell>
          <cell r="H939" t="str">
            <v>FRANCISCA.FAUNDEZ@UTALCA.CL</v>
          </cell>
          <cell r="I939">
            <v>44927</v>
          </cell>
          <cell r="J939">
            <v>46387</v>
          </cell>
          <cell r="K939" t="str">
            <v>CONTRATA</v>
          </cell>
          <cell r="L939" t="str">
            <v>PROFESIONAL</v>
          </cell>
          <cell r="M939" t="str">
            <v>PROFESIONAL</v>
          </cell>
          <cell r="N939" t="str">
            <v>GRADO I.17</v>
          </cell>
          <cell r="O939" t="str">
            <v>TÍTULO PROFESIONAL</v>
          </cell>
          <cell r="P939" t="str">
            <v>PERIODISTA</v>
          </cell>
          <cell r="Q939" t="str">
            <v>TALCA</v>
          </cell>
          <cell r="R939" t="str">
            <v>FACULTAD DE INGENIERÍA</v>
          </cell>
          <cell r="S939" t="str">
            <v>ESCUELA DE POSTGRADO FACULTAD INGENIERÍA</v>
          </cell>
        </row>
        <row r="940">
          <cell r="A940">
            <v>16211372</v>
          </cell>
          <cell r="B940" t="str">
            <v>16211372</v>
          </cell>
          <cell r="C940" t="str">
            <v>0</v>
          </cell>
          <cell r="D940" t="str">
            <v>VASQUEZ PEREZ GABRIELA ANDREA</v>
          </cell>
          <cell r="E940" t="str">
            <v>FOD200001</v>
          </cell>
          <cell r="F940">
            <v>11</v>
          </cell>
          <cell r="G940">
            <v>30</v>
          </cell>
          <cell r="H940" t="str">
            <v>GVASQUEZ@UTALCA.CL</v>
          </cell>
          <cell r="I940">
            <v>44713</v>
          </cell>
          <cell r="J940">
            <v>46387</v>
          </cell>
          <cell r="K940" t="str">
            <v>CONTRATA</v>
          </cell>
          <cell r="L940" t="str">
            <v>C ESPECIALES</v>
          </cell>
          <cell r="M940" t="str">
            <v>TUTOR(A) PRÁCTICA</v>
          </cell>
          <cell r="N940" t="str">
            <v>SIN GRADO</v>
          </cell>
          <cell r="O940" t="str">
            <v>ESPECIAL. ODONTOLÓG.</v>
          </cell>
          <cell r="P940" t="str">
            <v>ESPECIALISTA EN ORTODONCIA Y ORTOPEDIA DENTOF</v>
          </cell>
          <cell r="Q940" t="str">
            <v>TALCA</v>
          </cell>
          <cell r="R940" t="str">
            <v>FACULTAD DE ODONTOLOGÍA</v>
          </cell>
          <cell r="S940" t="str">
            <v>FACULTAD DE ODONTOLOGÍA</v>
          </cell>
        </row>
        <row r="941">
          <cell r="A941">
            <v>16239846</v>
          </cell>
          <cell r="B941" t="str">
            <v>16239846</v>
          </cell>
          <cell r="C941" t="str">
            <v>6</v>
          </cell>
          <cell r="D941" t="str">
            <v>CARTES SANHUEZA JORGE ANDRES</v>
          </cell>
          <cell r="E941" t="str">
            <v>FAD320003</v>
          </cell>
          <cell r="F941">
            <v>44</v>
          </cell>
          <cell r="G941">
            <v>30</v>
          </cell>
          <cell r="H941" t="str">
            <v>JCARTES@UTALCA.CL</v>
          </cell>
          <cell r="I941">
            <v>42917</v>
          </cell>
          <cell r="J941">
            <v>2958465</v>
          </cell>
          <cell r="K941" t="str">
            <v>PLANTA</v>
          </cell>
          <cell r="L941" t="str">
            <v>CA ORDINARIA</v>
          </cell>
          <cell r="M941" t="str">
            <v>PROFESOR ASISTENTE</v>
          </cell>
          <cell r="N941" t="str">
            <v>GRADO C</v>
          </cell>
          <cell r="O941" t="str">
            <v>MAGISTER</v>
          </cell>
          <cell r="P941" t="str">
            <v>MASTER OF SCIENCE IN INNOVATION DESIGN ENGINE</v>
          </cell>
          <cell r="Q941" t="str">
            <v>TALCA</v>
          </cell>
          <cell r="R941" t="str">
            <v>FACULTAD DE ARQUITECTUR, MÚSICA Y DISEÑO</v>
          </cell>
          <cell r="S941" t="str">
            <v>DEPARTAMENTO DE DISEÑO</v>
          </cell>
        </row>
        <row r="942">
          <cell r="A942">
            <v>16252055</v>
          </cell>
          <cell r="B942" t="str">
            <v>16252055</v>
          </cell>
          <cell r="C942" t="str">
            <v>5</v>
          </cell>
          <cell r="D942" t="str">
            <v>ESPINOZA ESPINOZA JORGE EDUARD</v>
          </cell>
          <cell r="E942" t="str">
            <v>IMF300001</v>
          </cell>
          <cell r="F942">
            <v>44</v>
          </cell>
          <cell r="G942">
            <v>30</v>
          </cell>
          <cell r="H942" t="str">
            <v>JOESPINOZA@UTALCA.CL</v>
          </cell>
          <cell r="I942">
            <v>43221</v>
          </cell>
          <cell r="J942">
            <v>46446</v>
          </cell>
          <cell r="K942" t="str">
            <v>CONTRATA</v>
          </cell>
          <cell r="L942" t="str">
            <v>CA DOCENTE</v>
          </cell>
          <cell r="M942" t="str">
            <v>INSTRUCTOR</v>
          </cell>
          <cell r="N942" t="str">
            <v>GRADO D</v>
          </cell>
          <cell r="O942" t="str">
            <v>DOCTORADO</v>
          </cell>
          <cell r="P942" t="str">
            <v>DOCTOR EN MATEMATICAS</v>
          </cell>
          <cell r="Q942" t="str">
            <v>CURICO</v>
          </cell>
          <cell r="R942" t="str">
            <v>INSTITUTO DE MATEMÁTICAS</v>
          </cell>
          <cell r="S942" t="str">
            <v>INSTITUTO DE MATEMÁTICAS</v>
          </cell>
        </row>
        <row r="943">
          <cell r="A943">
            <v>16255814</v>
          </cell>
          <cell r="B943" t="str">
            <v>16255814</v>
          </cell>
          <cell r="C943" t="str">
            <v>5</v>
          </cell>
          <cell r="D943" t="str">
            <v>MUÑOZ TAPIA KATERINNE ELIZABET</v>
          </cell>
          <cell r="E943" t="str">
            <v>VRF400002</v>
          </cell>
          <cell r="F943">
            <v>33</v>
          </cell>
          <cell r="G943">
            <v>30</v>
          </cell>
          <cell r="H943" t="str">
            <v>KAMUNOZ@UTALCA.CL</v>
          </cell>
          <cell r="I943">
            <v>42005</v>
          </cell>
          <cell r="J943">
            <v>46387</v>
          </cell>
          <cell r="K943" t="str">
            <v>CONTRATA</v>
          </cell>
          <cell r="L943" t="str">
            <v>PROFESIONAL</v>
          </cell>
          <cell r="M943" t="str">
            <v>PROFESIONAL</v>
          </cell>
          <cell r="N943" t="str">
            <v>GRADO I.17</v>
          </cell>
          <cell r="O943" t="str">
            <v>MAGISTER</v>
          </cell>
          <cell r="P943" t="str">
            <v>MAGÍSTER EN PSICOLOGÍA SOCIAL</v>
          </cell>
          <cell r="Q943" t="str">
            <v>TALCA</v>
          </cell>
          <cell r="R943" t="str">
            <v>VICERRECTORÍA DE FORMACIÓN</v>
          </cell>
          <cell r="S943" t="str">
            <v>UN. DE DESARROLLO CURRICULAR DE PREGRADO</v>
          </cell>
        </row>
        <row r="944">
          <cell r="A944">
            <v>16255911</v>
          </cell>
          <cell r="B944" t="str">
            <v>16255911</v>
          </cell>
          <cell r="C944" t="str">
            <v>7</v>
          </cell>
          <cell r="D944" t="str">
            <v>LOPEZ ESPINOZA MARCELO SEBASTI</v>
          </cell>
          <cell r="E944" t="str">
            <v>FOD320001</v>
          </cell>
          <cell r="F944">
            <v>32</v>
          </cell>
          <cell r="G944">
            <v>30</v>
          </cell>
          <cell r="H944" t="str">
            <v>MARCLOPEZ@UTALCA.CL</v>
          </cell>
          <cell r="I944">
            <v>44340</v>
          </cell>
          <cell r="J944">
            <v>46446</v>
          </cell>
          <cell r="K944" t="str">
            <v>CONTRATA</v>
          </cell>
          <cell r="L944" t="str">
            <v>CA DOCENTE</v>
          </cell>
          <cell r="M944" t="str">
            <v>INSTRUCTOR</v>
          </cell>
          <cell r="N944" t="str">
            <v>GRADO D</v>
          </cell>
          <cell r="O944" t="str">
            <v>ESPECIAL. ODONTOLÓG.</v>
          </cell>
          <cell r="P944" t="str">
            <v>ESPECIALISTA EN ENDODONCIA</v>
          </cell>
          <cell r="Q944" t="str">
            <v>TALCA</v>
          </cell>
          <cell r="R944" t="str">
            <v>FACULTAD DE ODONTOLOGÍA</v>
          </cell>
          <cell r="S944" t="str">
            <v>DPTO. REHABILITACIÓN BUCO-MAXILOFACIAL</v>
          </cell>
        </row>
        <row r="945">
          <cell r="A945">
            <v>16255924</v>
          </cell>
          <cell r="B945" t="str">
            <v>16255924</v>
          </cell>
          <cell r="C945" t="str">
            <v>9</v>
          </cell>
          <cell r="D945" t="str">
            <v>VALENZUELA MONSALVEZ CLAUDIO A</v>
          </cell>
          <cell r="E945" t="str">
            <v>FCS310007</v>
          </cell>
          <cell r="F945">
            <v>44</v>
          </cell>
          <cell r="G945">
            <v>30</v>
          </cell>
          <cell r="H945" t="str">
            <v/>
          </cell>
          <cell r="I945">
            <v>43983</v>
          </cell>
          <cell r="J945">
            <v>46446</v>
          </cell>
          <cell r="K945" t="str">
            <v>CONTRATA</v>
          </cell>
          <cell r="L945" t="str">
            <v>CA DOCENTE</v>
          </cell>
          <cell r="M945" t="str">
            <v>INSTRUCTOR</v>
          </cell>
          <cell r="N945" t="str">
            <v>GRADO D</v>
          </cell>
          <cell r="O945" t="str">
            <v>MAGISTER</v>
          </cell>
          <cell r="P945" t="str">
            <v>MAGISTER EN EDUCACION BASADA EN COMPETENCIA</v>
          </cell>
          <cell r="Q945" t="str">
            <v>TALCA</v>
          </cell>
          <cell r="R945" t="str">
            <v>FACULTAD DE CIENCIAS DE LA SALUD</v>
          </cell>
          <cell r="S945" t="str">
            <v>ESCUELA DE OBSTETRICIA Y PUERICULTURA</v>
          </cell>
        </row>
        <row r="946">
          <cell r="A946">
            <v>16261214</v>
          </cell>
          <cell r="B946" t="str">
            <v>16261214</v>
          </cell>
          <cell r="C946" t="str">
            <v>K</v>
          </cell>
          <cell r="D946" t="str">
            <v>CANALES BECERRA FRANCISCA LORE</v>
          </cell>
          <cell r="E946" t="str">
            <v>FAM200001</v>
          </cell>
          <cell r="F946">
            <v>44</v>
          </cell>
          <cell r="G946">
            <v>30</v>
          </cell>
          <cell r="H946" t="str">
            <v>FCANALES@UTALCA.CL</v>
          </cell>
          <cell r="I946">
            <v>44927</v>
          </cell>
          <cell r="J946">
            <v>46387</v>
          </cell>
          <cell r="K946" t="str">
            <v>CONTRATA</v>
          </cell>
          <cell r="L946" t="str">
            <v>ADMINISTRATIVO</v>
          </cell>
          <cell r="M946" t="str">
            <v>ADMINISTRATIVO</v>
          </cell>
          <cell r="N946" t="str">
            <v>GRADO I.21</v>
          </cell>
          <cell r="O946" t="str">
            <v>TÉC. NIVEL MEDIO</v>
          </cell>
          <cell r="P946" t="str">
            <v>LICENCIADA EN EDUCACION MEDIA</v>
          </cell>
          <cell r="Q946" t="str">
            <v>TALCA</v>
          </cell>
          <cell r="R946" t="str">
            <v>FACULTAD DE MEDICINA</v>
          </cell>
          <cell r="S946" t="str">
            <v>FACULTAD DE MEDICINA</v>
          </cell>
        </row>
        <row r="947">
          <cell r="A947">
            <v>16269493</v>
          </cell>
          <cell r="B947" t="str">
            <v>16269493</v>
          </cell>
          <cell r="C947" t="str">
            <v>6</v>
          </cell>
          <cell r="D947" t="str">
            <v>REVECO ROJAS EDITH CATALINA</v>
          </cell>
          <cell r="E947" t="str">
            <v>VGE400019</v>
          </cell>
          <cell r="F947">
            <v>44</v>
          </cell>
          <cell r="G947">
            <v>30</v>
          </cell>
          <cell r="H947" t="str">
            <v>EREVECO@UTALCA.CL</v>
          </cell>
          <cell r="I947">
            <v>40179</v>
          </cell>
          <cell r="J947">
            <v>2958465</v>
          </cell>
          <cell r="K947" t="str">
            <v>PLANTA</v>
          </cell>
          <cell r="L947" t="str">
            <v>ADMINISTRATIVO</v>
          </cell>
          <cell r="M947" t="str">
            <v>ADMINISTRATIVO</v>
          </cell>
          <cell r="N947" t="str">
            <v>GRADO I.20</v>
          </cell>
          <cell r="O947" t="str">
            <v>TÍTULO PROFESIONAL</v>
          </cell>
          <cell r="P947" t="str">
            <v>INGENIERO DE EJECUCIÓN EN ADMINISTRACIÓN DE E</v>
          </cell>
          <cell r="Q947" t="str">
            <v>TALCA</v>
          </cell>
          <cell r="R947" t="str">
            <v>VIC. GESTIÓN ECONÓMICA Y ADMINISTRACIÓN</v>
          </cell>
          <cell r="S947" t="str">
            <v>DPTO. DE GESTIÓN DE PAGO A PROVEEDORES</v>
          </cell>
        </row>
        <row r="948">
          <cell r="A948">
            <v>16269704</v>
          </cell>
          <cell r="B948" t="str">
            <v>16269704</v>
          </cell>
          <cell r="C948" t="str">
            <v>8</v>
          </cell>
          <cell r="D948" t="str">
            <v>SUAREZ HIDALGO FELIPE IGNACIO</v>
          </cell>
          <cell r="E948" t="str">
            <v>FCS310007</v>
          </cell>
          <cell r="F948">
            <v>44</v>
          </cell>
          <cell r="G948">
            <v>30</v>
          </cell>
          <cell r="H948" t="str">
            <v>FSUAREZ@UTALCA.CL</v>
          </cell>
          <cell r="I948">
            <v>44197</v>
          </cell>
          <cell r="J948">
            <v>46446</v>
          </cell>
          <cell r="K948" t="str">
            <v>CONTRATA</v>
          </cell>
          <cell r="L948" t="str">
            <v>CA DOCENTE</v>
          </cell>
          <cell r="M948" t="str">
            <v>INSTRUCTOR</v>
          </cell>
          <cell r="N948" t="str">
            <v>GRADO D</v>
          </cell>
          <cell r="O948" t="str">
            <v>MAGISTER</v>
          </cell>
          <cell r="P948" t="str">
            <v>MAGÍSTER EN GESTIÓN DE SISTEMAS DE SALUD</v>
          </cell>
          <cell r="Q948" t="str">
            <v>TALCA</v>
          </cell>
          <cell r="R948" t="str">
            <v>FACULTAD DE CIENCIAS DE LA SALUD</v>
          </cell>
          <cell r="S948" t="str">
            <v>ESCUELA DE OBSTETRICIA Y PUERICULTURA</v>
          </cell>
        </row>
        <row r="949">
          <cell r="A949">
            <v>16269781</v>
          </cell>
          <cell r="B949" t="str">
            <v>16269781</v>
          </cell>
          <cell r="C949" t="str">
            <v>1</v>
          </cell>
          <cell r="D949" t="str">
            <v>SUAREZ MOLINA OMAR MANUEL</v>
          </cell>
          <cell r="E949" t="str">
            <v>FAD310001</v>
          </cell>
          <cell r="F949">
            <v>33</v>
          </cell>
          <cell r="G949">
            <v>30</v>
          </cell>
          <cell r="H949" t="str">
            <v>OMAR.SUAREZ@UTALCA.CL</v>
          </cell>
          <cell r="I949">
            <v>44197</v>
          </cell>
          <cell r="J949">
            <v>46387</v>
          </cell>
          <cell r="K949" t="str">
            <v>CONTRATA</v>
          </cell>
          <cell r="L949" t="str">
            <v>PROFESIONAL</v>
          </cell>
          <cell r="M949" t="str">
            <v>PROFESIONAL</v>
          </cell>
          <cell r="N949" t="str">
            <v>GRADO I.17</v>
          </cell>
          <cell r="O949" t="str">
            <v>TÍTULO PROFESIONAL</v>
          </cell>
          <cell r="P949" t="str">
            <v>ARQUITECTO</v>
          </cell>
          <cell r="Q949" t="str">
            <v>TALCA</v>
          </cell>
          <cell r="R949" t="str">
            <v>FACULTAD DE ARQUITECTUR, MÚSICA Y DISEÑO</v>
          </cell>
          <cell r="S949" t="str">
            <v>ESCUELA DE ARQUITECTURA</v>
          </cell>
        </row>
        <row r="950">
          <cell r="A950">
            <v>16269831</v>
          </cell>
          <cell r="B950" t="str">
            <v>16269831</v>
          </cell>
          <cell r="C950" t="str">
            <v>1</v>
          </cell>
          <cell r="D950" t="str">
            <v>ARRIAGADA SEPULVEDA CARLOS AND</v>
          </cell>
          <cell r="E950" t="str">
            <v>VAC400081</v>
          </cell>
          <cell r="F950">
            <v>44</v>
          </cell>
          <cell r="G950">
            <v>30</v>
          </cell>
          <cell r="H950" t="str">
            <v>CARARRIAGADA@UTALCA.CL</v>
          </cell>
          <cell r="I950">
            <v>44652</v>
          </cell>
          <cell r="J950">
            <v>46387</v>
          </cell>
          <cell r="K950" t="str">
            <v>CONTRATA</v>
          </cell>
          <cell r="L950" t="str">
            <v>PROFESIONAL</v>
          </cell>
          <cell r="M950" t="str">
            <v>PROFESIONAL</v>
          </cell>
          <cell r="N950" t="str">
            <v>GRADO I.17</v>
          </cell>
          <cell r="O950" t="str">
            <v>MAGISTER</v>
          </cell>
          <cell r="P950" t="str">
            <v>MAGISTER EN MANEJO DE RECURSOS NATURALES</v>
          </cell>
          <cell r="Q950" t="str">
            <v>TALCA</v>
          </cell>
          <cell r="R950" t="str">
            <v>VICERRECTORÍA ACADÉMICA</v>
          </cell>
          <cell r="S950" t="str">
            <v>UNIDAD DE PROYECTOS DE INNOVACIÓN Y TT</v>
          </cell>
        </row>
        <row r="951">
          <cell r="A951">
            <v>16269837</v>
          </cell>
          <cell r="B951" t="str">
            <v>16269837</v>
          </cell>
          <cell r="C951" t="str">
            <v>0</v>
          </cell>
          <cell r="D951" t="str">
            <v>LOBOS VALENZUELA PAMELA ANDREA</v>
          </cell>
          <cell r="E951" t="str">
            <v>FCS200001</v>
          </cell>
          <cell r="F951">
            <v>44</v>
          </cell>
          <cell r="G951">
            <v>30</v>
          </cell>
          <cell r="H951" t="str">
            <v>PAMELA.LOBOS@UTALCA.CL</v>
          </cell>
          <cell r="I951">
            <v>44927</v>
          </cell>
          <cell r="J951">
            <v>46387</v>
          </cell>
          <cell r="K951" t="str">
            <v>CONTRATA</v>
          </cell>
          <cell r="L951" t="str">
            <v>TÉCNICO</v>
          </cell>
          <cell r="M951" t="str">
            <v>TÉCNICO</v>
          </cell>
          <cell r="N951" t="str">
            <v>GRADO I.23</v>
          </cell>
          <cell r="O951" t="str">
            <v>TÉC. NIVEL SUPERIOR</v>
          </cell>
          <cell r="P951" t="str">
            <v>TECNICO DE NIVEL SUPERIOR EN ENFERMERIA</v>
          </cell>
          <cell r="Q951" t="str">
            <v>TALCA</v>
          </cell>
          <cell r="R951" t="str">
            <v>FACULTAD DE CIENCIAS DE LA SALUD</v>
          </cell>
          <cell r="S951" t="str">
            <v>FACULTAD DE CIENCIAS DE LA SALUD</v>
          </cell>
        </row>
        <row r="952">
          <cell r="A952">
            <v>16270575</v>
          </cell>
          <cell r="B952" t="str">
            <v>16270575</v>
          </cell>
          <cell r="C952" t="str">
            <v>K</v>
          </cell>
          <cell r="D952" t="str">
            <v>VALENZUELA HERNANDEZ MARGARITA</v>
          </cell>
          <cell r="E952" t="str">
            <v>VRF100003</v>
          </cell>
          <cell r="F952">
            <v>44</v>
          </cell>
          <cell r="G952">
            <v>30</v>
          </cell>
          <cell r="H952" t="str">
            <v>MARGVALENZUELA@UTALCA.CL</v>
          </cell>
          <cell r="I952">
            <v>43831</v>
          </cell>
          <cell r="J952">
            <v>46387</v>
          </cell>
          <cell r="K952" t="str">
            <v>CONTRATA</v>
          </cell>
          <cell r="L952" t="str">
            <v>PROFESIONAL</v>
          </cell>
          <cell r="M952" t="str">
            <v>PROFESIONAL</v>
          </cell>
          <cell r="N952" t="str">
            <v>GRADO I.17</v>
          </cell>
          <cell r="O952" t="str">
            <v>MAGISTER</v>
          </cell>
          <cell r="P952" t="str">
            <v>BACHILLER EN CIENCIAS BIOLÓGICAS</v>
          </cell>
          <cell r="Q952" t="str">
            <v>TALCA</v>
          </cell>
          <cell r="R952" t="str">
            <v>VICERRECTORÍA DE FORMACIÓN</v>
          </cell>
          <cell r="S952" t="str">
            <v>ACADEMIA DOCENTE</v>
          </cell>
        </row>
        <row r="953">
          <cell r="A953">
            <v>16270756</v>
          </cell>
          <cell r="B953" t="str">
            <v>16270756</v>
          </cell>
          <cell r="C953" t="str">
            <v>6</v>
          </cell>
          <cell r="D953" t="str">
            <v>DE LA FUENTE BURDILES CLAUDIA</v>
          </cell>
          <cell r="E953" t="str">
            <v>FCI320009</v>
          </cell>
          <cell r="F953">
            <v>44</v>
          </cell>
          <cell r="G953">
            <v>30</v>
          </cell>
          <cell r="H953" t="str">
            <v>CLAUDIA.DELAFUENTE@UTALCA.CL</v>
          </cell>
          <cell r="I953">
            <v>43525</v>
          </cell>
          <cell r="J953">
            <v>46446</v>
          </cell>
          <cell r="K953" t="str">
            <v>CONTRATA</v>
          </cell>
          <cell r="L953" t="str">
            <v>CA DOCENTE</v>
          </cell>
          <cell r="M953" t="str">
            <v>PROFESOR ASISTENTE</v>
          </cell>
          <cell r="N953" t="str">
            <v>GRADO C</v>
          </cell>
          <cell r="O953" t="str">
            <v>MAGISTER</v>
          </cell>
          <cell r="P953" t="str">
            <v>MAGÍSTER EN CIENCIAS DE LA COMPUTACIÓN</v>
          </cell>
          <cell r="Q953" t="str">
            <v>CURICO</v>
          </cell>
          <cell r="R953" t="str">
            <v>FACULTAD DE INGENIERÍA</v>
          </cell>
          <cell r="S953" t="str">
            <v>DPTO. VISUALI. INTERACTIVA Y REA.VIRTUAL</v>
          </cell>
        </row>
        <row r="954">
          <cell r="A954">
            <v>16273108</v>
          </cell>
          <cell r="B954" t="str">
            <v>16273108</v>
          </cell>
          <cell r="C954" t="str">
            <v>4</v>
          </cell>
          <cell r="D954" t="str">
            <v>NAVARRETE PARRA SIMON ALEJANDR</v>
          </cell>
          <cell r="E954" t="str">
            <v>FCS320001</v>
          </cell>
          <cell r="F954">
            <v>44</v>
          </cell>
          <cell r="G954">
            <v>30</v>
          </cell>
          <cell r="H954" t="str">
            <v>SNAVARRETEP@UTALCA.CL</v>
          </cell>
          <cell r="I954">
            <v>42795</v>
          </cell>
          <cell r="J954">
            <v>46446</v>
          </cell>
          <cell r="K954" t="str">
            <v>CONTRATA</v>
          </cell>
          <cell r="L954" t="str">
            <v>CA DOCENTE</v>
          </cell>
          <cell r="M954" t="str">
            <v>INSTRUCTOR</v>
          </cell>
          <cell r="N954" t="str">
            <v>GRADO D</v>
          </cell>
          <cell r="O954" t="str">
            <v>MAGISTER</v>
          </cell>
          <cell r="P954" t="str">
            <v>MAGISTER EN CIENCIAS BIOMEDICAS MENCION BIOQU</v>
          </cell>
          <cell r="Q954" t="str">
            <v>TALCA</v>
          </cell>
          <cell r="R954" t="str">
            <v>FACULTAD DE CIENCIAS DE LA SALUD</v>
          </cell>
          <cell r="S954" t="str">
            <v>DPTO. BIOQUÍM. CLÍN. E INMUNOHEMATOLOGÍA</v>
          </cell>
        </row>
        <row r="955">
          <cell r="A955">
            <v>16274039</v>
          </cell>
          <cell r="B955" t="str">
            <v>16274039</v>
          </cell>
          <cell r="C955" t="str">
            <v>3</v>
          </cell>
          <cell r="D955" t="str">
            <v>CHAMORRO GONZALEZ SANDRA</v>
          </cell>
          <cell r="E955" t="str">
            <v>VDE400001</v>
          </cell>
          <cell r="F955">
            <v>44</v>
          </cell>
          <cell r="G955">
            <v>30</v>
          </cell>
          <cell r="H955" t="str">
            <v>SACHAMORRO@UTALCA.CL</v>
          </cell>
          <cell r="I955">
            <v>43101</v>
          </cell>
          <cell r="J955">
            <v>46387</v>
          </cell>
          <cell r="K955" t="str">
            <v>CONTRATA</v>
          </cell>
          <cell r="L955" t="str">
            <v>PROFESIONAL</v>
          </cell>
          <cell r="M955" t="str">
            <v>PROFESIONAL</v>
          </cell>
          <cell r="N955" t="str">
            <v>GRADO I.17</v>
          </cell>
          <cell r="O955" t="str">
            <v>MAGISTER</v>
          </cell>
          <cell r="P955" t="str">
            <v>MAGISTER EN PSICOLOGÍA SOCIAL MENCIÓN GESTIÓN</v>
          </cell>
          <cell r="Q955" t="str">
            <v>TALCA</v>
          </cell>
          <cell r="R955" t="str">
            <v>VICERRECTORÍA DE DESARROLLO ESTUDIANTIL</v>
          </cell>
          <cell r="S955" t="str">
            <v>DIRECCIÓN DE BIENESTAR ESTUDIANTIL</v>
          </cell>
        </row>
        <row r="956">
          <cell r="A956">
            <v>16274323</v>
          </cell>
          <cell r="B956" t="str">
            <v>16274323</v>
          </cell>
          <cell r="C956" t="str">
            <v>6</v>
          </cell>
          <cell r="D956" t="str">
            <v>GAJARDO ASBUN KAREN PAULINA</v>
          </cell>
          <cell r="E956" t="str">
            <v>FED310002</v>
          </cell>
          <cell r="F956">
            <v>44</v>
          </cell>
          <cell r="G956">
            <v>30</v>
          </cell>
          <cell r="H956" t="str">
            <v>KAREN.GAJARDO@UTALCA.CL</v>
          </cell>
          <cell r="I956">
            <v>44197</v>
          </cell>
          <cell r="J956">
            <v>46446</v>
          </cell>
          <cell r="K956" t="str">
            <v>CONTRATA</v>
          </cell>
          <cell r="L956" t="str">
            <v>CA DOCENTE</v>
          </cell>
          <cell r="M956" t="str">
            <v>PROFESOR ASISTENTE</v>
          </cell>
          <cell r="N956" t="str">
            <v>GRADO C</v>
          </cell>
          <cell r="O956" t="str">
            <v>DOCTORADO</v>
          </cell>
          <cell r="P956" t="str">
            <v>DOCTORADO EN EDUCACIÓN</v>
          </cell>
          <cell r="Q956" t="str">
            <v>LINARES</v>
          </cell>
          <cell r="R956" t="str">
            <v>FACULTAD DE CIENCIAS DE LA EDUCACIÓN</v>
          </cell>
          <cell r="S956" t="str">
            <v>ESCUELA DE PEDAGOGÍA EN INGLÉS</v>
          </cell>
        </row>
        <row r="957">
          <cell r="A957">
            <v>16274713</v>
          </cell>
          <cell r="B957" t="str">
            <v>16274713</v>
          </cell>
          <cell r="C957" t="str">
            <v>4</v>
          </cell>
          <cell r="D957" t="str">
            <v>TRONCOSO RUIZ ROMINA DEL CARME</v>
          </cell>
          <cell r="E957" t="str">
            <v>FCS200001</v>
          </cell>
          <cell r="F957">
            <v>44</v>
          </cell>
          <cell r="G957">
            <v>30</v>
          </cell>
          <cell r="H957" t="str">
            <v>ROMINA.TRONCOSO@UTALCA.CL</v>
          </cell>
          <cell r="I957">
            <v>44927</v>
          </cell>
          <cell r="J957">
            <v>46387</v>
          </cell>
          <cell r="K957" t="str">
            <v>CONTRATA</v>
          </cell>
          <cell r="L957" t="str">
            <v>C ESPECIALES</v>
          </cell>
          <cell r="M957" t="str">
            <v>TUTOR(A) PRÁCTICA</v>
          </cell>
          <cell r="N957" t="str">
            <v>SIN GRADO</v>
          </cell>
          <cell r="O957" t="str">
            <v>TÍTULO PROFESIONAL</v>
          </cell>
          <cell r="P957" t="str">
            <v>MATRONA</v>
          </cell>
          <cell r="Q957" t="str">
            <v>TALCA</v>
          </cell>
          <cell r="R957" t="str">
            <v>FACULTAD DE CIENCIAS DE LA SALUD</v>
          </cell>
          <cell r="S957" t="str">
            <v>FACULTAD DE CIENCIAS DE LA SALUD</v>
          </cell>
        </row>
        <row r="958">
          <cell r="A958">
            <v>16279558</v>
          </cell>
          <cell r="B958" t="str">
            <v>16279558</v>
          </cell>
          <cell r="C958" t="str">
            <v>9</v>
          </cell>
          <cell r="D958" t="str">
            <v>CARTAGENA SALAZAR DANIELA MARC</v>
          </cell>
          <cell r="E958" t="str">
            <v>VDE400001</v>
          </cell>
          <cell r="F958">
            <v>44</v>
          </cell>
          <cell r="G958">
            <v>30</v>
          </cell>
          <cell r="H958" t="str">
            <v>DANIELA.CARTAGENA@UTALCA.CL</v>
          </cell>
          <cell r="I958">
            <v>44197</v>
          </cell>
          <cell r="J958">
            <v>46387</v>
          </cell>
          <cell r="K958" t="str">
            <v>CONTRATA</v>
          </cell>
          <cell r="L958" t="str">
            <v>PROFESIONAL</v>
          </cell>
          <cell r="M958" t="str">
            <v>PROFESIONAL</v>
          </cell>
          <cell r="N958" t="str">
            <v>GRADO I.17</v>
          </cell>
          <cell r="O958" t="str">
            <v>LICENCIADO</v>
          </cell>
          <cell r="P958" t="str">
            <v>LICENCIADA EN TRABAJO SOCIAL</v>
          </cell>
          <cell r="Q958" t="str">
            <v>TALCA</v>
          </cell>
          <cell r="R958" t="str">
            <v>VICERRECTORÍA DE DESARROLLO ESTUDIANTIL</v>
          </cell>
          <cell r="S958" t="str">
            <v>DIRECCIÓN DE BIENESTAR ESTUDIANTIL</v>
          </cell>
        </row>
        <row r="959">
          <cell r="A959">
            <v>16283069</v>
          </cell>
          <cell r="B959" t="str">
            <v>16283069</v>
          </cell>
          <cell r="C959" t="str">
            <v>4</v>
          </cell>
          <cell r="D959" t="str">
            <v>FUENTES SALCEDO FRANCISCO ANDR</v>
          </cell>
          <cell r="E959" t="str">
            <v>FCI320004</v>
          </cell>
          <cell r="F959">
            <v>44</v>
          </cell>
          <cell r="G959">
            <v>30</v>
          </cell>
          <cell r="H959" t="str">
            <v>FRANCISCOFUENTES@UTALCA.CL</v>
          </cell>
          <cell r="I959">
            <v>43556</v>
          </cell>
          <cell r="J959">
            <v>46446</v>
          </cell>
          <cell r="K959" t="str">
            <v>CONTRATA</v>
          </cell>
          <cell r="L959" t="str">
            <v>CA DOCENTE</v>
          </cell>
          <cell r="M959" t="str">
            <v>INSTRUCTOR</v>
          </cell>
          <cell r="N959" t="str">
            <v>GRADO D</v>
          </cell>
          <cell r="O959" t="str">
            <v>MAGISTER</v>
          </cell>
          <cell r="P959" t="str">
            <v>MAGISTER EN GESTIÓN DE ACTIVOS Y MANTENIMIENT</v>
          </cell>
          <cell r="Q959" t="str">
            <v>CURICO</v>
          </cell>
          <cell r="R959" t="str">
            <v>FACULTAD DE INGENIERÍA</v>
          </cell>
          <cell r="S959" t="str">
            <v>DEPARTAMENTO DE TECNOLOGÍA INDUSTRIALES</v>
          </cell>
        </row>
        <row r="960">
          <cell r="A960">
            <v>16289767</v>
          </cell>
          <cell r="B960" t="str">
            <v>16289767</v>
          </cell>
          <cell r="C960" t="str">
            <v>5</v>
          </cell>
          <cell r="D960" t="str">
            <v>HERNANDEZ HERNANDEZ ANA PATRIC</v>
          </cell>
          <cell r="E960" t="str">
            <v>VDE400011</v>
          </cell>
          <cell r="F960">
            <v>44</v>
          </cell>
          <cell r="G960">
            <v>30</v>
          </cell>
          <cell r="H960" t="str">
            <v>AHERNANDEZ@UTALCA.CL</v>
          </cell>
          <cell r="I960">
            <v>40544</v>
          </cell>
          <cell r="J960">
            <v>46387</v>
          </cell>
          <cell r="K960" t="str">
            <v>CONTRATA</v>
          </cell>
          <cell r="L960" t="str">
            <v>TÉCNICO</v>
          </cell>
          <cell r="M960" t="str">
            <v>TÉCNICO</v>
          </cell>
          <cell r="N960" t="str">
            <v>GRADO I.21</v>
          </cell>
          <cell r="O960" t="str">
            <v>TÉC. NIVEL SUPERIOR</v>
          </cell>
          <cell r="P960" t="str">
            <v>TÉCNICO DE NIVEL SUPERIOR EN ENFERMERÍA CON M</v>
          </cell>
          <cell r="Q960" t="str">
            <v>CURICO</v>
          </cell>
          <cell r="R960" t="str">
            <v>VICERRECTORÍA DE DESARROLLO ESTUDIANTIL</v>
          </cell>
          <cell r="S960" t="str">
            <v>DIRECCIÓN DE SALUD ESTUDIANTIL</v>
          </cell>
        </row>
        <row r="961">
          <cell r="A961">
            <v>16290468</v>
          </cell>
          <cell r="B961" t="str">
            <v>16290468</v>
          </cell>
          <cell r="C961" t="str">
            <v>K</v>
          </cell>
          <cell r="D961" t="str">
            <v>CONTRERAS SAN MARTIN BAVIERA S</v>
          </cell>
          <cell r="E961" t="str">
            <v>VGE400005</v>
          </cell>
          <cell r="F961">
            <v>44</v>
          </cell>
          <cell r="G961">
            <v>30</v>
          </cell>
          <cell r="H961" t="str">
            <v>BACONTRERAS@UTALCA.CL</v>
          </cell>
          <cell r="I961">
            <v>43466</v>
          </cell>
          <cell r="J961">
            <v>46387</v>
          </cell>
          <cell r="K961" t="str">
            <v>CONTRATA</v>
          </cell>
          <cell r="L961" t="str">
            <v>ADMINISTRATIVO</v>
          </cell>
          <cell r="M961" t="str">
            <v>ADMINISTRATIVO</v>
          </cell>
          <cell r="N961" t="str">
            <v>GRADO I.21</v>
          </cell>
          <cell r="O961" t="str">
            <v>TÍTULO PROFESIONAL</v>
          </cell>
          <cell r="P961" t="str">
            <v>ABOGADO</v>
          </cell>
          <cell r="Q961" t="str">
            <v>TALCA</v>
          </cell>
          <cell r="R961" t="str">
            <v>VIC. GESTIÓN ECONÓMICA Y ADMINISTRACIÓN</v>
          </cell>
          <cell r="S961" t="str">
            <v>DEPARTAMENTO DE GESTIÓN DE COMPRAS</v>
          </cell>
        </row>
        <row r="962">
          <cell r="A962">
            <v>16290846</v>
          </cell>
          <cell r="B962" t="str">
            <v>16290846</v>
          </cell>
          <cell r="C962" t="str">
            <v>4</v>
          </cell>
          <cell r="D962" t="str">
            <v>OLIVOS PEREZ AMBROSIO CARLOS</v>
          </cell>
          <cell r="E962" t="str">
            <v>FCI320004</v>
          </cell>
          <cell r="F962">
            <v>44</v>
          </cell>
          <cell r="G962">
            <v>30</v>
          </cell>
          <cell r="H962" t="str">
            <v>AOLIVOS@UTALCA.CL</v>
          </cell>
          <cell r="I962">
            <v>42430</v>
          </cell>
          <cell r="J962">
            <v>46446</v>
          </cell>
          <cell r="K962" t="str">
            <v>CONTRATA</v>
          </cell>
          <cell r="L962" t="str">
            <v>CA DOCENTE</v>
          </cell>
          <cell r="M962" t="str">
            <v>INSTRUCTOR</v>
          </cell>
          <cell r="N962" t="str">
            <v>GRADO D</v>
          </cell>
          <cell r="O962" t="str">
            <v>MAGISTER</v>
          </cell>
          <cell r="P962" t="str">
            <v>MAGÍSTER EN CIENCIAS DE LA INGENIERÍA</v>
          </cell>
          <cell r="Q962" t="str">
            <v>CURICO</v>
          </cell>
          <cell r="R962" t="str">
            <v>FACULTAD DE INGENIERÍA</v>
          </cell>
          <cell r="S962" t="str">
            <v>DEPARTAMENTO DE TECNOLOGÍA INDUSTRIALES</v>
          </cell>
        </row>
        <row r="963">
          <cell r="A963">
            <v>16292862</v>
          </cell>
          <cell r="B963" t="str">
            <v>16292862</v>
          </cell>
          <cell r="C963" t="str">
            <v>7</v>
          </cell>
          <cell r="D963" t="str">
            <v>CANALES ARAVENA EDUARDO ANTONI</v>
          </cell>
          <cell r="E963" t="str">
            <v>FOD310001</v>
          </cell>
          <cell r="F963">
            <v>44</v>
          </cell>
          <cell r="G963">
            <v>30</v>
          </cell>
          <cell r="H963" t="str">
            <v>ECANALES@UTALCA.CL</v>
          </cell>
          <cell r="I963">
            <v>42795</v>
          </cell>
          <cell r="J963">
            <v>46446</v>
          </cell>
          <cell r="K963" t="str">
            <v>CONTRATA</v>
          </cell>
          <cell r="L963" t="str">
            <v>CA DOCENTE</v>
          </cell>
          <cell r="M963" t="str">
            <v>INSTRUCTOR</v>
          </cell>
          <cell r="N963" t="str">
            <v>GRADO D</v>
          </cell>
          <cell r="O963" t="str">
            <v>MAGISTER</v>
          </cell>
          <cell r="P963" t="str">
            <v>MAGÍSTER EN GERENCIA Y GESTIÓN PÚBLICA</v>
          </cell>
          <cell r="Q963" t="str">
            <v>TALCA</v>
          </cell>
          <cell r="R963" t="str">
            <v>FACULTAD DE ODONTOLOGÍA</v>
          </cell>
          <cell r="S963" t="str">
            <v>ESCUELA DE ODONTOLOGÍA</v>
          </cell>
        </row>
        <row r="964">
          <cell r="A964">
            <v>16294026</v>
          </cell>
          <cell r="B964" t="str">
            <v>16294026</v>
          </cell>
          <cell r="C964" t="str">
            <v>0</v>
          </cell>
          <cell r="D964" t="str">
            <v>LOYOLA MATAMALA CAROLINA ESTEF</v>
          </cell>
          <cell r="E964" t="str">
            <v>FCS310002</v>
          </cell>
          <cell r="F964">
            <v>44</v>
          </cell>
          <cell r="G964">
            <v>30</v>
          </cell>
          <cell r="H964" t="str">
            <v>CAROLINA.LOYOLA@UTALCA.CL</v>
          </cell>
          <cell r="I964">
            <v>44197</v>
          </cell>
          <cell r="J964">
            <v>46387</v>
          </cell>
          <cell r="K964" t="str">
            <v>CONTRATA</v>
          </cell>
          <cell r="L964" t="str">
            <v>ADMINISTRATIVO</v>
          </cell>
          <cell r="M964" t="str">
            <v>ADMINISTRATIVO</v>
          </cell>
          <cell r="N964" t="str">
            <v>GRADO I.21</v>
          </cell>
          <cell r="O964" t="str">
            <v>TÉC. NIVEL MEDIO</v>
          </cell>
          <cell r="P964" t="str">
            <v>SECRETARIADO</v>
          </cell>
          <cell r="Q964" t="str">
            <v>TALCA</v>
          </cell>
          <cell r="R964" t="str">
            <v>FACULTAD DE CIENCIAS DE LA SALUD</v>
          </cell>
          <cell r="S964" t="str">
            <v>ESCUELA DE TECNOLOGÍA MÉDICA</v>
          </cell>
        </row>
        <row r="965">
          <cell r="A965">
            <v>16294065</v>
          </cell>
          <cell r="B965" t="str">
            <v>16294065</v>
          </cell>
          <cell r="C965" t="str">
            <v>1</v>
          </cell>
          <cell r="D965" t="str">
            <v>VERGARA CISTERNAS RODRIGO ALEJ</v>
          </cell>
          <cell r="E965" t="str">
            <v/>
          </cell>
          <cell r="F965">
            <v>40</v>
          </cell>
          <cell r="G965">
            <v>30</v>
          </cell>
          <cell r="H965" t="str">
            <v>R.VERGARA@UTALCA.CL</v>
          </cell>
          <cell r="I965">
            <v>43647</v>
          </cell>
          <cell r="J965">
            <v>2958465</v>
          </cell>
          <cell r="K965" t="str">
            <v>PLANTA</v>
          </cell>
          <cell r="L965" t="str">
            <v>PROFESIONAL</v>
          </cell>
          <cell r="M965" t="str">
            <v>DIR EXCLU. CONFIANZA</v>
          </cell>
          <cell r="N965" t="str">
            <v>GRADO I.8</v>
          </cell>
          <cell r="O965" t="str">
            <v>MAGISTER</v>
          </cell>
          <cell r="P965" t="str">
            <v>MAGÍSTER EN GESTIÓN DE OPERACIONES</v>
          </cell>
          <cell r="Q965" t="str">
            <v>CURICO</v>
          </cell>
          <cell r="R965" t="str">
            <v>FACULTAD DE INGENIERÍA</v>
          </cell>
          <cell r="S965" t="str">
            <v>FACULTAD DE INGENIERÍA</v>
          </cell>
        </row>
        <row r="966">
          <cell r="A966">
            <v>16294313</v>
          </cell>
          <cell r="B966" t="str">
            <v>16294313</v>
          </cell>
          <cell r="C966" t="str">
            <v>8</v>
          </cell>
          <cell r="D966" t="str">
            <v>YAÑEZ ASTUDILLO FRANCISCO EDUA</v>
          </cell>
          <cell r="E966" t="str">
            <v>FAD310004</v>
          </cell>
          <cell r="F966">
            <v>44</v>
          </cell>
          <cell r="G966">
            <v>30</v>
          </cell>
          <cell r="H966" t="str">
            <v>FRYANEZ@UTALCA.CL</v>
          </cell>
          <cell r="I966">
            <v>43466</v>
          </cell>
          <cell r="J966">
            <v>46387</v>
          </cell>
          <cell r="K966" t="str">
            <v>CONTRATA</v>
          </cell>
          <cell r="L966" t="str">
            <v>ADMINISTRATIVO</v>
          </cell>
          <cell r="M966" t="str">
            <v>ADMINISTRATIVO</v>
          </cell>
          <cell r="N966" t="str">
            <v>GRADO I.21</v>
          </cell>
          <cell r="O966" t="str">
            <v>ESCOLARIDAD CIENT HU</v>
          </cell>
          <cell r="P966" t="str">
            <v>LICENCIA ENSEÑANZA MEDIA</v>
          </cell>
          <cell r="Q966" t="str">
            <v>TALCA</v>
          </cell>
          <cell r="R966" t="str">
            <v>FACULTAD DE ARQUITECTUR, MÚSICA Y DISEÑO</v>
          </cell>
          <cell r="S966" t="str">
            <v>ESCUELA DE MÚSICA</v>
          </cell>
        </row>
        <row r="967">
          <cell r="A967">
            <v>16294778</v>
          </cell>
          <cell r="B967" t="str">
            <v>16294778</v>
          </cell>
          <cell r="C967" t="str">
            <v>8</v>
          </cell>
          <cell r="D967" t="str">
            <v>JARA ALMUNA JUAN JOSE</v>
          </cell>
          <cell r="E967" t="str">
            <v>FED310002</v>
          </cell>
          <cell r="F967">
            <v>44</v>
          </cell>
          <cell r="G967">
            <v>30</v>
          </cell>
          <cell r="H967" t="str">
            <v>JUANJARA@UTALCA.CL</v>
          </cell>
          <cell r="I967">
            <v>43466</v>
          </cell>
          <cell r="J967">
            <v>46446</v>
          </cell>
          <cell r="K967" t="str">
            <v>CONTRATA</v>
          </cell>
          <cell r="L967" t="str">
            <v>CA DOCENTE</v>
          </cell>
          <cell r="M967" t="str">
            <v>INSTRUCTOR</v>
          </cell>
          <cell r="N967" t="str">
            <v>GRADO D</v>
          </cell>
          <cell r="O967" t="str">
            <v>MAGISTER</v>
          </cell>
          <cell r="P967" t="str">
            <v>MAGÍSTER EN LINGÜISTICA CON MENCIÓN EN LINGÜI</v>
          </cell>
          <cell r="Q967" t="str">
            <v>LINARES</v>
          </cell>
          <cell r="R967" t="str">
            <v>FACULTAD DE CIENCIAS DE LA EDUCACIÓN</v>
          </cell>
          <cell r="S967" t="str">
            <v>ESCUELA DE PEDAGOGÍA EN INGLÉS</v>
          </cell>
        </row>
        <row r="968">
          <cell r="A968">
            <v>16298026</v>
          </cell>
          <cell r="B968" t="str">
            <v>16298026</v>
          </cell>
          <cell r="C968" t="str">
            <v>2</v>
          </cell>
          <cell r="D968" t="str">
            <v>ARELLANO ARRIAGADA ALVARO IGNA</v>
          </cell>
          <cell r="E968" t="str">
            <v>FOD310001</v>
          </cell>
          <cell r="F968">
            <v>44</v>
          </cell>
          <cell r="G968">
            <v>30</v>
          </cell>
          <cell r="H968" t="str">
            <v>ALARELLANO@UTALCA.CL</v>
          </cell>
          <cell r="I968">
            <v>44197</v>
          </cell>
          <cell r="J968">
            <v>46446</v>
          </cell>
          <cell r="K968" t="str">
            <v>CONTRATA</v>
          </cell>
          <cell r="L968" t="str">
            <v>CA DOCENTE</v>
          </cell>
          <cell r="M968" t="str">
            <v>INSTRUCTOR</v>
          </cell>
          <cell r="N968" t="str">
            <v>GRADO D</v>
          </cell>
          <cell r="O968" t="str">
            <v>MAGISTER</v>
          </cell>
          <cell r="P968" t="str">
            <v>MAGISTER EN PEDAGOGIA UNIVERSITARIA</v>
          </cell>
          <cell r="Q968" t="str">
            <v>TALCA</v>
          </cell>
          <cell r="R968" t="str">
            <v>FACULTAD DE ODONTOLOGÍA</v>
          </cell>
          <cell r="S968" t="str">
            <v>ESCUELA DE ODONTOLOGÍA</v>
          </cell>
        </row>
        <row r="969">
          <cell r="A969">
            <v>16298160</v>
          </cell>
          <cell r="B969" t="str">
            <v>16298160</v>
          </cell>
          <cell r="C969" t="str">
            <v>9</v>
          </cell>
          <cell r="D969" t="str">
            <v>BESOAIN PINO FELIPE ANDRES</v>
          </cell>
          <cell r="E969" t="str">
            <v>FCI320009</v>
          </cell>
          <cell r="F969">
            <v>44</v>
          </cell>
          <cell r="G969">
            <v>30</v>
          </cell>
          <cell r="H969" t="str">
            <v>FBESOAIN@UTALCA.CL</v>
          </cell>
          <cell r="I969">
            <v>41275</v>
          </cell>
          <cell r="J969">
            <v>46151</v>
          </cell>
          <cell r="K969" t="str">
            <v>PLANTA</v>
          </cell>
          <cell r="L969" t="str">
            <v>CA ORDINARIA</v>
          </cell>
          <cell r="M969" t="str">
            <v>PROFESOR ASISTENTE</v>
          </cell>
          <cell r="N969" t="str">
            <v>GRADO C</v>
          </cell>
          <cell r="O969" t="str">
            <v>DOCTORADO</v>
          </cell>
          <cell r="P969" t="str">
            <v>DOCTORADO EN TECNOLOGÍAS DE LA INFORMACIÓN Y</v>
          </cell>
          <cell r="Q969" t="str">
            <v>TALCA</v>
          </cell>
          <cell r="R969" t="str">
            <v>FACULTAD DE INGENIERÍA</v>
          </cell>
          <cell r="S969" t="str">
            <v>DPTO. VISUALI. INTERACTIVA Y REA.VIRTUAL</v>
          </cell>
        </row>
        <row r="970">
          <cell r="A970">
            <v>16298280</v>
          </cell>
          <cell r="B970" t="str">
            <v>16298280</v>
          </cell>
          <cell r="C970" t="str">
            <v>K</v>
          </cell>
          <cell r="D970" t="str">
            <v>MARTINEZ MONDACA NATALIA ARACE</v>
          </cell>
          <cell r="E970" t="str">
            <v>VRF400009</v>
          </cell>
          <cell r="F970">
            <v>44</v>
          </cell>
          <cell r="G970">
            <v>30</v>
          </cell>
          <cell r="H970" t="str">
            <v>NMARTINEZ@UTALCA.CL</v>
          </cell>
          <cell r="I970">
            <v>43466</v>
          </cell>
          <cell r="J970">
            <v>46446</v>
          </cell>
          <cell r="K970" t="str">
            <v>CONTRATA</v>
          </cell>
          <cell r="L970" t="str">
            <v>CA DOCENTE</v>
          </cell>
          <cell r="M970" t="str">
            <v>INSTRUCTOR</v>
          </cell>
          <cell r="N970" t="str">
            <v>GRADO D</v>
          </cell>
          <cell r="O970" t="str">
            <v>MAGISTER</v>
          </cell>
          <cell r="P970" t="str">
            <v>MAGÍSTER EN POLÍTICA Y GESTIÓN EDUCACIONAL</v>
          </cell>
          <cell r="Q970" t="str">
            <v>TALCA</v>
          </cell>
          <cell r="R970" t="str">
            <v>DIRECCIÓN DE PREGRADO</v>
          </cell>
          <cell r="S970" t="str">
            <v>PROGRAMA DE FORMACIÓN FUNDAMENTAL</v>
          </cell>
        </row>
        <row r="971">
          <cell r="A971">
            <v>16298307</v>
          </cell>
          <cell r="B971" t="str">
            <v>16298307</v>
          </cell>
          <cell r="C971" t="str">
            <v>5</v>
          </cell>
          <cell r="D971" t="str">
            <v>SAAVEDRA SAAVEDRA CAROL STEFAN</v>
          </cell>
          <cell r="E971" t="str">
            <v/>
          </cell>
          <cell r="F971">
            <v>44</v>
          </cell>
          <cell r="G971">
            <v>30</v>
          </cell>
          <cell r="H971" t="str">
            <v>CAROLSAAVEDRA@UTALCA.CL</v>
          </cell>
          <cell r="I971">
            <v>44927</v>
          </cell>
          <cell r="J971">
            <v>46387</v>
          </cell>
          <cell r="K971" t="str">
            <v>CONTRATA</v>
          </cell>
          <cell r="L971" t="str">
            <v>ADMINISTRATIVO</v>
          </cell>
          <cell r="M971" t="str">
            <v>ADMINISTRATIVO</v>
          </cell>
          <cell r="N971" t="str">
            <v>GRADO I.21</v>
          </cell>
          <cell r="O971" t="str">
            <v>ESCOLARIDAD CIENT HU</v>
          </cell>
          <cell r="P971" t="str">
            <v>TECNICO PROFESIONAL - LICENCIA ENSEÑANZA MEDI</v>
          </cell>
          <cell r="Q971" t="str">
            <v>TALCA</v>
          </cell>
          <cell r="R971" t="str">
            <v>FACULTAD DE ODONTOLOGÍA</v>
          </cell>
          <cell r="S971" t="str">
            <v>CLÍNICAS ODONTOLÓGICAS</v>
          </cell>
        </row>
        <row r="972">
          <cell r="A972">
            <v>16298359</v>
          </cell>
          <cell r="B972" t="str">
            <v>16298359</v>
          </cell>
          <cell r="C972" t="str">
            <v>8</v>
          </cell>
          <cell r="D972" t="str">
            <v>VALDES ESPINOZA ANDREA VALESKA</v>
          </cell>
          <cell r="E972" t="str">
            <v>VDE400009</v>
          </cell>
          <cell r="F972">
            <v>44</v>
          </cell>
          <cell r="G972">
            <v>30</v>
          </cell>
          <cell r="H972" t="str">
            <v>ANVALDES@UTALCA.CL</v>
          </cell>
          <cell r="I972">
            <v>43466</v>
          </cell>
          <cell r="J972">
            <v>46387</v>
          </cell>
          <cell r="K972" t="str">
            <v>CONTRATA</v>
          </cell>
          <cell r="L972" t="str">
            <v>PROFESIONAL</v>
          </cell>
          <cell r="M972" t="str">
            <v>PROFESIONAL</v>
          </cell>
          <cell r="N972" t="str">
            <v>GRADO I.17</v>
          </cell>
          <cell r="O972" t="str">
            <v>TÍTULO PROFESIONAL</v>
          </cell>
          <cell r="P972" t="str">
            <v>ENFERMERA</v>
          </cell>
          <cell r="Q972" t="str">
            <v>TALCA</v>
          </cell>
          <cell r="R972" t="str">
            <v>VICERRECTORÍA DE DESARROLLO ESTUDIANTIL</v>
          </cell>
          <cell r="S972" t="str">
            <v>DIRECCIÓN DE SALUD ESTUDIANTIL</v>
          </cell>
        </row>
        <row r="973">
          <cell r="A973">
            <v>16298661</v>
          </cell>
          <cell r="B973" t="str">
            <v>16298661</v>
          </cell>
          <cell r="C973" t="str">
            <v>9</v>
          </cell>
          <cell r="D973" t="str">
            <v>RAMIREZ VASQUEZ SERGIO ANTONIO</v>
          </cell>
          <cell r="E973" t="str">
            <v>ADC021005</v>
          </cell>
          <cell r="F973">
            <v>44</v>
          </cell>
          <cell r="G973">
            <v>30</v>
          </cell>
          <cell r="H973" t="str">
            <v>SERAMIREZ@UTALCA.CL</v>
          </cell>
          <cell r="I973">
            <v>43466</v>
          </cell>
          <cell r="J973">
            <v>46387</v>
          </cell>
          <cell r="K973" t="str">
            <v>CONTRATA</v>
          </cell>
          <cell r="L973" t="str">
            <v>ADMINISTRATIVO</v>
          </cell>
          <cell r="M973" t="str">
            <v>ADMINISTRATIVO</v>
          </cell>
          <cell r="N973" t="str">
            <v>GRADO I.21</v>
          </cell>
          <cell r="O973" t="str">
            <v>TÉC. NIVEL SUPERIOR</v>
          </cell>
          <cell r="P973" t="str">
            <v>COMUNICADOR AUDIOVISUAL</v>
          </cell>
          <cell r="Q973" t="str">
            <v>TALCA</v>
          </cell>
          <cell r="R973" t="str">
            <v>DIRECCIÓN DE COMUNICACIONES CORPORATIVAS</v>
          </cell>
          <cell r="S973" t="str">
            <v>DPTO. DE COMUNICACIÓN EXTERNA Y MEDIOS</v>
          </cell>
        </row>
        <row r="974">
          <cell r="A974">
            <v>16298715</v>
          </cell>
          <cell r="B974" t="str">
            <v>16298715</v>
          </cell>
          <cell r="C974" t="str">
            <v>1</v>
          </cell>
          <cell r="D974" t="str">
            <v>FRAILE MUÑOZ MARLENNE IRENE</v>
          </cell>
          <cell r="E974" t="str">
            <v>FAM200001</v>
          </cell>
          <cell r="F974">
            <v>44</v>
          </cell>
          <cell r="G974">
            <v>30</v>
          </cell>
          <cell r="H974" t="str">
            <v>MARLENNE.FRAILE@GMAIL.COM</v>
          </cell>
          <cell r="I974">
            <v>45413</v>
          </cell>
          <cell r="J974">
            <v>46387</v>
          </cell>
          <cell r="K974" t="str">
            <v>CONTRATA</v>
          </cell>
          <cell r="L974" t="str">
            <v>PROFESIONAL</v>
          </cell>
          <cell r="M974" t="str">
            <v>PROFESIONAL</v>
          </cell>
          <cell r="N974" t="str">
            <v>GRADO I.17</v>
          </cell>
          <cell r="O974" t="str">
            <v>MAGISTER</v>
          </cell>
          <cell r="P974" t="str">
            <v>MAGISTER EN EDUCACION DE LAS CIENCIAS CON MEN</v>
          </cell>
          <cell r="Q974" t="str">
            <v>TALCA</v>
          </cell>
          <cell r="R974" t="str">
            <v>FACULTAD DE MEDICINA</v>
          </cell>
          <cell r="S974" t="str">
            <v>FACULTAD DE MEDICINA</v>
          </cell>
        </row>
        <row r="975">
          <cell r="A975">
            <v>16299001</v>
          </cell>
          <cell r="B975" t="str">
            <v>16299001</v>
          </cell>
          <cell r="C975" t="str">
            <v>2</v>
          </cell>
          <cell r="D975" t="str">
            <v>REYES BASTIAS CONSTANZA JAVIER</v>
          </cell>
          <cell r="E975" t="str">
            <v>FEN310002</v>
          </cell>
          <cell r="F975">
            <v>44</v>
          </cell>
          <cell r="G975">
            <v>30</v>
          </cell>
          <cell r="H975" t="str">
            <v>COREYES@UTALCA.CL</v>
          </cell>
          <cell r="I975">
            <v>45078</v>
          </cell>
          <cell r="J975">
            <v>46446</v>
          </cell>
          <cell r="K975" t="str">
            <v>CONTRATA</v>
          </cell>
          <cell r="L975" t="str">
            <v>CA DOCENTE</v>
          </cell>
          <cell r="M975" t="str">
            <v>INSTRUCTOR</v>
          </cell>
          <cell r="N975" t="str">
            <v>GRADO D</v>
          </cell>
          <cell r="O975" t="str">
            <v>MAGISTER</v>
          </cell>
          <cell r="P975" t="str">
            <v>MASTER OF PHILOSOPHY</v>
          </cell>
          <cell r="Q975" t="str">
            <v>TALCA</v>
          </cell>
          <cell r="R975" t="str">
            <v>FACULTAD DE ECONOMÍA Y NEGOCIOS</v>
          </cell>
          <cell r="S975" t="str">
            <v>ESC. DE ING. INFORMÁTICA EMPRESARIAL</v>
          </cell>
        </row>
        <row r="976">
          <cell r="A976">
            <v>16299114</v>
          </cell>
          <cell r="B976" t="str">
            <v>16299114</v>
          </cell>
          <cell r="C976" t="str">
            <v>0</v>
          </cell>
          <cell r="D976" t="str">
            <v>MOSCOSO DOMINGUEZ MANUEL  ALEJ</v>
          </cell>
          <cell r="E976" t="str">
            <v>VRF400062</v>
          </cell>
          <cell r="F976">
            <v>44</v>
          </cell>
          <cell r="G976">
            <v>30</v>
          </cell>
          <cell r="H976" t="str">
            <v>MMOSCOSO@UTALCA.CL</v>
          </cell>
          <cell r="I976">
            <v>45536</v>
          </cell>
          <cell r="J976">
            <v>46387</v>
          </cell>
          <cell r="K976" t="str">
            <v>CONTRATA</v>
          </cell>
          <cell r="L976" t="str">
            <v>PROFESIONAL</v>
          </cell>
          <cell r="M976" t="str">
            <v>PROFESIONAL</v>
          </cell>
          <cell r="N976" t="str">
            <v>GRADO I.17</v>
          </cell>
          <cell r="O976" t="str">
            <v>MAGISTER</v>
          </cell>
          <cell r="P976" t="str">
            <v>MASTER UNIVERSITARIO EN SOFTWARE LIBRE</v>
          </cell>
          <cell r="Q976" t="str">
            <v>TALCA</v>
          </cell>
          <cell r="R976" t="str">
            <v>VICERRECTORÍA DE FORMACIÓN</v>
          </cell>
          <cell r="S976" t="str">
            <v>UNIDAD DE APLICACIONES</v>
          </cell>
        </row>
        <row r="977">
          <cell r="A977">
            <v>16299229</v>
          </cell>
          <cell r="B977" t="str">
            <v>16299229</v>
          </cell>
          <cell r="C977" t="str">
            <v>5</v>
          </cell>
          <cell r="D977" t="str">
            <v>PIZARRO BRIONES JEANNETTE MACA</v>
          </cell>
          <cell r="E977" t="str">
            <v>FCS200001</v>
          </cell>
          <cell r="F977">
            <v>44</v>
          </cell>
          <cell r="G977">
            <v>30</v>
          </cell>
          <cell r="H977" t="str">
            <v>JEPIZARRO@UTALCA.CL</v>
          </cell>
          <cell r="I977">
            <v>43831</v>
          </cell>
          <cell r="J977">
            <v>46387</v>
          </cell>
          <cell r="K977" t="str">
            <v>CONTRATA</v>
          </cell>
          <cell r="L977" t="str">
            <v>ADMINISTRATIVO</v>
          </cell>
          <cell r="M977" t="str">
            <v>ADMINISTRATIVO</v>
          </cell>
          <cell r="N977" t="str">
            <v>GRADO I.21</v>
          </cell>
          <cell r="O977" t="str">
            <v>TÉC. NIVEL SUPERIOR</v>
          </cell>
          <cell r="P977" t="str">
            <v>PROGRAMADOR DE COMPUTADORES</v>
          </cell>
          <cell r="Q977" t="str">
            <v>TALCA</v>
          </cell>
          <cell r="R977" t="str">
            <v>FACULTAD DE CIENCIAS DE LA SALUD</v>
          </cell>
          <cell r="S977" t="str">
            <v>FACULTAD DE CIENCIAS DE LA SALUD</v>
          </cell>
        </row>
        <row r="978">
          <cell r="A978">
            <v>16299343</v>
          </cell>
          <cell r="B978" t="str">
            <v>16299343</v>
          </cell>
          <cell r="C978" t="str">
            <v>7</v>
          </cell>
          <cell r="D978" t="str">
            <v>JOFRE MORENO ALEJANDRO ARIEL</v>
          </cell>
          <cell r="E978" t="str">
            <v>FCI320007</v>
          </cell>
          <cell r="F978">
            <v>44</v>
          </cell>
          <cell r="G978">
            <v>30</v>
          </cell>
          <cell r="H978" t="str">
            <v>ALEJANDRO.JOFRE@UTALCA.CL</v>
          </cell>
          <cell r="I978">
            <v>43678</v>
          </cell>
          <cell r="J978">
            <v>46446</v>
          </cell>
          <cell r="K978" t="str">
            <v>CONTRATA</v>
          </cell>
          <cell r="L978" t="str">
            <v>CA DOCENTE</v>
          </cell>
          <cell r="M978" t="str">
            <v>INSTRUCTOR</v>
          </cell>
          <cell r="N978" t="str">
            <v>GRADO D</v>
          </cell>
          <cell r="O978" t="str">
            <v>MAGISTER</v>
          </cell>
          <cell r="P978" t="str">
            <v>MAGISTER EN INGENIERIA INDUSTRIAL MENCION EN</v>
          </cell>
          <cell r="Q978" t="str">
            <v>CURICO</v>
          </cell>
          <cell r="R978" t="str">
            <v>FACULTAD DE INGENIERÍA</v>
          </cell>
          <cell r="S978" t="str">
            <v>DEPARTAMENTO DE INGENIERÍA ELÉCTRICA</v>
          </cell>
        </row>
        <row r="979">
          <cell r="A979">
            <v>16302264</v>
          </cell>
          <cell r="B979" t="str">
            <v>16302264</v>
          </cell>
          <cell r="C979" t="str">
            <v>8</v>
          </cell>
          <cell r="D979" t="str">
            <v>PLAZA MUÑOZ DAVID  RICARDO</v>
          </cell>
          <cell r="E979" t="str">
            <v>IMF300001</v>
          </cell>
          <cell r="F979">
            <v>44</v>
          </cell>
          <cell r="G979">
            <v>30</v>
          </cell>
          <cell r="H979" t="str">
            <v>DPLAZA@UTALCA.CL</v>
          </cell>
          <cell r="I979">
            <v>42736</v>
          </cell>
          <cell r="J979">
            <v>2958465</v>
          </cell>
          <cell r="K979" t="str">
            <v>PLANTA</v>
          </cell>
          <cell r="L979" t="str">
            <v>CA ORDINARIA</v>
          </cell>
          <cell r="M979" t="str">
            <v>PROFESOR ASOCIADO</v>
          </cell>
          <cell r="N979" t="str">
            <v>GRADO B</v>
          </cell>
          <cell r="O979" t="str">
            <v>DOCTORADO</v>
          </cell>
          <cell r="P979" t="str">
            <v>DOCTOR EN MATEMATICAS</v>
          </cell>
          <cell r="Q979" t="str">
            <v>TALCA</v>
          </cell>
          <cell r="R979" t="str">
            <v>INSTITUTO DE MATEMÁTICAS</v>
          </cell>
          <cell r="S979" t="str">
            <v>INSTITUTO DE MATEMÁTICAS</v>
          </cell>
        </row>
        <row r="980">
          <cell r="A980">
            <v>16335038</v>
          </cell>
          <cell r="B980" t="str">
            <v>16335038</v>
          </cell>
          <cell r="C980" t="str">
            <v>6</v>
          </cell>
          <cell r="D980" t="str">
            <v>ROJAS COTAL JONATHAN ALEJANDRO</v>
          </cell>
          <cell r="E980" t="str">
            <v>ADC021005</v>
          </cell>
          <cell r="F980">
            <v>44</v>
          </cell>
          <cell r="G980">
            <v>30</v>
          </cell>
          <cell r="H980" t="str">
            <v>JONATHANROJAS@UTALCA.CL</v>
          </cell>
          <cell r="I980">
            <v>44197</v>
          </cell>
          <cell r="J980">
            <v>46387</v>
          </cell>
          <cell r="K980" t="str">
            <v>CONTRATA</v>
          </cell>
          <cell r="L980" t="str">
            <v>PROFESIONAL</v>
          </cell>
          <cell r="M980" t="str">
            <v>PROFESIONAL</v>
          </cell>
          <cell r="N980" t="str">
            <v>GRADO I.17</v>
          </cell>
          <cell r="O980" t="str">
            <v>TÉC. NIVEL SUPERIOR</v>
          </cell>
          <cell r="P980" t="str">
            <v>COMUNICADOR AUDIOVISUAL DIGITAL</v>
          </cell>
          <cell r="Q980" t="str">
            <v>TALCA</v>
          </cell>
          <cell r="R980" t="str">
            <v>DIRECCIÓN DE COMUNICACIONES CORPORATIVAS</v>
          </cell>
          <cell r="S980" t="str">
            <v>DPTO. DE COMUNICACIÓN EXTERNA Y MEDIOS</v>
          </cell>
        </row>
        <row r="981">
          <cell r="A981">
            <v>16336754</v>
          </cell>
          <cell r="B981" t="str">
            <v>16336754</v>
          </cell>
          <cell r="C981" t="str">
            <v>8</v>
          </cell>
          <cell r="D981" t="str">
            <v>ARELLANO IBAR CARLA ARLETTE</v>
          </cell>
          <cell r="E981" t="str">
            <v>VRF400003</v>
          </cell>
          <cell r="F981">
            <v>44</v>
          </cell>
          <cell r="G981">
            <v>30</v>
          </cell>
          <cell r="H981" t="str">
            <v>CARELLANO@UTALCA.CL</v>
          </cell>
          <cell r="I981">
            <v>43101</v>
          </cell>
          <cell r="J981">
            <v>46387</v>
          </cell>
          <cell r="K981" t="str">
            <v>CONTRATA</v>
          </cell>
          <cell r="L981" t="str">
            <v>DIR NORMAS PROPIAS</v>
          </cell>
          <cell r="M981" t="str">
            <v>PROFESIONAL</v>
          </cell>
          <cell r="N981" t="str">
            <v>GRADO I.17</v>
          </cell>
          <cell r="O981" t="str">
            <v>TÍTULO PROFESIONAL</v>
          </cell>
          <cell r="P981" t="str">
            <v>PSICOLOGO</v>
          </cell>
          <cell r="Q981" t="str">
            <v>TALCA</v>
          </cell>
          <cell r="R981" t="str">
            <v>VICERRECTORÍA DE FORMACIÓN</v>
          </cell>
          <cell r="S981" t="str">
            <v>UN. DE ACOMPAÑAMIENTO ESTUDIANTIL (CIMA)</v>
          </cell>
        </row>
        <row r="982">
          <cell r="A982">
            <v>16336782</v>
          </cell>
          <cell r="B982" t="str">
            <v>16336782</v>
          </cell>
          <cell r="C982" t="str">
            <v>3</v>
          </cell>
          <cell r="D982" t="str">
            <v>UBAL RIVAS GONZALO MATIAS</v>
          </cell>
          <cell r="E982" t="str">
            <v>ADC030185</v>
          </cell>
          <cell r="F982">
            <v>44</v>
          </cell>
          <cell r="G982">
            <v>30</v>
          </cell>
          <cell r="H982" t="str">
            <v>GUBAL@UTALCA.CL</v>
          </cell>
          <cell r="I982">
            <v>42522</v>
          </cell>
          <cell r="J982">
            <v>2958465</v>
          </cell>
          <cell r="K982" t="str">
            <v>PLANTA</v>
          </cell>
          <cell r="L982" t="str">
            <v>DIR EXCLU. CONFIANZA</v>
          </cell>
          <cell r="M982" t="str">
            <v>PROFESIONAL</v>
          </cell>
          <cell r="N982" t="str">
            <v>GRADO I.17</v>
          </cell>
          <cell r="O982" t="str">
            <v>TÍTULO PROFESIONAL</v>
          </cell>
          <cell r="P982" t="str">
            <v>INGENIERO CIVIL INDUSTRIAL</v>
          </cell>
          <cell r="Q982" t="str">
            <v>TALCA</v>
          </cell>
          <cell r="R982" t="str">
            <v>DIRECCIÓN DE ASEGURAMIENTO DE LA CALIDAD</v>
          </cell>
          <cell r="S982" t="str">
            <v>UNIDAD DE ACREDITACIÓN DE POSTGRADO</v>
          </cell>
        </row>
        <row r="983">
          <cell r="A983">
            <v>16350400</v>
          </cell>
          <cell r="B983" t="str">
            <v>16350400</v>
          </cell>
          <cell r="C983" t="str">
            <v>6</v>
          </cell>
          <cell r="D983" t="str">
            <v>ESPINOZA ROBLES CAROLINA ELIZA</v>
          </cell>
          <cell r="E983" t="str">
            <v>FCS320001</v>
          </cell>
          <cell r="F983">
            <v>33</v>
          </cell>
          <cell r="G983">
            <v>30</v>
          </cell>
          <cell r="H983" t="str">
            <v>CARESPINOZA@UTALCA.CL</v>
          </cell>
          <cell r="I983">
            <v>43556</v>
          </cell>
          <cell r="J983">
            <v>46446</v>
          </cell>
          <cell r="K983" t="str">
            <v>CONTRATA</v>
          </cell>
          <cell r="L983" t="str">
            <v>CA DOCENTE</v>
          </cell>
          <cell r="M983" t="str">
            <v>PROFESOR ASISTENTE</v>
          </cell>
          <cell r="N983" t="str">
            <v>GRADO C</v>
          </cell>
          <cell r="O983" t="str">
            <v>MAGISTER</v>
          </cell>
          <cell r="P983" t="str">
            <v>MAGÍSTER EN CIENCIAS BIOMÉDICAS MENCIÓN: MICR</v>
          </cell>
          <cell r="Q983" t="str">
            <v>TALCA</v>
          </cell>
          <cell r="R983" t="str">
            <v>FACULTAD DE CIENCIAS DE LA SALUD</v>
          </cell>
          <cell r="S983" t="str">
            <v>DPTO. BIOQUÍM. CLÍN. E INMUNOHEMATOLOGÍA</v>
          </cell>
        </row>
        <row r="984">
          <cell r="A984">
            <v>16358641</v>
          </cell>
          <cell r="B984" t="str">
            <v>16358641</v>
          </cell>
          <cell r="C984" t="str">
            <v>K</v>
          </cell>
          <cell r="D984" t="str">
            <v>LARRUCEA SAN MARTIN CARLO ANDR</v>
          </cell>
          <cell r="E984" t="str">
            <v>FOD200001</v>
          </cell>
          <cell r="F984">
            <v>13</v>
          </cell>
          <cell r="G984">
            <v>30</v>
          </cell>
          <cell r="H984" t="str">
            <v>CLARRUCEA@UTALCA.CL</v>
          </cell>
          <cell r="I984">
            <v>44713</v>
          </cell>
          <cell r="J984">
            <v>46387</v>
          </cell>
          <cell r="K984" t="str">
            <v>CONTRATA</v>
          </cell>
          <cell r="L984" t="str">
            <v>C ESPECIALES</v>
          </cell>
          <cell r="M984" t="str">
            <v>TUTOR(A) PRÁCTICA</v>
          </cell>
          <cell r="N984" t="str">
            <v>SIN GRADO</v>
          </cell>
          <cell r="O984" t="str">
            <v>ESPECIAL. ODONTOLÓG.</v>
          </cell>
          <cell r="P984" t="str">
            <v>CIRUJANO DENTISTA - ESPECIALIZACION ODONTOLOG</v>
          </cell>
          <cell r="Q984" t="str">
            <v>TALCA</v>
          </cell>
          <cell r="R984" t="str">
            <v>FACULTAD DE ODONTOLOGÍA</v>
          </cell>
          <cell r="S984" t="str">
            <v>FACULTAD DE ODONTOLOGÍA</v>
          </cell>
        </row>
        <row r="985">
          <cell r="A985">
            <v>16383968</v>
          </cell>
          <cell r="B985" t="str">
            <v>16383968</v>
          </cell>
          <cell r="C985" t="str">
            <v>7</v>
          </cell>
          <cell r="D985" t="str">
            <v>LEITON MUÑOZ ANDREA JAZMIN</v>
          </cell>
          <cell r="E985" t="str">
            <v>FCS320009</v>
          </cell>
          <cell r="F985">
            <v>44</v>
          </cell>
          <cell r="G985">
            <v>30</v>
          </cell>
          <cell r="H985" t="str">
            <v>ALEITON@UTALCA.CL</v>
          </cell>
          <cell r="I985">
            <v>44927</v>
          </cell>
          <cell r="J985">
            <v>46446</v>
          </cell>
          <cell r="K985" t="str">
            <v>CONTRATA</v>
          </cell>
          <cell r="L985" t="str">
            <v>CA DOCENTE</v>
          </cell>
          <cell r="M985" t="str">
            <v>INSTRUCTOR</v>
          </cell>
          <cell r="N985" t="str">
            <v>GRADO D</v>
          </cell>
          <cell r="O985" t="str">
            <v>MAGISTER</v>
          </cell>
          <cell r="P985" t="str">
            <v>MAGISTER EN MOTRICIDAD INFANTIL</v>
          </cell>
          <cell r="Q985" t="str">
            <v>TALCA</v>
          </cell>
          <cell r="R985" t="str">
            <v>FACULTAD DE CIENCIAS DE LA SALUD</v>
          </cell>
          <cell r="S985" t="str">
            <v>DPTO. DE CIENCIAS DEL MOVIMIENTO HUMANO</v>
          </cell>
        </row>
        <row r="986">
          <cell r="A986">
            <v>16422978</v>
          </cell>
          <cell r="B986" t="str">
            <v>16422978</v>
          </cell>
          <cell r="C986" t="str">
            <v>5</v>
          </cell>
          <cell r="D986" t="str">
            <v>FREDES HENRÍQUEZ CAROLA NATALI</v>
          </cell>
          <cell r="E986" t="str">
            <v>FAD320005</v>
          </cell>
          <cell r="F986">
            <v>22</v>
          </cell>
          <cell r="G986">
            <v>30</v>
          </cell>
          <cell r="H986" t="str">
            <v>CAROLA.FREDES@UTALCA.CL</v>
          </cell>
          <cell r="I986">
            <v>43891</v>
          </cell>
          <cell r="J986">
            <v>46446</v>
          </cell>
          <cell r="K986" t="str">
            <v>CONTRATA</v>
          </cell>
          <cell r="L986" t="str">
            <v>CA DE LA PROFESIÓN</v>
          </cell>
          <cell r="M986" t="str">
            <v>PROFESOR ASOCIADO</v>
          </cell>
          <cell r="N986" t="str">
            <v>GRADO B</v>
          </cell>
          <cell r="O986" t="str">
            <v>TÍTULO PROFESIONAL</v>
          </cell>
          <cell r="P986" t="str">
            <v>INTERPRETE MUSICAL CON MENCION VIOLA</v>
          </cell>
          <cell r="Q986" t="str">
            <v>TALCA</v>
          </cell>
          <cell r="R986" t="str">
            <v>FACULTAD DE ARQUITECTUR, MÚSICA Y DISEÑO</v>
          </cell>
          <cell r="S986" t="str">
            <v>DEPTO. DE INTERP. Y FORM. MUSICAL ESPEC.</v>
          </cell>
        </row>
        <row r="987">
          <cell r="A987">
            <v>16429070</v>
          </cell>
          <cell r="B987" t="str">
            <v>16429070</v>
          </cell>
          <cell r="C987" t="str">
            <v>0</v>
          </cell>
          <cell r="D987" t="str">
            <v>PERALTA CLEMENT PAMELA ANDREA</v>
          </cell>
          <cell r="E987" t="str">
            <v>VGE400052</v>
          </cell>
          <cell r="F987">
            <v>44</v>
          </cell>
          <cell r="G987">
            <v>30</v>
          </cell>
          <cell r="H987" t="str">
            <v>PAMELA.PERALTA@UTALCA.CL</v>
          </cell>
          <cell r="I987">
            <v>44927</v>
          </cell>
          <cell r="J987">
            <v>46387</v>
          </cell>
          <cell r="K987" t="str">
            <v>CONTRATA</v>
          </cell>
          <cell r="L987" t="str">
            <v>TÉCNICO</v>
          </cell>
          <cell r="M987" t="str">
            <v>TÉCNICO</v>
          </cell>
          <cell r="N987" t="str">
            <v>GRADO I.23</v>
          </cell>
          <cell r="O987" t="str">
            <v>MAGISTER</v>
          </cell>
          <cell r="P987" t="str">
            <v>MAGÍSTER EN ADMINISTRACIÓN DE EMPRESAS (MBA)</v>
          </cell>
          <cell r="Q987" t="str">
            <v>TALCA</v>
          </cell>
          <cell r="R987" t="str">
            <v>VIC. GESTIÓN ECONÓMICA Y ADMINISTRACIÓN</v>
          </cell>
          <cell r="S987" t="str">
            <v>UNIDAD DE REMUNERACIONES</v>
          </cell>
        </row>
        <row r="988">
          <cell r="A988">
            <v>16429870</v>
          </cell>
          <cell r="B988" t="str">
            <v>16429870</v>
          </cell>
          <cell r="C988" t="str">
            <v>1</v>
          </cell>
          <cell r="D988" t="str">
            <v>VEGA MUÑOZ MARCELA NATALIA</v>
          </cell>
          <cell r="E988" t="str">
            <v>FCI200001</v>
          </cell>
          <cell r="F988">
            <v>44</v>
          </cell>
          <cell r="G988">
            <v>30</v>
          </cell>
          <cell r="H988" t="str">
            <v>MARCELA.VEGA@UTALCA.CL</v>
          </cell>
          <cell r="I988">
            <v>44725</v>
          </cell>
          <cell r="J988">
            <v>46235</v>
          </cell>
          <cell r="K988" t="str">
            <v>CONTRATA</v>
          </cell>
          <cell r="L988" t="str">
            <v>INVESTIGADOR ASISTENTE</v>
          </cell>
          <cell r="M988" t="str">
            <v>INVESTIGADOR</v>
          </cell>
          <cell r="N988" t="str">
            <v>SIN GRADO</v>
          </cell>
          <cell r="O988" t="str">
            <v>TÍTULO PROFESIONAL</v>
          </cell>
          <cell r="P988" t="str">
            <v>INGENIERA CIVIL EN BIOTECNOLOGÍA</v>
          </cell>
          <cell r="Q988" t="str">
            <v>TALCA</v>
          </cell>
          <cell r="R988" t="str">
            <v>FACULTAD DE INGENIERÍA</v>
          </cell>
          <cell r="S988" t="str">
            <v>FACULTAD DE INGENIERÍA</v>
          </cell>
        </row>
        <row r="989">
          <cell r="A989">
            <v>16433438</v>
          </cell>
          <cell r="B989" t="str">
            <v>16433438</v>
          </cell>
          <cell r="C989" t="str">
            <v>4</v>
          </cell>
          <cell r="D989" t="str">
            <v>ORTIZ SANDOVAL MANUEL JESUS</v>
          </cell>
          <cell r="E989" t="str">
            <v/>
          </cell>
          <cell r="F989">
            <v>44</v>
          </cell>
          <cell r="G989">
            <v>30</v>
          </cell>
          <cell r="H989" t="str">
            <v>MANUEL.ORTIZ@UTALCA.CL</v>
          </cell>
          <cell r="I989">
            <v>45017</v>
          </cell>
          <cell r="J989">
            <v>46387</v>
          </cell>
          <cell r="K989" t="str">
            <v>CONTRATA</v>
          </cell>
          <cell r="L989" t="str">
            <v>PROFESIONAL</v>
          </cell>
          <cell r="M989" t="str">
            <v>PROFESIONAL</v>
          </cell>
          <cell r="N989" t="str">
            <v>GRADO I.17</v>
          </cell>
          <cell r="O989" t="str">
            <v>TÍTULO PROFESIONAL</v>
          </cell>
          <cell r="P989" t="str">
            <v>DISEÑADOR MENCION EN DISEÑO DE PRODUCTOS</v>
          </cell>
          <cell r="Q989" t="str">
            <v>TALCA</v>
          </cell>
          <cell r="R989" t="str">
            <v>DRCCIÓN. GNAL. VINCULACIÓN CON EL MEDIO</v>
          </cell>
          <cell r="S989" t="str">
            <v>UNIDAD DE DIVULGACIÓN</v>
          </cell>
        </row>
        <row r="990">
          <cell r="A990">
            <v>16448282</v>
          </cell>
          <cell r="B990" t="str">
            <v>16448282</v>
          </cell>
          <cell r="C990" t="str">
            <v>0</v>
          </cell>
          <cell r="D990" t="str">
            <v>RUBIO MATURANA ROMINA NATALIA</v>
          </cell>
          <cell r="E990" t="str">
            <v>ADC040001</v>
          </cell>
          <cell r="F990">
            <v>44</v>
          </cell>
          <cell r="G990">
            <v>30</v>
          </cell>
          <cell r="H990" t="str">
            <v>RRUBIO@UTALCA.CL</v>
          </cell>
          <cell r="I990">
            <v>43466</v>
          </cell>
          <cell r="J990">
            <v>46387</v>
          </cell>
          <cell r="K990" t="str">
            <v>CONTRATA</v>
          </cell>
          <cell r="L990" t="str">
            <v>PROFESIONAL</v>
          </cell>
          <cell r="M990" t="str">
            <v>PROFESIONAL</v>
          </cell>
          <cell r="N990" t="str">
            <v>GRADO I.17</v>
          </cell>
          <cell r="O990" t="str">
            <v>TÍTULO PROFESIONAL</v>
          </cell>
          <cell r="P990" t="str">
            <v>INGENIERO AGRÓNOMO CON MENCIÓN EN PRODUCCIÓN</v>
          </cell>
          <cell r="Q990" t="str">
            <v>COLCHAGUA</v>
          </cell>
          <cell r="R990" t="str">
            <v>DIRECCIÓN DE SEDE SANTA CRUZ</v>
          </cell>
          <cell r="S990" t="str">
            <v>DIRECCIÓN DE SEDE SANTA CRUZ</v>
          </cell>
        </row>
        <row r="991">
          <cell r="A991">
            <v>16453752</v>
          </cell>
          <cell r="B991" t="str">
            <v>16453752</v>
          </cell>
          <cell r="C991" t="str">
            <v>8</v>
          </cell>
          <cell r="D991" t="str">
            <v>SANCHEZ MEJIAS JOSE BERNARDINO</v>
          </cell>
          <cell r="E991" t="str">
            <v>ADC024006</v>
          </cell>
          <cell r="F991">
            <v>44</v>
          </cell>
          <cell r="G991">
            <v>30</v>
          </cell>
          <cell r="H991" t="str">
            <v>JOSSANCHEZ@UTALCA.CL</v>
          </cell>
          <cell r="I991">
            <v>43101</v>
          </cell>
          <cell r="J991">
            <v>46387</v>
          </cell>
          <cell r="K991" t="str">
            <v>CONTRATA</v>
          </cell>
          <cell r="L991" t="str">
            <v>AUXILIAR</v>
          </cell>
          <cell r="M991" t="str">
            <v>AUXILIAR</v>
          </cell>
          <cell r="N991" t="str">
            <v>GRADO I.24</v>
          </cell>
          <cell r="O991" t="str">
            <v>TÉC. NIVEL MEDIO</v>
          </cell>
          <cell r="P991" t="str">
            <v>TÉCNICO DE NIVEL MEDIO EN ADMINISTRACIÓN</v>
          </cell>
          <cell r="Q991" t="str">
            <v>TALCA</v>
          </cell>
          <cell r="R991" t="str">
            <v>DRCCIÓN. GNAL. VINCULACIÓN CON EL MEDIO</v>
          </cell>
          <cell r="S991" t="str">
            <v>UND. JARDÍN BOTÁNICO Y ARBORETUM</v>
          </cell>
        </row>
        <row r="992">
          <cell r="A992">
            <v>16453959</v>
          </cell>
          <cell r="B992" t="str">
            <v>16453959</v>
          </cell>
          <cell r="C992" t="str">
            <v>8</v>
          </cell>
          <cell r="D992" t="str">
            <v>HORMAZABAL GONZALEZ NICOLAS AL</v>
          </cell>
          <cell r="E992" t="str">
            <v>FED200001</v>
          </cell>
          <cell r="F992">
            <v>44</v>
          </cell>
          <cell r="G992">
            <v>30</v>
          </cell>
          <cell r="H992" t="str">
            <v>NIHORMAZABAL@UTALCA.CL</v>
          </cell>
          <cell r="I992">
            <v>43831</v>
          </cell>
          <cell r="J992">
            <v>46387</v>
          </cell>
          <cell r="K992" t="str">
            <v>CONTRATA</v>
          </cell>
          <cell r="L992" t="str">
            <v>PROFESIONAL</v>
          </cell>
          <cell r="M992" t="str">
            <v>PROFESIONAL</v>
          </cell>
          <cell r="N992" t="str">
            <v>GRADO I.17</v>
          </cell>
          <cell r="O992" t="str">
            <v>MAGISTER</v>
          </cell>
          <cell r="P992" t="str">
            <v>MAGÍSTER EN EDUCACIÓN BASADO EN COMPETENCIAS</v>
          </cell>
          <cell r="Q992" t="str">
            <v>LINARES</v>
          </cell>
          <cell r="R992" t="str">
            <v>FACULTAD DE CIENCIAS DE LA EDUCACIÓN</v>
          </cell>
          <cell r="S992" t="str">
            <v>FACULTAD DE CIENCIAS DE LA EDUCACIÓN</v>
          </cell>
        </row>
        <row r="993">
          <cell r="A993">
            <v>16454042</v>
          </cell>
          <cell r="B993" t="str">
            <v>16454042</v>
          </cell>
          <cell r="C993" t="str">
            <v>1</v>
          </cell>
          <cell r="D993" t="str">
            <v>ACUÑA ARIAS PATRICIA ALEJANDRA</v>
          </cell>
          <cell r="E993" t="str">
            <v>FOD350001</v>
          </cell>
          <cell r="F993">
            <v>44</v>
          </cell>
          <cell r="G993">
            <v>30</v>
          </cell>
          <cell r="H993" t="str">
            <v>PATRICIA.ACUNA@UTALCA.CL</v>
          </cell>
          <cell r="I993">
            <v>45505</v>
          </cell>
          <cell r="J993">
            <v>46387</v>
          </cell>
          <cell r="K993" t="str">
            <v>CONTRATA</v>
          </cell>
          <cell r="L993" t="str">
            <v>TÉCNICO</v>
          </cell>
          <cell r="M993" t="str">
            <v>TÉCNICO</v>
          </cell>
          <cell r="N993" t="str">
            <v>GRADO I.23</v>
          </cell>
          <cell r="O993" t="str">
            <v>TÉC. NIVEL SUPERIOR</v>
          </cell>
          <cell r="P993" t="str">
            <v>TECNICO DE NIVEL SUPERIOR EN ODONTOLOGIA MENC</v>
          </cell>
          <cell r="Q993" t="str">
            <v>TALCA</v>
          </cell>
          <cell r="R993" t="str">
            <v>FACULTAD DE ODONTOLOGÍA</v>
          </cell>
          <cell r="S993" t="str">
            <v>CLÍNICAS ODONTOLÓGICAS</v>
          </cell>
        </row>
        <row r="994">
          <cell r="A994">
            <v>16454059</v>
          </cell>
          <cell r="B994" t="str">
            <v>16454059</v>
          </cell>
          <cell r="C994" t="str">
            <v>6</v>
          </cell>
          <cell r="D994" t="str">
            <v>RAMIREZ CACERES MAURICIO ANDRE</v>
          </cell>
          <cell r="E994" t="str">
            <v>VGE400054</v>
          </cell>
          <cell r="F994">
            <v>44</v>
          </cell>
          <cell r="G994">
            <v>30</v>
          </cell>
          <cell r="H994" t="str">
            <v>MAURAMIREZ@UTALCA.CL</v>
          </cell>
          <cell r="I994">
            <v>43466</v>
          </cell>
          <cell r="J994">
            <v>46387</v>
          </cell>
          <cell r="K994" t="str">
            <v>CONTRATA</v>
          </cell>
          <cell r="L994" t="str">
            <v>ADMINISTRATIVO</v>
          </cell>
          <cell r="M994" t="str">
            <v>ADMINISTRATIVO</v>
          </cell>
          <cell r="N994" t="str">
            <v>GRADO I.21</v>
          </cell>
          <cell r="O994" t="str">
            <v>TÉC. NIVEL SUPERIOR</v>
          </cell>
          <cell r="P994" t="str">
            <v>TÉCNICO NIVEL SUPERIOR EN PLATAFORMAS IN</v>
          </cell>
          <cell r="Q994" t="str">
            <v>TALCA</v>
          </cell>
          <cell r="R994" t="str">
            <v>VIC. GESTIÓN ECONÓMICA Y ADMINISTRACIÓN</v>
          </cell>
          <cell r="S994" t="str">
            <v>DEPARTAMENTO DE SERVICIOS  Y PROCESOS TI</v>
          </cell>
        </row>
        <row r="995">
          <cell r="A995">
            <v>16454320</v>
          </cell>
          <cell r="B995" t="str">
            <v>16454320</v>
          </cell>
          <cell r="C995" t="str">
            <v>K</v>
          </cell>
          <cell r="D995" t="str">
            <v>ANDRADES RODRIGUEZ EMMANUEL MI</v>
          </cell>
          <cell r="E995" t="str">
            <v>FCS310007</v>
          </cell>
          <cell r="F995">
            <v>44</v>
          </cell>
          <cell r="G995">
            <v>30</v>
          </cell>
          <cell r="H995" t="str">
            <v>EANDRADES@UTALCA.CL</v>
          </cell>
          <cell r="I995">
            <v>43831</v>
          </cell>
          <cell r="J995">
            <v>46446</v>
          </cell>
          <cell r="K995" t="str">
            <v>CONTRATA</v>
          </cell>
          <cell r="L995" t="str">
            <v>CA DOCENTE</v>
          </cell>
          <cell r="M995" t="str">
            <v>INSTRUCTOR</v>
          </cell>
          <cell r="N995" t="str">
            <v>GRADO D</v>
          </cell>
          <cell r="O995" t="str">
            <v>MAGISTER</v>
          </cell>
          <cell r="P995" t="str">
            <v>MAGÍSTER EN GESTIÓN DE SISTEMAS DE SALUD</v>
          </cell>
          <cell r="Q995" t="str">
            <v>TALCA</v>
          </cell>
          <cell r="R995" t="str">
            <v>FACULTAD DE CIENCIAS DE LA SALUD</v>
          </cell>
          <cell r="S995" t="str">
            <v>ESCUELA DE OBSTETRICIA Y PUERICULTURA</v>
          </cell>
        </row>
        <row r="996">
          <cell r="A996">
            <v>16454384</v>
          </cell>
          <cell r="B996" t="str">
            <v>16454384</v>
          </cell>
          <cell r="C996" t="str">
            <v>6</v>
          </cell>
          <cell r="D996" t="str">
            <v>SAN CRISTOBAL GAJARDO MARIA MA</v>
          </cell>
          <cell r="E996" t="str">
            <v>FED310002</v>
          </cell>
          <cell r="F996">
            <v>44</v>
          </cell>
          <cell r="G996">
            <v>30</v>
          </cell>
          <cell r="H996" t="str">
            <v>MSANCRISTOBAL@UTALCA.CL</v>
          </cell>
          <cell r="I996">
            <v>42370</v>
          </cell>
          <cell r="J996">
            <v>46752</v>
          </cell>
          <cell r="K996" t="str">
            <v>CONTRATA</v>
          </cell>
          <cell r="L996" t="str">
            <v>CA DOCENTE</v>
          </cell>
          <cell r="M996" t="str">
            <v>INSTRUCTOR</v>
          </cell>
          <cell r="N996" t="str">
            <v>GRADO D</v>
          </cell>
          <cell r="O996" t="str">
            <v>MAGISTER</v>
          </cell>
          <cell r="P996" t="str">
            <v>MAGÍSTER EN LITERATURAS HISPÁNICAS</v>
          </cell>
          <cell r="Q996" t="str">
            <v>LINARES</v>
          </cell>
          <cell r="R996" t="str">
            <v>FACULTAD DE CIENCIAS DE LA EDUCACIÓN</v>
          </cell>
          <cell r="S996" t="str">
            <v>ESCUELA DE PEDAGOGÍA EN INGLÉS</v>
          </cell>
        </row>
        <row r="997">
          <cell r="A997">
            <v>16455053</v>
          </cell>
          <cell r="B997" t="str">
            <v>16455053</v>
          </cell>
          <cell r="C997" t="str">
            <v>2</v>
          </cell>
          <cell r="D997" t="str">
            <v>CANCINO BARROS ILICH AUGUSTO</v>
          </cell>
          <cell r="E997" t="str">
            <v>FCS340010</v>
          </cell>
          <cell r="F997">
            <v>11.88</v>
          </cell>
          <cell r="G997">
            <v>30</v>
          </cell>
          <cell r="H997" t="str">
            <v>ICANCINO@UTALCA.CL</v>
          </cell>
          <cell r="I997">
            <v>43466</v>
          </cell>
          <cell r="J997">
            <v>46387</v>
          </cell>
          <cell r="K997" t="str">
            <v>CONTRATA</v>
          </cell>
          <cell r="L997" t="str">
            <v>PROFESIONAL</v>
          </cell>
          <cell r="M997" t="str">
            <v>PROFESIONAL</v>
          </cell>
          <cell r="N997" t="str">
            <v>GRADO I.17</v>
          </cell>
          <cell r="O997" t="str">
            <v>TÍTULO PROFESIONAL</v>
          </cell>
          <cell r="P997" t="str">
            <v>FONOAUDIÓLOGO</v>
          </cell>
          <cell r="Q997" t="str">
            <v>TALCA</v>
          </cell>
          <cell r="R997" t="str">
            <v>FACULTAD DE CIENCIAS DE LA SALUD</v>
          </cell>
          <cell r="S997" t="str">
            <v>CLÍNICAS DE FONOAUDIOLOGÍA</v>
          </cell>
        </row>
        <row r="998">
          <cell r="A998">
            <v>16455055</v>
          </cell>
          <cell r="B998" t="str">
            <v>16455055</v>
          </cell>
          <cell r="C998" t="str">
            <v>9</v>
          </cell>
          <cell r="D998" t="str">
            <v>BALMACEDA NAVARRETE CLAUDIA AL</v>
          </cell>
          <cell r="E998" t="str">
            <v>ADC030190</v>
          </cell>
          <cell r="F998">
            <v>44</v>
          </cell>
          <cell r="G998">
            <v>30</v>
          </cell>
          <cell r="H998" t="str">
            <v>CLAUDIA.BALMACEDA@UTALCA.CL</v>
          </cell>
          <cell r="I998">
            <v>44197</v>
          </cell>
          <cell r="J998">
            <v>46387</v>
          </cell>
          <cell r="K998" t="str">
            <v>CONTRATA</v>
          </cell>
          <cell r="L998" t="str">
            <v>ADMINISTRATIVO</v>
          </cell>
          <cell r="M998" t="str">
            <v>PROFESIONAL</v>
          </cell>
          <cell r="N998" t="str">
            <v>GRADO I.17</v>
          </cell>
          <cell r="O998" t="str">
            <v>TÉC. NIVEL SUPERIOR</v>
          </cell>
          <cell r="P998" t="str">
            <v>ASISTENTE SOCIAL</v>
          </cell>
          <cell r="Q998" t="str">
            <v>TALCA</v>
          </cell>
          <cell r="R998" t="str">
            <v>SECRETARÍA GENERAL</v>
          </cell>
          <cell r="S998" t="str">
            <v>DIRECCIÓN DE GÉNERO</v>
          </cell>
        </row>
        <row r="999">
          <cell r="A999">
            <v>16455400</v>
          </cell>
          <cell r="B999" t="str">
            <v>16455400</v>
          </cell>
          <cell r="C999" t="str">
            <v>7</v>
          </cell>
          <cell r="D999" t="str">
            <v>URRA SOTO ROSA ISABEL</v>
          </cell>
          <cell r="E999" t="str">
            <v>FCA200001</v>
          </cell>
          <cell r="F999">
            <v>44</v>
          </cell>
          <cell r="G999">
            <v>30</v>
          </cell>
          <cell r="H999" t="str">
            <v>ROSA.URRA@UTALCA.CL</v>
          </cell>
          <cell r="I999">
            <v>45292</v>
          </cell>
          <cell r="J999">
            <v>46387</v>
          </cell>
          <cell r="K999" t="str">
            <v>CONTRATA</v>
          </cell>
          <cell r="L999" t="str">
            <v>AUXILIAR</v>
          </cell>
          <cell r="M999" t="str">
            <v>AUXILIAR</v>
          </cell>
          <cell r="N999" t="str">
            <v>GRADO I.24</v>
          </cell>
          <cell r="O999" t="str">
            <v>ESCOLARIDAD CIENT HU</v>
          </cell>
          <cell r="P999" t="str">
            <v>CUARTO MEDIO</v>
          </cell>
          <cell r="Q999" t="str">
            <v>TALCA</v>
          </cell>
          <cell r="R999" t="str">
            <v>FACULTAD DE CIENCIAS AGRARIAS</v>
          </cell>
          <cell r="S999" t="str">
            <v>CENTRO DE INOCUIDAD ALIMENTARIA</v>
          </cell>
        </row>
        <row r="1000">
          <cell r="A1000">
            <v>16455726</v>
          </cell>
          <cell r="B1000" t="str">
            <v>16455726</v>
          </cell>
          <cell r="C1000" t="str">
            <v>K</v>
          </cell>
          <cell r="D1000" t="str">
            <v>RIQUELME ORELLANA ELIZABETH AN</v>
          </cell>
          <cell r="E1000" t="str">
            <v>VGE400008</v>
          </cell>
          <cell r="F1000">
            <v>44</v>
          </cell>
          <cell r="G1000">
            <v>30</v>
          </cell>
          <cell r="H1000" t="str">
            <v>ERIQUELME@UTALCA.CL</v>
          </cell>
          <cell r="I1000">
            <v>43101</v>
          </cell>
          <cell r="J1000">
            <v>46387</v>
          </cell>
          <cell r="K1000" t="str">
            <v>CONTRATA</v>
          </cell>
          <cell r="L1000" t="str">
            <v>PROFESIONAL</v>
          </cell>
          <cell r="M1000" t="str">
            <v>PROFESIONAL</v>
          </cell>
          <cell r="N1000" t="str">
            <v>GRADO I.17</v>
          </cell>
          <cell r="O1000" t="str">
            <v>MAGISTER</v>
          </cell>
          <cell r="P1000" t="str">
            <v>MAGISTER EN PSICOLOGÍA SOCIAL</v>
          </cell>
          <cell r="Q1000" t="str">
            <v>TALCA</v>
          </cell>
          <cell r="R1000" t="str">
            <v>VIC. GESTIÓN ECONÓMICA Y ADMINISTRACIÓN</v>
          </cell>
          <cell r="S1000" t="str">
            <v>DEPARTAMENTO DE DESARROLLO DE PERSONAS</v>
          </cell>
        </row>
        <row r="1001">
          <cell r="A1001">
            <v>16456223</v>
          </cell>
          <cell r="B1001" t="str">
            <v>16456223</v>
          </cell>
          <cell r="C1001" t="str">
            <v>9</v>
          </cell>
          <cell r="D1001" t="str">
            <v>BARRIOS CACERES LAYLA ROMINA F</v>
          </cell>
          <cell r="E1001" t="str">
            <v>VDE400001</v>
          </cell>
          <cell r="F1001">
            <v>44</v>
          </cell>
          <cell r="G1001">
            <v>30</v>
          </cell>
          <cell r="H1001" t="str">
            <v>LBARRIOS@UTALCA.CL</v>
          </cell>
          <cell r="I1001">
            <v>43101</v>
          </cell>
          <cell r="J1001">
            <v>46387</v>
          </cell>
          <cell r="K1001" t="str">
            <v>CONTRATA</v>
          </cell>
          <cell r="L1001" t="str">
            <v>PROFESIONAL</v>
          </cell>
          <cell r="M1001" t="str">
            <v>PROFESIONAL</v>
          </cell>
          <cell r="N1001" t="str">
            <v>GRADO I.17</v>
          </cell>
          <cell r="O1001" t="str">
            <v>TÍTULO PROFESIONAL</v>
          </cell>
          <cell r="P1001" t="str">
            <v>TRABAJADOR SOCIAL</v>
          </cell>
          <cell r="Q1001" t="str">
            <v>TALCA</v>
          </cell>
          <cell r="R1001" t="str">
            <v>VICERRECTORÍA DE DESARROLLO ESTUDIANTIL</v>
          </cell>
          <cell r="S1001" t="str">
            <v>DIRECCIÓN DE BIENESTAR ESTUDIANTIL</v>
          </cell>
        </row>
        <row r="1002">
          <cell r="A1002">
            <v>16456248</v>
          </cell>
          <cell r="B1002" t="str">
            <v>16456248</v>
          </cell>
          <cell r="C1002" t="str">
            <v>4</v>
          </cell>
          <cell r="D1002" t="str">
            <v>SALGADO REYES FELIPE IGNACIO</v>
          </cell>
          <cell r="E1002" t="str">
            <v>FPS310002</v>
          </cell>
          <cell r="F1002">
            <v>44</v>
          </cell>
          <cell r="G1002">
            <v>30</v>
          </cell>
          <cell r="H1002" t="str">
            <v>FSALGADO@UTALCA.CL</v>
          </cell>
          <cell r="I1002">
            <v>43466</v>
          </cell>
          <cell r="J1002">
            <v>46387</v>
          </cell>
          <cell r="K1002" t="str">
            <v>CONTRATA</v>
          </cell>
          <cell r="L1002" t="str">
            <v>ADMINISTRATIVO</v>
          </cell>
          <cell r="M1002" t="str">
            <v>ADMINISTRATIVO</v>
          </cell>
          <cell r="N1002" t="str">
            <v>GRADO I.21</v>
          </cell>
          <cell r="O1002" t="str">
            <v>TÉC. NIVEL SUPERIOR</v>
          </cell>
          <cell r="P1002" t="str">
            <v>TÉCNICO EN ANÁLISIS DE SISTEMAS DE COMPUTACIO</v>
          </cell>
          <cell r="Q1002" t="str">
            <v>TALCA</v>
          </cell>
          <cell r="R1002" t="str">
            <v>FACULTAD DE PSICOLOGÍA</v>
          </cell>
          <cell r="S1002" t="str">
            <v>ESCUELA DE TERAPIA OCUPACIONAL</v>
          </cell>
        </row>
        <row r="1003">
          <cell r="A1003">
            <v>16456334</v>
          </cell>
          <cell r="B1003" t="str">
            <v>16456334</v>
          </cell>
          <cell r="C1003" t="str">
            <v>0</v>
          </cell>
          <cell r="D1003" t="str">
            <v>ALBORNOZ ROJAS CATALINA BEATRI</v>
          </cell>
          <cell r="E1003" t="str">
            <v>VGE400004</v>
          </cell>
          <cell r="F1003">
            <v>44</v>
          </cell>
          <cell r="G1003">
            <v>30</v>
          </cell>
          <cell r="H1003" t="str">
            <v>CALBORNOZR@UTALCA.CL</v>
          </cell>
          <cell r="I1003">
            <v>43101</v>
          </cell>
          <cell r="J1003">
            <v>46387</v>
          </cell>
          <cell r="K1003" t="str">
            <v>CONTRATA</v>
          </cell>
          <cell r="L1003" t="str">
            <v>ADMINISTRATIVO</v>
          </cell>
          <cell r="M1003" t="str">
            <v>ADMINISTRATIVO</v>
          </cell>
          <cell r="N1003" t="str">
            <v>GRADO I.21</v>
          </cell>
          <cell r="O1003" t="str">
            <v>TÍTULO PROFESIONAL</v>
          </cell>
          <cell r="P1003" t="str">
            <v>CONTADOR PUBLICO Y AUDITOR</v>
          </cell>
          <cell r="Q1003" t="str">
            <v>TALCA</v>
          </cell>
          <cell r="R1003" t="str">
            <v>VIC. GESTIÓN ECONÓMICA Y ADMINISTRACIÓN</v>
          </cell>
          <cell r="S1003" t="str">
            <v>DEPARTAMENTO DE CONTABILIDAD Y BIENES</v>
          </cell>
        </row>
        <row r="1004">
          <cell r="A1004">
            <v>16456459</v>
          </cell>
          <cell r="B1004" t="str">
            <v>16456459</v>
          </cell>
          <cell r="C1004" t="str">
            <v>2</v>
          </cell>
          <cell r="D1004" t="str">
            <v>LOPEZ VARGAS RODRIGO</v>
          </cell>
          <cell r="E1004" t="str">
            <v>VGE400021</v>
          </cell>
          <cell r="F1004">
            <v>44</v>
          </cell>
          <cell r="G1004">
            <v>30</v>
          </cell>
          <cell r="H1004" t="str">
            <v>RODLOPEZ@UTALCA.CL</v>
          </cell>
          <cell r="I1004">
            <v>43466</v>
          </cell>
          <cell r="J1004">
            <v>46387</v>
          </cell>
          <cell r="K1004" t="str">
            <v>CONTRATA</v>
          </cell>
          <cell r="L1004" t="str">
            <v>PROFESIONAL</v>
          </cell>
          <cell r="M1004" t="str">
            <v>PROFESIONAL</v>
          </cell>
          <cell r="N1004" t="str">
            <v>GRADO I.17</v>
          </cell>
          <cell r="O1004" t="str">
            <v>TÍTULO PROFESIONAL</v>
          </cell>
          <cell r="P1004" t="str">
            <v>CONTADOR PÚBLICO Y AUDITOR</v>
          </cell>
          <cell r="Q1004" t="str">
            <v>TALCA</v>
          </cell>
          <cell r="R1004" t="str">
            <v>VIC. GESTIÓN ECONÓMICA Y ADMINISTRACIÓN</v>
          </cell>
          <cell r="S1004" t="str">
            <v>DEPARTAMENTO DE PRESUPUESTO</v>
          </cell>
        </row>
        <row r="1005">
          <cell r="A1005">
            <v>16456773</v>
          </cell>
          <cell r="B1005" t="str">
            <v>16456773</v>
          </cell>
          <cell r="C1005" t="str">
            <v>7</v>
          </cell>
          <cell r="D1005" t="str">
            <v>NUÑEZ REYES KATHERINE ELIZABET</v>
          </cell>
          <cell r="E1005" t="str">
            <v>VAC400061</v>
          </cell>
          <cell r="F1005">
            <v>33</v>
          </cell>
          <cell r="G1005">
            <v>30</v>
          </cell>
          <cell r="H1005" t="str">
            <v>KNUNEZ@UTALCA.CL</v>
          </cell>
          <cell r="I1005">
            <v>43101</v>
          </cell>
          <cell r="J1005">
            <v>2958465</v>
          </cell>
          <cell r="K1005" t="str">
            <v>PLANTA</v>
          </cell>
          <cell r="L1005" t="str">
            <v>DIR EXCLU. CONFIANZA</v>
          </cell>
          <cell r="M1005" t="str">
            <v>DIR EXCLU. CONFIANZA</v>
          </cell>
          <cell r="N1005" t="str">
            <v>GRADO I.6</v>
          </cell>
          <cell r="O1005" t="str">
            <v>MAGISTER</v>
          </cell>
          <cell r="P1005" t="str">
            <v>MAGÍSTER EN FINANZAS</v>
          </cell>
          <cell r="Q1005" t="str">
            <v>TALCA</v>
          </cell>
          <cell r="R1005" t="str">
            <v>VICERRECTORÍA ACADÉMICA</v>
          </cell>
          <cell r="S1005" t="str">
            <v>UNIDAD DE MOVILIDAD</v>
          </cell>
        </row>
        <row r="1006">
          <cell r="A1006">
            <v>16457221</v>
          </cell>
          <cell r="B1006" t="str">
            <v>16457221</v>
          </cell>
          <cell r="C1006" t="str">
            <v>8</v>
          </cell>
          <cell r="D1006" t="str">
            <v>ROJAS MUÑOZ CLAUDIA INES</v>
          </cell>
          <cell r="E1006" t="str">
            <v>ADC021001</v>
          </cell>
          <cell r="F1006">
            <v>44</v>
          </cell>
          <cell r="G1006">
            <v>30</v>
          </cell>
          <cell r="H1006" t="str">
            <v>CLAUDIAROJAS@UTALCA.CL</v>
          </cell>
          <cell r="I1006">
            <v>43101</v>
          </cell>
          <cell r="J1006">
            <v>46387</v>
          </cell>
          <cell r="K1006" t="str">
            <v>CONTRATA</v>
          </cell>
          <cell r="L1006" t="str">
            <v>ADMINISTRATIVO</v>
          </cell>
          <cell r="M1006" t="str">
            <v>ADMINISTRATIVO</v>
          </cell>
          <cell r="N1006" t="str">
            <v>GRADO I.21</v>
          </cell>
          <cell r="O1006" t="str">
            <v>TÉC. NIVEL SUPERIOR</v>
          </cell>
          <cell r="P1006" t="str">
            <v>SECRETARIA EJECUTIVA COMPUTACIONAL</v>
          </cell>
          <cell r="Q1006" t="str">
            <v>TALCA</v>
          </cell>
          <cell r="R1006" t="str">
            <v>DIRECCIÓN DE COMUNICACIONES CORPORATIVAS</v>
          </cell>
          <cell r="S1006" t="str">
            <v>DIRECCIÓN DE COMUNICACIONES CORPORATIVAS</v>
          </cell>
        </row>
        <row r="1007">
          <cell r="A1007">
            <v>16457326</v>
          </cell>
          <cell r="B1007" t="str">
            <v>16457326</v>
          </cell>
          <cell r="C1007" t="str">
            <v>5</v>
          </cell>
          <cell r="D1007" t="str">
            <v>GUTIERREZ GAJARDO NATALIA LORE</v>
          </cell>
          <cell r="E1007" t="str">
            <v/>
          </cell>
          <cell r="F1007">
            <v>44</v>
          </cell>
          <cell r="G1007">
            <v>30</v>
          </cell>
          <cell r="H1007" t="str">
            <v>NATALIA.GUTIERREZ@UTALCA.CL</v>
          </cell>
          <cell r="I1007">
            <v>44927</v>
          </cell>
          <cell r="J1007">
            <v>46387</v>
          </cell>
          <cell r="K1007" t="str">
            <v>CONTRATA</v>
          </cell>
          <cell r="L1007" t="str">
            <v>ADMINISTRATIVO</v>
          </cell>
          <cell r="M1007" t="str">
            <v>ADMINISTRATIVO</v>
          </cell>
          <cell r="N1007" t="str">
            <v>GRADO I.21</v>
          </cell>
          <cell r="O1007" t="str">
            <v>TÉC. NIVEL MEDIO</v>
          </cell>
          <cell r="P1007" t="str">
            <v>SECRETARIA, TECNICO DE NIVEL MEDIO</v>
          </cell>
          <cell r="Q1007" t="str">
            <v>TALCA</v>
          </cell>
          <cell r="R1007" t="str">
            <v>FACULTAD CIENCIAS JURÍDICAS Y SOCIALES</v>
          </cell>
          <cell r="S1007" t="str">
            <v>CENTRO DE ESTUDIOS DE DERECHO PENAL</v>
          </cell>
        </row>
        <row r="1008">
          <cell r="A1008">
            <v>16480428</v>
          </cell>
          <cell r="B1008" t="str">
            <v>16480428</v>
          </cell>
          <cell r="C1008" t="str">
            <v>3</v>
          </cell>
          <cell r="D1008" t="str">
            <v>FLORES QUIROZ MARTÍN ANDRÉS</v>
          </cell>
          <cell r="E1008" t="str">
            <v>FED310002</v>
          </cell>
          <cell r="F1008">
            <v>44</v>
          </cell>
          <cell r="G1008">
            <v>30</v>
          </cell>
          <cell r="H1008" t="str">
            <v>MARTIN.FLORES@UTALCA.CL</v>
          </cell>
          <cell r="I1008">
            <v>45717</v>
          </cell>
          <cell r="J1008">
            <v>46446</v>
          </cell>
          <cell r="K1008" t="str">
            <v>CONTRATA</v>
          </cell>
          <cell r="L1008" t="str">
            <v>CA DOCENTE</v>
          </cell>
          <cell r="M1008" t="str">
            <v>PROFESOR ASISTENTE</v>
          </cell>
          <cell r="N1008" t="str">
            <v>GRADO C</v>
          </cell>
          <cell r="O1008" t="str">
            <v>DOCTORADO</v>
          </cell>
          <cell r="P1008" t="str">
            <v>DOCTOR EN LINGUISTICA</v>
          </cell>
          <cell r="Q1008" t="str">
            <v>LINARES</v>
          </cell>
          <cell r="R1008" t="str">
            <v>FACULTAD DE CIENCIAS DE LA EDUCACIÓN</v>
          </cell>
          <cell r="S1008" t="str">
            <v>ESCUELA DE PEDAGOGÍA EN INGLÉS</v>
          </cell>
        </row>
        <row r="1009">
          <cell r="A1009">
            <v>16484439</v>
          </cell>
          <cell r="B1009" t="str">
            <v>16484439</v>
          </cell>
          <cell r="C1009" t="str">
            <v>0</v>
          </cell>
          <cell r="D1009" t="str">
            <v>LOPEZ ALEGRIA PABLO ANDRES</v>
          </cell>
          <cell r="E1009" t="str">
            <v>FPS310002</v>
          </cell>
          <cell r="F1009">
            <v>44</v>
          </cell>
          <cell r="G1009">
            <v>30</v>
          </cell>
          <cell r="H1009" t="str">
            <v>PABLO.LOPEZ@UTALCA.CL</v>
          </cell>
          <cell r="I1009">
            <v>43891</v>
          </cell>
          <cell r="J1009">
            <v>46446</v>
          </cell>
          <cell r="K1009" t="str">
            <v>CONTRATA</v>
          </cell>
          <cell r="L1009" t="str">
            <v>CA DE LA PROFESIÓN</v>
          </cell>
          <cell r="M1009" t="str">
            <v>PROFESOR ASISTENTE</v>
          </cell>
          <cell r="N1009" t="str">
            <v>GRADO C</v>
          </cell>
          <cell r="O1009" t="str">
            <v>DOCTORADO</v>
          </cell>
          <cell r="P1009" t="str">
            <v>DOCTOR EN CIENCIAS MEDICAS</v>
          </cell>
          <cell r="Q1009" t="str">
            <v>TALCA</v>
          </cell>
          <cell r="R1009" t="str">
            <v>FACULTAD DE PSICOLOGÍA</v>
          </cell>
          <cell r="S1009" t="str">
            <v>ESCUELA DE TERAPIA OCUPACIONAL</v>
          </cell>
        </row>
        <row r="1010">
          <cell r="A1010">
            <v>16484972</v>
          </cell>
          <cell r="B1010" t="str">
            <v>16484972</v>
          </cell>
          <cell r="C1010" t="str">
            <v>4</v>
          </cell>
          <cell r="D1010" t="str">
            <v>FUENTEALBA ANDRADES NATALIA ES</v>
          </cell>
          <cell r="E1010" t="str">
            <v>IQR300001</v>
          </cell>
          <cell r="F1010">
            <v>44</v>
          </cell>
          <cell r="G1010">
            <v>30</v>
          </cell>
          <cell r="H1010" t="str">
            <v>NFUENTEALBA@UTALCA.CL</v>
          </cell>
          <cell r="I1010">
            <v>44562</v>
          </cell>
          <cell r="J1010">
            <v>46387</v>
          </cell>
          <cell r="K1010" t="str">
            <v>CONTRATA</v>
          </cell>
          <cell r="L1010" t="str">
            <v>C ESPECIALES</v>
          </cell>
          <cell r="M1010" t="str">
            <v>TUTOR(A) PRÁCTICA</v>
          </cell>
          <cell r="N1010" t="str">
            <v>SIN GRADO</v>
          </cell>
          <cell r="O1010" t="str">
            <v>MAGISTER</v>
          </cell>
          <cell r="P1010" t="str">
            <v>MAGISTER EN ENSEÑANZA DE LAS CIENCIAS MENCION</v>
          </cell>
          <cell r="Q1010" t="str">
            <v>TALCA</v>
          </cell>
          <cell r="R1010" t="str">
            <v>INSTITUTO QUÍMICA DE RECURSOS NATURALES</v>
          </cell>
          <cell r="S1010" t="str">
            <v>INSTITUTO QUÍMICA DE RECURSOS NATURALES</v>
          </cell>
        </row>
        <row r="1011">
          <cell r="A1011">
            <v>16505833</v>
          </cell>
          <cell r="B1011" t="str">
            <v>16505833</v>
          </cell>
          <cell r="C1011" t="str">
            <v>K</v>
          </cell>
          <cell r="D1011" t="str">
            <v>DIAZ BESOAIN DANIEL ESTEBAN</v>
          </cell>
          <cell r="E1011" t="str">
            <v>FCI320007</v>
          </cell>
          <cell r="F1011">
            <v>44</v>
          </cell>
          <cell r="G1011">
            <v>30</v>
          </cell>
          <cell r="H1011" t="str">
            <v>DDIAZ@UTALCA.CL</v>
          </cell>
          <cell r="I1011">
            <v>42583</v>
          </cell>
          <cell r="J1011">
            <v>46446</v>
          </cell>
          <cell r="K1011" t="str">
            <v>CONTRATA</v>
          </cell>
          <cell r="L1011" t="str">
            <v>CA DOCENTE</v>
          </cell>
          <cell r="M1011" t="str">
            <v>INSTRUCTOR</v>
          </cell>
          <cell r="N1011" t="str">
            <v>GRADO D</v>
          </cell>
          <cell r="O1011" t="str">
            <v>MAGISTER</v>
          </cell>
          <cell r="P1011" t="str">
            <v>MAGISTER EN GESTION Y EMPRENDIMIENTO TECNOLOG</v>
          </cell>
          <cell r="Q1011" t="str">
            <v>CURICO</v>
          </cell>
          <cell r="R1011" t="str">
            <v>FACULTAD DE INGENIERÍA</v>
          </cell>
          <cell r="S1011" t="str">
            <v>DEPARTAMENTO DE INGENIERÍA ELÉCTRICA</v>
          </cell>
        </row>
        <row r="1012">
          <cell r="A1012">
            <v>16505886</v>
          </cell>
          <cell r="B1012" t="str">
            <v>16505886</v>
          </cell>
          <cell r="C1012" t="str">
            <v>0</v>
          </cell>
          <cell r="D1012" t="str">
            <v>ROJAS RAMÍREZ DANIELA CECILIA</v>
          </cell>
          <cell r="E1012" t="str">
            <v>FCJ340001</v>
          </cell>
          <cell r="F1012">
            <v>44</v>
          </cell>
          <cell r="G1012">
            <v>30</v>
          </cell>
          <cell r="H1012" t="str">
            <v>DAROJAS@UTALCA.CL</v>
          </cell>
          <cell r="I1012">
            <v>44197</v>
          </cell>
          <cell r="J1012">
            <v>46387</v>
          </cell>
          <cell r="K1012" t="str">
            <v>CONTRATA</v>
          </cell>
          <cell r="L1012" t="str">
            <v>PROFESIONAL</v>
          </cell>
          <cell r="M1012" t="str">
            <v>PROFESIONAL</v>
          </cell>
          <cell r="N1012" t="str">
            <v>GRADO I.17</v>
          </cell>
          <cell r="O1012" t="str">
            <v>MAGISTER</v>
          </cell>
          <cell r="P1012" t="str">
            <v>MAGÍSTER EN DERECHO MENCIÓN EN DERECHO DE FAM</v>
          </cell>
          <cell r="Q1012" t="str">
            <v>TALCA</v>
          </cell>
          <cell r="R1012" t="str">
            <v>FACULTAD CIENCIAS JURÍDICAS Y SOCIALES</v>
          </cell>
          <cell r="S1012" t="str">
            <v>CLÍNICA JURÍDICA DE TALCA</v>
          </cell>
        </row>
        <row r="1013">
          <cell r="A1013">
            <v>16522565</v>
          </cell>
          <cell r="B1013" t="str">
            <v>16522565</v>
          </cell>
          <cell r="C1013" t="str">
            <v>1</v>
          </cell>
          <cell r="D1013" t="str">
            <v>REYES CACERES CRISTOBAL ANDRES</v>
          </cell>
          <cell r="E1013" t="str">
            <v>FED310009</v>
          </cell>
          <cell r="F1013">
            <v>44</v>
          </cell>
          <cell r="G1013">
            <v>30</v>
          </cell>
          <cell r="H1013" t="str">
            <v>CRISTOBAL.REYES@UTALCA.CL</v>
          </cell>
          <cell r="I1013">
            <v>43944</v>
          </cell>
          <cell r="J1013">
            <v>46446</v>
          </cell>
          <cell r="K1013" t="str">
            <v>CONTRATA</v>
          </cell>
          <cell r="L1013" t="str">
            <v>CA DOCENTE</v>
          </cell>
          <cell r="M1013" t="str">
            <v>PROFESOR ASISTENTE</v>
          </cell>
          <cell r="N1013" t="str">
            <v>GRADO C</v>
          </cell>
          <cell r="O1013" t="str">
            <v>MAGISTER</v>
          </cell>
          <cell r="P1013" t="str">
            <v>MAGISTER EN CIENCIAS DE LA EDUCACIÓN MENCIÓN</v>
          </cell>
          <cell r="Q1013" t="str">
            <v>LINARES</v>
          </cell>
          <cell r="R1013" t="str">
            <v>FACULTAD DE CIENCIAS DE LA EDUCACIÓN</v>
          </cell>
          <cell r="S1013" t="str">
            <v>ESC. PDG.CIENCIAS NATURALES Y EXACTAS</v>
          </cell>
        </row>
        <row r="1014">
          <cell r="A1014">
            <v>16524518</v>
          </cell>
          <cell r="B1014" t="str">
            <v>16524518</v>
          </cell>
          <cell r="C1014" t="str">
            <v>0</v>
          </cell>
          <cell r="D1014" t="str">
            <v>CERDA ALARCON ALADINO ALEXIS</v>
          </cell>
          <cell r="E1014" t="str">
            <v>FCS320007</v>
          </cell>
          <cell r="F1014">
            <v>44</v>
          </cell>
          <cell r="G1014">
            <v>30</v>
          </cell>
          <cell r="H1014" t="str">
            <v>ALCERDA@UTALCA.CL</v>
          </cell>
          <cell r="I1014">
            <v>40603</v>
          </cell>
          <cell r="J1014">
            <v>46446</v>
          </cell>
          <cell r="K1014" t="str">
            <v>CONTRATA</v>
          </cell>
          <cell r="L1014" t="str">
            <v>CA DOCENTE</v>
          </cell>
          <cell r="M1014" t="str">
            <v>INSTRUCTOR</v>
          </cell>
          <cell r="N1014" t="str">
            <v>GRADO D</v>
          </cell>
          <cell r="O1014" t="str">
            <v>MAGISTER</v>
          </cell>
          <cell r="P1014" t="str">
            <v>MAGISTER EN CIENCIAS, MENCION MORFOLOGIA</v>
          </cell>
          <cell r="Q1014" t="str">
            <v>TALCA</v>
          </cell>
          <cell r="R1014" t="str">
            <v>FACULTAD DE CIENCIAS DE LA SALUD</v>
          </cell>
          <cell r="S1014" t="str">
            <v>DPTO. DE CIENCIAS BÁSICAS BIOMÉDICAS</v>
          </cell>
        </row>
        <row r="1015">
          <cell r="A1015">
            <v>16532997</v>
          </cell>
          <cell r="B1015" t="str">
            <v>16532997</v>
          </cell>
          <cell r="C1015" t="str">
            <v>K</v>
          </cell>
          <cell r="D1015" t="str">
            <v>BRIONES HORMAZABAL CARMENLUZ A</v>
          </cell>
          <cell r="E1015" t="str">
            <v>ADC024001</v>
          </cell>
          <cell r="F1015">
            <v>44</v>
          </cell>
          <cell r="G1015">
            <v>30</v>
          </cell>
          <cell r="H1015" t="str">
            <v>CBRIONES@UTALCA.CL</v>
          </cell>
          <cell r="I1015">
            <v>44197</v>
          </cell>
          <cell r="J1015">
            <v>46387</v>
          </cell>
          <cell r="K1015" t="str">
            <v>CONTRATA</v>
          </cell>
          <cell r="L1015" t="str">
            <v>PROFESIONAL</v>
          </cell>
          <cell r="M1015" t="str">
            <v>PROFESIONAL</v>
          </cell>
          <cell r="N1015" t="str">
            <v>GRADO I.17</v>
          </cell>
          <cell r="O1015" t="str">
            <v>TÍTULO PROFESIONAL</v>
          </cell>
          <cell r="P1015" t="str">
            <v>INGENIERO COMERCIAL</v>
          </cell>
          <cell r="Q1015" t="str">
            <v>TALCA</v>
          </cell>
          <cell r="R1015" t="str">
            <v>DRCCIÓN. GNAL. VINCULACIÓN CON EL MEDIO</v>
          </cell>
          <cell r="S1015" t="str">
            <v>DRCCIÓN. GNAL. VINCULACIÓN CON EL MEDIO</v>
          </cell>
        </row>
        <row r="1016">
          <cell r="A1016">
            <v>16536311</v>
          </cell>
          <cell r="B1016" t="str">
            <v>16536311</v>
          </cell>
          <cell r="C1016" t="str">
            <v>6</v>
          </cell>
          <cell r="D1016" t="str">
            <v>CANCINO MUÑOZ DIEGO ARTURO</v>
          </cell>
          <cell r="E1016" t="str">
            <v>VGE400031</v>
          </cell>
          <cell r="F1016">
            <v>44</v>
          </cell>
          <cell r="G1016">
            <v>30</v>
          </cell>
          <cell r="H1016" t="str">
            <v>DCANCINO@UTALCA.CL</v>
          </cell>
          <cell r="I1016">
            <v>43101</v>
          </cell>
          <cell r="J1016">
            <v>2958465</v>
          </cell>
          <cell r="K1016" t="str">
            <v>PLANTA</v>
          </cell>
          <cell r="L1016" t="str">
            <v>ADMINISTRATIVO</v>
          </cell>
          <cell r="M1016" t="str">
            <v>ADMINISTRATIVO</v>
          </cell>
          <cell r="N1016" t="str">
            <v>GRADO I.20</v>
          </cell>
          <cell r="O1016" t="str">
            <v>TÉC. NIVEL MEDIO</v>
          </cell>
          <cell r="P1016" t="str">
            <v>CONTADOR TÉCNICO DE NIVEL MEDIO</v>
          </cell>
          <cell r="Q1016" t="str">
            <v>TALCA</v>
          </cell>
          <cell r="R1016" t="str">
            <v>VIC. GESTIÓN ECONÓMICA Y ADMINISTRACIÓN</v>
          </cell>
          <cell r="S1016" t="str">
            <v>DPTO. DE APOYO FINANCIERO AL ESTUDIANTE</v>
          </cell>
        </row>
        <row r="1017">
          <cell r="A1017">
            <v>16536542</v>
          </cell>
          <cell r="B1017" t="str">
            <v>16536542</v>
          </cell>
          <cell r="C1017" t="str">
            <v>9</v>
          </cell>
          <cell r="D1017" t="str">
            <v>ANTÚNEZ CONTRERAS SYLVIA PAZ</v>
          </cell>
          <cell r="E1017" t="str">
            <v>FED200001</v>
          </cell>
          <cell r="F1017">
            <v>44</v>
          </cell>
          <cell r="G1017">
            <v>30</v>
          </cell>
          <cell r="H1017" t="str">
            <v>SANTUNEZ@UTALCA.CL</v>
          </cell>
          <cell r="I1017">
            <v>44197</v>
          </cell>
          <cell r="J1017">
            <v>46387</v>
          </cell>
          <cell r="K1017" t="str">
            <v>CONTRATA</v>
          </cell>
          <cell r="L1017" t="str">
            <v>PROFESIONAL</v>
          </cell>
          <cell r="M1017" t="str">
            <v>PROFESIONAL</v>
          </cell>
          <cell r="N1017" t="str">
            <v>GRADO I.17</v>
          </cell>
          <cell r="O1017" t="str">
            <v>MAGISTER</v>
          </cell>
          <cell r="P1017" t="str">
            <v>MAGÍSTER EN PSICOLOGÍA SOCIAL</v>
          </cell>
          <cell r="Q1017" t="str">
            <v>LINARES</v>
          </cell>
          <cell r="R1017" t="str">
            <v>FACULTAD DE CIENCIAS DE LA EDUCACIÓN</v>
          </cell>
          <cell r="S1017" t="str">
            <v>FACULTAD DE CIENCIAS DE LA EDUCACIÓN</v>
          </cell>
        </row>
        <row r="1018">
          <cell r="A1018">
            <v>16537314</v>
          </cell>
          <cell r="B1018" t="str">
            <v>16537314</v>
          </cell>
          <cell r="C1018" t="str">
            <v>6</v>
          </cell>
          <cell r="D1018" t="str">
            <v>GONZÁLEZ LEIVA CAMILA JACQUELI</v>
          </cell>
          <cell r="E1018" t="str">
            <v>FCS340010</v>
          </cell>
          <cell r="F1018">
            <v>33</v>
          </cell>
          <cell r="G1018">
            <v>30</v>
          </cell>
          <cell r="H1018" t="str">
            <v>CAMILAGONZALEZLEIVA.FLGA@GMAIL</v>
          </cell>
          <cell r="I1018">
            <v>45962</v>
          </cell>
          <cell r="J1018">
            <v>46387</v>
          </cell>
          <cell r="K1018" t="str">
            <v>CONTRATA</v>
          </cell>
          <cell r="L1018" t="str">
            <v>PROFESIONAL</v>
          </cell>
          <cell r="M1018" t="str">
            <v>PROFESIONAL</v>
          </cell>
          <cell r="N1018" t="str">
            <v>GRADO I.17</v>
          </cell>
          <cell r="O1018" t="str">
            <v>TÍTULO PROFESIONAL</v>
          </cell>
          <cell r="P1018" t="str">
            <v>FONOAUDIOLOGO</v>
          </cell>
          <cell r="Q1018" t="str">
            <v>TALCA</v>
          </cell>
          <cell r="R1018" t="str">
            <v>FACULTAD DE CIENCIAS DE LA SALUD</v>
          </cell>
          <cell r="S1018" t="str">
            <v>CLÍNICAS DE FONOAUDIOLOGÍA</v>
          </cell>
        </row>
        <row r="1019">
          <cell r="A1019">
            <v>16537510</v>
          </cell>
          <cell r="B1019" t="str">
            <v>16537510</v>
          </cell>
          <cell r="C1019" t="str">
            <v>6</v>
          </cell>
          <cell r="D1019" t="str">
            <v>MUÑOZ PEREIRA ADOLFO JOSÉ</v>
          </cell>
          <cell r="E1019" t="str">
            <v>VRF400044</v>
          </cell>
          <cell r="F1019">
            <v>44</v>
          </cell>
          <cell r="G1019">
            <v>30</v>
          </cell>
          <cell r="H1019" t="str">
            <v>ADOLFO.MUNOZ@UTALCA.CL</v>
          </cell>
          <cell r="I1019">
            <v>44927</v>
          </cell>
          <cell r="J1019">
            <v>46387</v>
          </cell>
          <cell r="K1019" t="str">
            <v>CONTRATA</v>
          </cell>
          <cell r="L1019" t="str">
            <v>PROFESIONAL</v>
          </cell>
          <cell r="M1019" t="str">
            <v>PROFESIONAL</v>
          </cell>
          <cell r="N1019" t="str">
            <v>GRADO I.17</v>
          </cell>
          <cell r="O1019" t="str">
            <v>TÍTULO PROFESIONAL</v>
          </cell>
          <cell r="P1019" t="str">
            <v>PSICOLOGO</v>
          </cell>
          <cell r="Q1019" t="str">
            <v>TALCA</v>
          </cell>
          <cell r="R1019" t="str">
            <v>VICERRECTORÍA DE FORMACIÓN</v>
          </cell>
          <cell r="S1019" t="str">
            <v>UNIDAD ALUMNI E INSERCIÓN LABORAL</v>
          </cell>
        </row>
        <row r="1020">
          <cell r="A1020">
            <v>16542024</v>
          </cell>
          <cell r="B1020" t="str">
            <v>16542024</v>
          </cell>
          <cell r="C1020" t="str">
            <v>1</v>
          </cell>
          <cell r="D1020" t="str">
            <v>RIVERA CASTRO EVELYN VALERIA</v>
          </cell>
          <cell r="E1020" t="str">
            <v>ADC015001</v>
          </cell>
          <cell r="F1020">
            <v>44</v>
          </cell>
          <cell r="G1020">
            <v>30</v>
          </cell>
          <cell r="H1020" t="str">
            <v>EVELYN.RIVERA@UTALCA.CL</v>
          </cell>
          <cell r="I1020">
            <v>43572</v>
          </cell>
          <cell r="J1020">
            <v>46387</v>
          </cell>
          <cell r="K1020" t="str">
            <v>CONTRATA</v>
          </cell>
          <cell r="L1020" t="str">
            <v>PROFESIONAL</v>
          </cell>
          <cell r="M1020" t="str">
            <v>PROFESIONAL</v>
          </cell>
          <cell r="N1020" t="str">
            <v>GRADO I.8</v>
          </cell>
          <cell r="O1020" t="str">
            <v>TÍTULO PROFESIONAL</v>
          </cell>
          <cell r="P1020" t="str">
            <v>ABOGADO</v>
          </cell>
          <cell r="Q1020" t="str">
            <v>TALCA</v>
          </cell>
          <cell r="R1020" t="str">
            <v>DIRECCIÓN DE ASUNTOS JURÍDICOS</v>
          </cell>
          <cell r="S1020" t="str">
            <v>DIRECCIÓN DE ASUNTOS JURÍDICOS</v>
          </cell>
        </row>
        <row r="1021">
          <cell r="A1021">
            <v>16547779</v>
          </cell>
          <cell r="B1021" t="str">
            <v>16547779</v>
          </cell>
          <cell r="C1021" t="str">
            <v>0</v>
          </cell>
          <cell r="D1021" t="str">
            <v>RETAMAL MENARES MARGARITA ISAB</v>
          </cell>
          <cell r="E1021" t="str">
            <v>FCS320007</v>
          </cell>
          <cell r="F1021">
            <v>44</v>
          </cell>
          <cell r="G1021">
            <v>30</v>
          </cell>
          <cell r="H1021" t="str">
            <v>MARETAMAL@UTALCA.CL</v>
          </cell>
          <cell r="I1021">
            <v>44927</v>
          </cell>
          <cell r="J1021">
            <v>46446</v>
          </cell>
          <cell r="K1021" t="str">
            <v>CONTRATA</v>
          </cell>
          <cell r="L1021" t="str">
            <v>CA DOCENTE</v>
          </cell>
          <cell r="M1021" t="str">
            <v>INSTRUCTOR</v>
          </cell>
          <cell r="N1021" t="str">
            <v>GRADO D</v>
          </cell>
          <cell r="O1021" t="str">
            <v>MAGISTER</v>
          </cell>
          <cell r="P1021" t="str">
            <v>MAGISTER EN CIENCIAS BIOMEDICAS</v>
          </cell>
          <cell r="Q1021" t="str">
            <v>TALCA</v>
          </cell>
          <cell r="R1021" t="str">
            <v>FACULTAD DE CIENCIAS DE LA SALUD</v>
          </cell>
          <cell r="S1021" t="str">
            <v>DPTO. DE CIENCIAS BÁSICAS BIOMÉDICAS</v>
          </cell>
        </row>
        <row r="1022">
          <cell r="A1022">
            <v>16554863</v>
          </cell>
          <cell r="B1022" t="str">
            <v>16554863</v>
          </cell>
          <cell r="C1022" t="str">
            <v>9</v>
          </cell>
          <cell r="D1022" t="str">
            <v>HONORATO VALDES FRANCISCO EMIL</v>
          </cell>
          <cell r="E1022" t="str">
            <v>VRF400044</v>
          </cell>
          <cell r="F1022">
            <v>44</v>
          </cell>
          <cell r="G1022">
            <v>30</v>
          </cell>
          <cell r="H1022" t="str">
            <v>FHONORATO@UTALCA.CL</v>
          </cell>
          <cell r="I1022">
            <v>43313</v>
          </cell>
          <cell r="J1022">
            <v>46387</v>
          </cell>
          <cell r="K1022" t="str">
            <v>CONTRATA</v>
          </cell>
          <cell r="L1022" t="str">
            <v>PROFESIONAL</v>
          </cell>
          <cell r="M1022" t="str">
            <v>PROFESIONAL</v>
          </cell>
          <cell r="N1022" t="str">
            <v>GRADO I.17</v>
          </cell>
          <cell r="O1022" t="str">
            <v>MAGISTER</v>
          </cell>
          <cell r="P1022" t="str">
            <v>MAGISTER EN PSICOLOGIA SOCIAL, MENCION METODO</v>
          </cell>
          <cell r="Q1022" t="str">
            <v>TALCA</v>
          </cell>
          <cell r="R1022" t="str">
            <v>VICERRECTORÍA DE FORMACIÓN</v>
          </cell>
          <cell r="S1022" t="str">
            <v>UNIDAD ALUMNI E INSERCIÓN LABORAL</v>
          </cell>
        </row>
        <row r="1023">
          <cell r="A1023">
            <v>16555097</v>
          </cell>
          <cell r="B1023" t="str">
            <v>16555097</v>
          </cell>
          <cell r="C1023" t="str">
            <v>8</v>
          </cell>
          <cell r="D1023" t="str">
            <v>MUÑOZ ROJAS FRANCISCO JAVIER</v>
          </cell>
          <cell r="E1023" t="str">
            <v>ADC030115</v>
          </cell>
          <cell r="F1023">
            <v>44</v>
          </cell>
          <cell r="G1023">
            <v>30</v>
          </cell>
          <cell r="H1023" t="str">
            <v>FRANCISCO.MUNOZR@UTALCA.CL</v>
          </cell>
          <cell r="I1023">
            <v>45056</v>
          </cell>
          <cell r="J1023">
            <v>46387</v>
          </cell>
          <cell r="K1023" t="str">
            <v>CONTRATA</v>
          </cell>
          <cell r="L1023" t="str">
            <v>TÉCNICO</v>
          </cell>
          <cell r="M1023" t="str">
            <v>TÉCNICO</v>
          </cell>
          <cell r="N1023" t="str">
            <v>GRADO I.23</v>
          </cell>
          <cell r="O1023" t="str">
            <v>TÍTULO PROFESIONAL</v>
          </cell>
          <cell r="P1023" t="str">
            <v>INGENIERO COMERCIAL</v>
          </cell>
          <cell r="Q1023" t="str">
            <v>TALCA</v>
          </cell>
          <cell r="R1023" t="str">
            <v>DIRECCIÓN DE ASEGURAMIENTO DE LA CALIDAD</v>
          </cell>
          <cell r="S1023" t="str">
            <v>DEPTO. RED SALUD Y CAMPOS CLINICOS.</v>
          </cell>
        </row>
        <row r="1024">
          <cell r="A1024">
            <v>16555109</v>
          </cell>
          <cell r="B1024" t="str">
            <v>16555109</v>
          </cell>
          <cell r="C1024" t="str">
            <v>5</v>
          </cell>
          <cell r="D1024" t="str">
            <v>TRONCOSO GAJARDO PIA FERNANDA</v>
          </cell>
          <cell r="E1024" t="str">
            <v>FOD320003</v>
          </cell>
          <cell r="F1024">
            <v>22</v>
          </cell>
          <cell r="G1024">
            <v>30</v>
          </cell>
          <cell r="H1024" t="str">
            <v>PIATRONCOSO@UTALCA.CL</v>
          </cell>
          <cell r="I1024">
            <v>44136</v>
          </cell>
          <cell r="J1024">
            <v>46446</v>
          </cell>
          <cell r="K1024" t="str">
            <v>CONTRATA</v>
          </cell>
          <cell r="L1024" t="str">
            <v>CA DOCENTE</v>
          </cell>
          <cell r="M1024" t="str">
            <v>PROFESOR ASISTENTE</v>
          </cell>
          <cell r="N1024" t="str">
            <v>GRADO C</v>
          </cell>
          <cell r="O1024" t="str">
            <v>ESPECIAL. ODONTOLÓG.</v>
          </cell>
          <cell r="P1024" t="str">
            <v>ESPECIALISTA EN ODONTOPEDIATRÍA</v>
          </cell>
          <cell r="Q1024" t="str">
            <v>TALCA</v>
          </cell>
          <cell r="R1024" t="str">
            <v>FACULTAD DE ODONTOLOGÍA</v>
          </cell>
          <cell r="S1024" t="str">
            <v>DEPARTAMENTO DE PEDIATRÍA ESTOMATOLÓGICA</v>
          </cell>
        </row>
        <row r="1025">
          <cell r="A1025">
            <v>16556611</v>
          </cell>
          <cell r="B1025" t="str">
            <v>16556611</v>
          </cell>
          <cell r="C1025" t="str">
            <v>4</v>
          </cell>
          <cell r="D1025" t="str">
            <v>ROMAGOSA GARCÍA JUAN</v>
          </cell>
          <cell r="E1025" t="str">
            <v>FEN310003</v>
          </cell>
          <cell r="F1025">
            <v>33</v>
          </cell>
          <cell r="G1025">
            <v>30</v>
          </cell>
          <cell r="H1025" t="str">
            <v>JUAN.ROMAGOSA@UTALCA.CL</v>
          </cell>
          <cell r="I1025">
            <v>44621</v>
          </cell>
          <cell r="J1025">
            <v>46446</v>
          </cell>
          <cell r="K1025" t="str">
            <v>CONTRATA</v>
          </cell>
          <cell r="L1025" t="str">
            <v>CA DOCENTE</v>
          </cell>
          <cell r="M1025" t="str">
            <v>INSTRUCTOR</v>
          </cell>
          <cell r="N1025" t="str">
            <v>GRADO D</v>
          </cell>
          <cell r="O1025" t="str">
            <v>MAGISTER</v>
          </cell>
          <cell r="P1025" t="str">
            <v>MAGÍSTER EN FINANZAS</v>
          </cell>
          <cell r="Q1025" t="str">
            <v>SANTIAGO</v>
          </cell>
          <cell r="R1025" t="str">
            <v>FACULTAD DE ECONOMÍA Y NEGOCIOS</v>
          </cell>
          <cell r="S1025" t="str">
            <v>ESC. DE INGENIERÍA COMERCIAL DE SANTIAGO</v>
          </cell>
        </row>
        <row r="1026">
          <cell r="A1026">
            <v>16569157</v>
          </cell>
          <cell r="B1026" t="str">
            <v>16569157</v>
          </cell>
          <cell r="C1026" t="str">
            <v>1</v>
          </cell>
          <cell r="D1026" t="str">
            <v>LEON FUENTES JUAN SEBASTIAN</v>
          </cell>
          <cell r="E1026" t="str">
            <v>FPS310002</v>
          </cell>
          <cell r="F1026">
            <v>44</v>
          </cell>
          <cell r="G1026">
            <v>30</v>
          </cell>
          <cell r="H1026" t="str">
            <v>JUAN.LEON@UTALCA.CL</v>
          </cell>
          <cell r="I1026">
            <v>45078</v>
          </cell>
          <cell r="J1026">
            <v>47299</v>
          </cell>
          <cell r="K1026" t="str">
            <v>CONTRATA</v>
          </cell>
          <cell r="L1026" t="str">
            <v>CA DOCENTE</v>
          </cell>
          <cell r="M1026" t="str">
            <v>INSTRUCTOR</v>
          </cell>
          <cell r="N1026" t="str">
            <v>GRADO D</v>
          </cell>
          <cell r="O1026" t="str">
            <v>MAGISTER</v>
          </cell>
          <cell r="P1026" t="str">
            <v>MAGISTER EN EVALUACION E INTERVENCION ABA</v>
          </cell>
          <cell r="Q1026" t="str">
            <v>TALCA</v>
          </cell>
          <cell r="R1026" t="str">
            <v>FACULTAD DE PSICOLOGÍA</v>
          </cell>
          <cell r="S1026" t="str">
            <v>ESCUELA DE TERAPIA OCUPACIONAL</v>
          </cell>
        </row>
        <row r="1027">
          <cell r="A1027">
            <v>16583307</v>
          </cell>
          <cell r="B1027" t="str">
            <v>16583307</v>
          </cell>
          <cell r="C1027" t="str">
            <v>4</v>
          </cell>
          <cell r="D1027" t="str">
            <v>BARRIOS CASTRO CAROLINA ALEJAN</v>
          </cell>
          <cell r="E1027" t="str">
            <v>FOD200001</v>
          </cell>
          <cell r="F1027">
            <v>19</v>
          </cell>
          <cell r="G1027">
            <v>30</v>
          </cell>
          <cell r="H1027" t="str">
            <v>CAROLINA.BARRIOS@UTALCA.CL</v>
          </cell>
          <cell r="I1027">
            <v>44713</v>
          </cell>
          <cell r="J1027">
            <v>46387</v>
          </cell>
          <cell r="K1027" t="str">
            <v>CONTRATA</v>
          </cell>
          <cell r="L1027" t="str">
            <v>C ESPECIALES</v>
          </cell>
          <cell r="M1027" t="str">
            <v>TUTOR(A) PRÁCTICA</v>
          </cell>
          <cell r="N1027" t="str">
            <v>SIN GRADO</v>
          </cell>
          <cell r="O1027" t="str">
            <v>ESPECIAL. ODONTOLÓG.</v>
          </cell>
          <cell r="P1027" t="str">
            <v>ESPECIALISTA EN ODONTOPEDIATRIA</v>
          </cell>
          <cell r="Q1027" t="str">
            <v>TALCA</v>
          </cell>
          <cell r="R1027" t="str">
            <v>FACULTAD DE ODONTOLOGÍA</v>
          </cell>
          <cell r="S1027" t="str">
            <v>FACULTAD DE ODONTOLOGÍA</v>
          </cell>
        </row>
        <row r="1028">
          <cell r="A1028">
            <v>16588453</v>
          </cell>
          <cell r="B1028" t="str">
            <v>16588453</v>
          </cell>
          <cell r="C1028" t="str">
            <v>1</v>
          </cell>
          <cell r="D1028" t="str">
            <v>MARCHANT PALOMERA FELIPE ARTUR</v>
          </cell>
          <cell r="E1028" t="str">
            <v>VDE400011</v>
          </cell>
          <cell r="F1028">
            <v>22</v>
          </cell>
          <cell r="G1028">
            <v>30</v>
          </cell>
          <cell r="H1028" t="str">
            <v>FELIPE.MARCHANT@UTALCA.CL</v>
          </cell>
          <cell r="I1028">
            <v>43466</v>
          </cell>
          <cell r="J1028">
            <v>46387</v>
          </cell>
          <cell r="K1028" t="str">
            <v>CONTRATA</v>
          </cell>
          <cell r="L1028" t="str">
            <v>PROFESIONAL</v>
          </cell>
          <cell r="M1028" t="str">
            <v>PROFESIONAL</v>
          </cell>
          <cell r="N1028" t="str">
            <v>GRADO I.17</v>
          </cell>
          <cell r="O1028" t="str">
            <v>TÍTULO PROFESIONAL</v>
          </cell>
          <cell r="P1028" t="str">
            <v>CIRUJANO DENTISTA</v>
          </cell>
          <cell r="Q1028" t="str">
            <v>CURICO</v>
          </cell>
          <cell r="R1028" t="str">
            <v>VICERRECTORÍA DE DESARROLLO ESTUDIANTIL</v>
          </cell>
          <cell r="S1028" t="str">
            <v>DIRECCIÓN DE SALUD ESTUDIANTIL</v>
          </cell>
        </row>
        <row r="1029">
          <cell r="A1029">
            <v>16588621</v>
          </cell>
          <cell r="B1029" t="str">
            <v>16588621</v>
          </cell>
          <cell r="C1029" t="str">
            <v>6</v>
          </cell>
          <cell r="D1029" t="str">
            <v>RODRIGUEZ AZUA ROSIO ANGELICA</v>
          </cell>
          <cell r="E1029" t="str">
            <v>FOD200001</v>
          </cell>
          <cell r="F1029">
            <v>22</v>
          </cell>
          <cell r="G1029">
            <v>30</v>
          </cell>
          <cell r="H1029" t="str">
            <v>RORODRIGUEZ@UTALCA.CL</v>
          </cell>
          <cell r="I1029">
            <v>45122</v>
          </cell>
          <cell r="J1029">
            <v>46387</v>
          </cell>
          <cell r="K1029" t="str">
            <v>CONTRATA</v>
          </cell>
          <cell r="L1029" t="str">
            <v>PROFESIONAL</v>
          </cell>
          <cell r="M1029" t="str">
            <v>PROFESIONAL</v>
          </cell>
          <cell r="N1029" t="str">
            <v>GRADO I.17</v>
          </cell>
          <cell r="O1029" t="str">
            <v>TÍTULO PROFESIONAL</v>
          </cell>
          <cell r="P1029" t="str">
            <v>TECNOLOGA MEDICA</v>
          </cell>
          <cell r="Q1029" t="str">
            <v>TALCA</v>
          </cell>
          <cell r="R1029" t="str">
            <v>FACULTAD DE ODONTOLOGÍA</v>
          </cell>
          <cell r="S1029" t="str">
            <v>DEPARTAMENTO DE ESTOMATOLOGÍA</v>
          </cell>
        </row>
        <row r="1030">
          <cell r="A1030">
            <v>16588910</v>
          </cell>
          <cell r="B1030" t="str">
            <v>16588910</v>
          </cell>
          <cell r="C1030" t="str">
            <v>K</v>
          </cell>
          <cell r="D1030" t="str">
            <v>OJEDA GONZALEZ MARCELO EDUARDO</v>
          </cell>
          <cell r="E1030" t="str">
            <v>FAD310001</v>
          </cell>
          <cell r="F1030">
            <v>44</v>
          </cell>
          <cell r="G1030">
            <v>30</v>
          </cell>
          <cell r="H1030" t="str">
            <v>MARCELO.OJEDA@UTALCA.CL</v>
          </cell>
          <cell r="I1030">
            <v>43952</v>
          </cell>
          <cell r="J1030">
            <v>46446</v>
          </cell>
          <cell r="K1030" t="str">
            <v>CONTRATA</v>
          </cell>
          <cell r="L1030" t="str">
            <v>CA DOCENTE</v>
          </cell>
          <cell r="M1030" t="str">
            <v>INSTRUCTOR</v>
          </cell>
          <cell r="N1030" t="str">
            <v>GRADO D</v>
          </cell>
          <cell r="O1030" t="str">
            <v>MAGISTER</v>
          </cell>
          <cell r="P1030" t="str">
            <v>MAGÍSTER EN ARQUITECTURA</v>
          </cell>
          <cell r="Q1030" t="str">
            <v>TALCA</v>
          </cell>
          <cell r="R1030" t="str">
            <v>FACULTAD DE ARQUITECTUR, MÚSICA Y DISEÑO</v>
          </cell>
          <cell r="S1030" t="str">
            <v>ESCUELA DE ARQUITECTURA</v>
          </cell>
        </row>
        <row r="1031">
          <cell r="A1031">
            <v>16590535</v>
          </cell>
          <cell r="B1031" t="str">
            <v>16590535</v>
          </cell>
          <cell r="C1031" t="str">
            <v>0</v>
          </cell>
          <cell r="D1031" t="str">
            <v>BASS LE- FORT DANIELA IGNACIA</v>
          </cell>
          <cell r="E1031" t="str">
            <v>ADC024007</v>
          </cell>
          <cell r="F1031">
            <v>44</v>
          </cell>
          <cell r="G1031">
            <v>30</v>
          </cell>
          <cell r="H1031" t="str">
            <v>DBASS@UTALCA.CL</v>
          </cell>
          <cell r="I1031">
            <v>43101</v>
          </cell>
          <cell r="J1031">
            <v>46387</v>
          </cell>
          <cell r="K1031" t="str">
            <v>CONTRATA</v>
          </cell>
          <cell r="L1031" t="str">
            <v>PROFESIONAL</v>
          </cell>
          <cell r="M1031" t="str">
            <v>PROFESIONAL</v>
          </cell>
          <cell r="N1031" t="str">
            <v>GRADO I.17</v>
          </cell>
          <cell r="O1031" t="str">
            <v>TÍTULO PROFESIONAL</v>
          </cell>
          <cell r="P1031" t="str">
            <v>DISEÑADOR MENCIÓN DISEÑO DE PRODUCTOS</v>
          </cell>
          <cell r="Q1031" t="str">
            <v>TALCA</v>
          </cell>
          <cell r="R1031" t="str">
            <v>DRCCIÓN. GNAL. VINCULACIÓN CON EL MEDIO</v>
          </cell>
          <cell r="S1031" t="str">
            <v>DPTO. ASEGURAMIENTO DE LA VINCULACIÓN</v>
          </cell>
        </row>
        <row r="1032">
          <cell r="A1032">
            <v>16590594</v>
          </cell>
          <cell r="B1032" t="str">
            <v>16590594</v>
          </cell>
          <cell r="C1032" t="str">
            <v>6</v>
          </cell>
          <cell r="D1032" t="str">
            <v>FUENTES QUINTEROS EDUARDO JAVI</v>
          </cell>
          <cell r="E1032" t="str">
            <v>FCS320001</v>
          </cell>
          <cell r="F1032">
            <v>44</v>
          </cell>
          <cell r="G1032">
            <v>30</v>
          </cell>
          <cell r="H1032" t="str">
            <v>EDFUENTES@UTALCA.CL</v>
          </cell>
          <cell r="I1032">
            <v>42005</v>
          </cell>
          <cell r="J1032">
            <v>2958465</v>
          </cell>
          <cell r="K1032" t="str">
            <v>PLANTA</v>
          </cell>
          <cell r="L1032" t="str">
            <v>CA ORDINARIA</v>
          </cell>
          <cell r="M1032" t="str">
            <v>PROFESOR TITULAR</v>
          </cell>
          <cell r="N1032" t="str">
            <v>GRADO A</v>
          </cell>
          <cell r="O1032" t="str">
            <v>DOCTORADO</v>
          </cell>
          <cell r="P1032" t="str">
            <v>DOCTOR EN CS. CON MENCION EN INVESTIGACION Y</v>
          </cell>
          <cell r="Q1032" t="str">
            <v>TALCA</v>
          </cell>
          <cell r="R1032" t="str">
            <v>FACULTAD DE CIENCIAS DE LA SALUD</v>
          </cell>
          <cell r="S1032" t="str">
            <v>DPTO. BIOQUÍM. CLÍN. E INMUNOHEMATOLOGÍA</v>
          </cell>
        </row>
        <row r="1033">
          <cell r="A1033">
            <v>16590798</v>
          </cell>
          <cell r="B1033" t="str">
            <v>16590798</v>
          </cell>
          <cell r="C1033" t="str">
            <v>1</v>
          </cell>
          <cell r="D1033" t="str">
            <v>GONZALEZ REYES SERGIO DANIEL</v>
          </cell>
          <cell r="E1033" t="str">
            <v>FCI320002</v>
          </cell>
          <cell r="F1033">
            <v>44</v>
          </cell>
          <cell r="G1033">
            <v>30</v>
          </cell>
          <cell r="H1033" t="str">
            <v>SGONZALEZR@UTALCA.CL</v>
          </cell>
          <cell r="I1033">
            <v>43160</v>
          </cell>
          <cell r="J1033">
            <v>46446</v>
          </cell>
          <cell r="K1033" t="str">
            <v>CONTRATA</v>
          </cell>
          <cell r="L1033" t="str">
            <v>CA DOCENTE</v>
          </cell>
          <cell r="M1033" t="str">
            <v>INSTRUCTOR</v>
          </cell>
          <cell r="N1033" t="str">
            <v>GRADO D</v>
          </cell>
          <cell r="O1033" t="str">
            <v>MAGISTER</v>
          </cell>
          <cell r="P1033" t="str">
            <v>MAGISTER EN GESTION DE OPERACIONES</v>
          </cell>
          <cell r="Q1033" t="str">
            <v>CURICO</v>
          </cell>
          <cell r="R1033" t="str">
            <v>FACULTAD DE INGENIERÍA</v>
          </cell>
          <cell r="S1033" t="str">
            <v>DEPARTAMENTO DE INGENIERÍA INDUSTRIAL</v>
          </cell>
        </row>
        <row r="1034">
          <cell r="A1034">
            <v>16598744</v>
          </cell>
          <cell r="B1034" t="str">
            <v>16598744</v>
          </cell>
          <cell r="C1034" t="str">
            <v>6</v>
          </cell>
          <cell r="D1034" t="str">
            <v>BAEZA BARRA IVAN RODRIGO</v>
          </cell>
          <cell r="E1034" t="str">
            <v/>
          </cell>
          <cell r="F1034">
            <v>44</v>
          </cell>
          <cell r="G1034">
            <v>30</v>
          </cell>
          <cell r="H1034" t="str">
            <v>IBAEZA@UTALCA.CL</v>
          </cell>
          <cell r="I1034">
            <v>44927</v>
          </cell>
          <cell r="J1034">
            <v>46387</v>
          </cell>
          <cell r="K1034" t="str">
            <v>CONTRATA</v>
          </cell>
          <cell r="L1034" t="str">
            <v>PROFESIONAL</v>
          </cell>
          <cell r="M1034" t="str">
            <v>PROFESIONAL</v>
          </cell>
          <cell r="N1034" t="str">
            <v>GRADO I.17</v>
          </cell>
          <cell r="O1034" t="str">
            <v>MAGISTER</v>
          </cell>
          <cell r="P1034" t="str">
            <v>MAGISTER EN LITERATURA HISPANICA</v>
          </cell>
          <cell r="Q1034" t="str">
            <v>TALCA</v>
          </cell>
          <cell r="R1034" t="str">
            <v>VICERRECTORÍA DE FORMACIÓN</v>
          </cell>
          <cell r="S1034" t="str">
            <v>DIRECCIÓN DE CICLO DE VIDA ESTUDIANTIL</v>
          </cell>
        </row>
        <row r="1035">
          <cell r="A1035">
            <v>16600210</v>
          </cell>
          <cell r="B1035" t="str">
            <v>16600210</v>
          </cell>
          <cell r="C1035" t="str">
            <v>9</v>
          </cell>
          <cell r="D1035" t="str">
            <v>RIQUELME FUENTES ALAN ENRIQUE</v>
          </cell>
          <cell r="E1035" t="str">
            <v>VGE400056</v>
          </cell>
          <cell r="F1035">
            <v>44</v>
          </cell>
          <cell r="G1035">
            <v>30</v>
          </cell>
          <cell r="H1035" t="str">
            <v>ARIQUELME@UTALCA.CL</v>
          </cell>
          <cell r="I1035">
            <v>43466</v>
          </cell>
          <cell r="J1035">
            <v>46387</v>
          </cell>
          <cell r="K1035" t="str">
            <v>CONTRATA</v>
          </cell>
          <cell r="L1035" t="str">
            <v>ADMINISTRATIVO</v>
          </cell>
          <cell r="M1035" t="str">
            <v>ADMINISTRATIVO</v>
          </cell>
          <cell r="N1035" t="str">
            <v>GRADO I.21</v>
          </cell>
          <cell r="O1035" t="str">
            <v>TÍTULO PROFESIONAL</v>
          </cell>
          <cell r="P1035" t="str">
            <v>INGENIERO EN INFORMÁTICA</v>
          </cell>
          <cell r="Q1035" t="str">
            <v>TALCA</v>
          </cell>
          <cell r="R1035" t="str">
            <v>VIC. GESTIÓN ECONÓMICA Y ADMINISTRACIÓN</v>
          </cell>
          <cell r="S1035" t="str">
            <v>DEPARTAMENTO DE SISTEMAS</v>
          </cell>
        </row>
        <row r="1036">
          <cell r="A1036">
            <v>16616620</v>
          </cell>
          <cell r="B1036" t="str">
            <v>16616620</v>
          </cell>
          <cell r="C1036" t="str">
            <v>9</v>
          </cell>
          <cell r="D1036" t="str">
            <v>LILLO ROJAS MARIA IGNACIA</v>
          </cell>
          <cell r="E1036" t="str">
            <v>VGE400009</v>
          </cell>
          <cell r="F1036">
            <v>44</v>
          </cell>
          <cell r="G1036">
            <v>30</v>
          </cell>
          <cell r="H1036" t="str">
            <v>MARIA.LILLO@UTALCA.CL</v>
          </cell>
          <cell r="I1036">
            <v>45754</v>
          </cell>
          <cell r="J1036">
            <v>46387</v>
          </cell>
          <cell r="K1036" t="str">
            <v>CONTRATA</v>
          </cell>
          <cell r="L1036" t="str">
            <v>PROFESIONAL</v>
          </cell>
          <cell r="M1036" t="str">
            <v>PROFESIONAL</v>
          </cell>
          <cell r="N1036" t="str">
            <v>GRADO I.17</v>
          </cell>
          <cell r="O1036" t="str">
            <v>TÍTULO PROFESIONAL</v>
          </cell>
          <cell r="P1036" t="str">
            <v>ADMINISTRADOR PÚBLICO</v>
          </cell>
          <cell r="Q1036" t="str">
            <v>TALCA</v>
          </cell>
          <cell r="R1036" t="str">
            <v>VIC. GESTIÓN ECONÓMICA Y ADMINISTRACIÓN</v>
          </cell>
          <cell r="S1036" t="str">
            <v>DRCCIÓN. TECNOLOGÍAS DE LA INFORMACIÓN</v>
          </cell>
        </row>
        <row r="1037">
          <cell r="A1037">
            <v>16621641</v>
          </cell>
          <cell r="B1037" t="str">
            <v>16621641</v>
          </cell>
          <cell r="C1037" t="str">
            <v>9</v>
          </cell>
          <cell r="D1037" t="str">
            <v>SALINAS CORNEJO JOSSELYN ANDRE</v>
          </cell>
          <cell r="E1037" t="str">
            <v>ICB300001</v>
          </cell>
          <cell r="F1037">
            <v>22</v>
          </cell>
          <cell r="G1037">
            <v>30</v>
          </cell>
          <cell r="H1037" t="str">
            <v>JOSALINAS@UTALCA.CL</v>
          </cell>
          <cell r="I1037">
            <v>44621</v>
          </cell>
          <cell r="J1037">
            <v>46446</v>
          </cell>
          <cell r="K1037" t="str">
            <v>CONTRATA</v>
          </cell>
          <cell r="L1037" t="str">
            <v>CA DOCENTE</v>
          </cell>
          <cell r="M1037" t="str">
            <v>PROFESOR ASISTENTE</v>
          </cell>
          <cell r="N1037" t="str">
            <v>GRADO C</v>
          </cell>
          <cell r="O1037" t="str">
            <v>DOCTORADO</v>
          </cell>
          <cell r="P1037" t="str">
            <v>DOCTOR EN CIENCIAS MENCIÓN INGENIERÍA GENÉTIC</v>
          </cell>
          <cell r="Q1037" t="str">
            <v>TALCA</v>
          </cell>
          <cell r="R1037" t="str">
            <v>INSTITUTO DE CIENCIAS BIOLÓGICAS</v>
          </cell>
          <cell r="S1037" t="str">
            <v>INSTITUTO DE CIENCIAS BIOLÓGICAS</v>
          </cell>
        </row>
        <row r="1038">
          <cell r="A1038">
            <v>16651144</v>
          </cell>
          <cell r="B1038" t="str">
            <v>16651144</v>
          </cell>
          <cell r="C1038" t="str">
            <v>5</v>
          </cell>
          <cell r="D1038" t="str">
            <v>ALFARO QUEZADA JUAN FELIPE</v>
          </cell>
          <cell r="E1038" t="str">
            <v>VAC400024</v>
          </cell>
          <cell r="F1038">
            <v>44</v>
          </cell>
          <cell r="G1038">
            <v>30</v>
          </cell>
          <cell r="H1038" t="str">
            <v>JUAN.ALFARO@UTALCA.CL</v>
          </cell>
          <cell r="I1038">
            <v>45523</v>
          </cell>
          <cell r="J1038">
            <v>46252</v>
          </cell>
          <cell r="K1038" t="str">
            <v>CONTRATA</v>
          </cell>
          <cell r="L1038" t="str">
            <v>INVESTIGADOR ASISTENTE</v>
          </cell>
          <cell r="M1038" t="str">
            <v>INVESTIGADOR</v>
          </cell>
          <cell r="N1038" t="str">
            <v>SIN GRADO</v>
          </cell>
          <cell r="O1038" t="str">
            <v>DOCTORADO</v>
          </cell>
          <cell r="P1038" t="str">
            <v>DOCTORADO EN BIOTECNOLOGIA</v>
          </cell>
          <cell r="Q1038" t="str">
            <v>TALCA</v>
          </cell>
          <cell r="R1038" t="str">
            <v>VICERRECTORÍA ACADÉMICA</v>
          </cell>
          <cell r="S1038" t="str">
            <v>VICERRECTORÍA ACADÉMICA</v>
          </cell>
        </row>
        <row r="1039">
          <cell r="A1039">
            <v>16656538</v>
          </cell>
          <cell r="B1039" t="str">
            <v>16656538</v>
          </cell>
          <cell r="C1039" t="str">
            <v>3</v>
          </cell>
          <cell r="D1039" t="str">
            <v>AUSENSI TAPIA CAMILA</v>
          </cell>
          <cell r="E1039" t="str">
            <v>ADC021004</v>
          </cell>
          <cell r="F1039">
            <v>44</v>
          </cell>
          <cell r="G1039">
            <v>30</v>
          </cell>
          <cell r="H1039" t="str">
            <v>CAMILAAUSENSI@UTALCA.CL</v>
          </cell>
          <cell r="I1039">
            <v>43466</v>
          </cell>
          <cell r="J1039">
            <v>46387</v>
          </cell>
          <cell r="K1039" t="str">
            <v>CONTRATA</v>
          </cell>
          <cell r="L1039" t="str">
            <v>PROFESIONAL</v>
          </cell>
          <cell r="M1039" t="str">
            <v>PROFESIONAL</v>
          </cell>
          <cell r="N1039" t="str">
            <v>GRADO I.17</v>
          </cell>
          <cell r="O1039" t="str">
            <v>TÍTULO PROFESIONAL</v>
          </cell>
          <cell r="P1039" t="str">
            <v>DISEÑADOR GRÁFICO</v>
          </cell>
          <cell r="Q1039" t="str">
            <v>TALCA</v>
          </cell>
          <cell r="R1039" t="str">
            <v>DIRECCIÓN DE COMUNICACIONES CORPORATIVAS</v>
          </cell>
          <cell r="S1039" t="str">
            <v>DEPARTAMENTO DE BRANDING</v>
          </cell>
        </row>
        <row r="1040">
          <cell r="A1040">
            <v>16656789</v>
          </cell>
          <cell r="B1040" t="str">
            <v>16656789</v>
          </cell>
          <cell r="C1040" t="str">
            <v>0</v>
          </cell>
          <cell r="D1040" t="str">
            <v>DIAZ O RYAN CRISTIAN ANDRES</v>
          </cell>
          <cell r="E1040" t="str">
            <v>ADC021005</v>
          </cell>
          <cell r="F1040">
            <v>44</v>
          </cell>
          <cell r="G1040">
            <v>30</v>
          </cell>
          <cell r="H1040" t="str">
            <v>CRISTIANDIAZ@UTALCA.CL</v>
          </cell>
          <cell r="I1040">
            <v>43831</v>
          </cell>
          <cell r="J1040">
            <v>46387</v>
          </cell>
          <cell r="K1040" t="str">
            <v>CONTRATA</v>
          </cell>
          <cell r="L1040" t="str">
            <v>PROFESIONAL</v>
          </cell>
          <cell r="M1040" t="str">
            <v>PROFESIONAL</v>
          </cell>
          <cell r="N1040" t="str">
            <v>GRADO I.17</v>
          </cell>
          <cell r="O1040" t="str">
            <v>MAGISTER</v>
          </cell>
          <cell r="P1040" t="str">
            <v>MAESTRIA EN ARTES</v>
          </cell>
          <cell r="Q1040" t="str">
            <v>TALCA</v>
          </cell>
          <cell r="R1040" t="str">
            <v>DIRECCIÓN DE COMUNICACIONES CORPORATIVAS</v>
          </cell>
          <cell r="S1040" t="str">
            <v>DPTO. DE COMUNICACIÓN EXTERNA Y MEDIOS</v>
          </cell>
        </row>
        <row r="1041">
          <cell r="A1041">
            <v>16660151</v>
          </cell>
          <cell r="B1041" t="str">
            <v>16660151</v>
          </cell>
          <cell r="C1041" t="str">
            <v>7</v>
          </cell>
          <cell r="D1041" t="str">
            <v>MANCILLA IBACACHE GLORIA VALES</v>
          </cell>
          <cell r="E1041" t="str">
            <v/>
          </cell>
          <cell r="F1041">
            <v>33</v>
          </cell>
          <cell r="G1041">
            <v>30</v>
          </cell>
          <cell r="H1041" t="str">
            <v>GLORIAI.MANCILLA@UTALCA.CL</v>
          </cell>
          <cell r="I1041">
            <v>44927</v>
          </cell>
          <cell r="J1041">
            <v>46387</v>
          </cell>
          <cell r="K1041" t="str">
            <v>CONTRATA</v>
          </cell>
          <cell r="L1041" t="str">
            <v>PROFESIONAL</v>
          </cell>
          <cell r="M1041" t="str">
            <v>PROFESIONAL</v>
          </cell>
          <cell r="N1041" t="str">
            <v>GRADO I.17</v>
          </cell>
          <cell r="O1041" t="str">
            <v>TÍTULO PROFESIONAL</v>
          </cell>
          <cell r="P1041" t="str">
            <v>ABOGADA</v>
          </cell>
          <cell r="Q1041" t="str">
            <v>TALCA</v>
          </cell>
          <cell r="R1041" t="str">
            <v>FACULTAD CIENCIAS JURÍDICAS Y SOCIALES</v>
          </cell>
          <cell r="S1041" t="str">
            <v>CENTRO DE ESTUDIOS DE DERECHO PENAL</v>
          </cell>
        </row>
        <row r="1042">
          <cell r="A1042">
            <v>16679439</v>
          </cell>
          <cell r="B1042" t="str">
            <v>16679439</v>
          </cell>
          <cell r="C1042" t="str">
            <v>0</v>
          </cell>
          <cell r="D1042" t="str">
            <v>CASTILLO SALGADO GONZALO ANÍBA</v>
          </cell>
          <cell r="E1042" t="str">
            <v>ADC013003</v>
          </cell>
          <cell r="F1042">
            <v>44</v>
          </cell>
          <cell r="G1042">
            <v>30</v>
          </cell>
          <cell r="H1042" t="str">
            <v>GONZALO.CASTILLO@UTALCA.CL</v>
          </cell>
          <cell r="I1042">
            <v>44774</v>
          </cell>
          <cell r="J1042">
            <v>2958465</v>
          </cell>
          <cell r="K1042" t="str">
            <v>PLANTA</v>
          </cell>
          <cell r="L1042" t="str">
            <v>DIR EXCLU. CONFIANZA</v>
          </cell>
          <cell r="M1042" t="str">
            <v>DIR EXCLU. CONFIANZA</v>
          </cell>
          <cell r="N1042" t="str">
            <v>GRADO I.7</v>
          </cell>
          <cell r="O1042" t="str">
            <v>MAGISTER</v>
          </cell>
          <cell r="P1042" t="str">
            <v>MAGÍSTER EN DERECHO PÚBLICO MENCIÓN DERECHO A</v>
          </cell>
          <cell r="Q1042" t="str">
            <v>TALCA</v>
          </cell>
          <cell r="R1042" t="str">
            <v>CONTRALORÍA UNIVERSITARIA</v>
          </cell>
          <cell r="S1042" t="str">
            <v>DEPARTAMENTO DE CONTROL LEGAL</v>
          </cell>
        </row>
        <row r="1043">
          <cell r="A1043">
            <v>16688913</v>
          </cell>
          <cell r="B1043" t="str">
            <v>16688913</v>
          </cell>
          <cell r="C1043" t="str">
            <v>8</v>
          </cell>
          <cell r="D1043" t="str">
            <v>CORTES GUERRERO FERNANDO ANDRÉ</v>
          </cell>
          <cell r="E1043" t="str">
            <v>FCI320004</v>
          </cell>
          <cell r="F1043">
            <v>44</v>
          </cell>
          <cell r="G1043">
            <v>30</v>
          </cell>
          <cell r="H1043" t="str">
            <v>FERNANDO.CORTES@UTALCA.CL</v>
          </cell>
          <cell r="I1043">
            <v>45139</v>
          </cell>
          <cell r="J1043">
            <v>46446</v>
          </cell>
          <cell r="K1043" t="str">
            <v>CONTRATA</v>
          </cell>
          <cell r="L1043" t="str">
            <v>CA DOCENTE</v>
          </cell>
          <cell r="M1043" t="str">
            <v>INSTRUCTOR</v>
          </cell>
          <cell r="N1043" t="str">
            <v>GRADO D</v>
          </cell>
          <cell r="O1043" t="str">
            <v>MAGISTER</v>
          </cell>
          <cell r="P1043" t="str">
            <v>MAGISTER EN CIENCIAS MENCION FISICA</v>
          </cell>
          <cell r="Q1043" t="str">
            <v>CURICO</v>
          </cell>
          <cell r="R1043" t="str">
            <v>FACULTAD DE INGENIERÍA</v>
          </cell>
          <cell r="S1043" t="str">
            <v>DEPARTAMENTO DE TECNOLOGÍA INDUSTRIALES</v>
          </cell>
        </row>
        <row r="1044">
          <cell r="A1044">
            <v>16725902</v>
          </cell>
          <cell r="B1044" t="str">
            <v>16725902</v>
          </cell>
          <cell r="C1044" t="str">
            <v>2</v>
          </cell>
          <cell r="D1044" t="str">
            <v>VELASQUEZ HERRERA. DIEGO TOMAS</v>
          </cell>
          <cell r="E1044" t="str">
            <v/>
          </cell>
          <cell r="F1044">
            <v>44</v>
          </cell>
          <cell r="G1044">
            <v>30</v>
          </cell>
          <cell r="H1044" t="str">
            <v>DVELASQUEZ@UTALCA.CL</v>
          </cell>
          <cell r="I1044">
            <v>44927</v>
          </cell>
          <cell r="J1044">
            <v>46387</v>
          </cell>
          <cell r="K1044" t="str">
            <v>CONTRATA</v>
          </cell>
          <cell r="L1044" t="str">
            <v>PROFESIONAL</v>
          </cell>
          <cell r="M1044" t="str">
            <v>PROFESIONAL</v>
          </cell>
          <cell r="N1044" t="str">
            <v>GRADO I.17</v>
          </cell>
          <cell r="O1044" t="str">
            <v>TÍTULO PROFESIONAL</v>
          </cell>
          <cell r="P1044" t="str">
            <v>TECNOLOGO MEDICO MENCION: LABORATORIO CLINICO</v>
          </cell>
          <cell r="Q1044" t="str">
            <v>TALCA</v>
          </cell>
          <cell r="R1044" t="str">
            <v>FACULTAD DE CIENCIAS AGRARIAS</v>
          </cell>
          <cell r="S1044" t="str">
            <v>CENTRO DE INOCUIDAD ALIMENTARIA</v>
          </cell>
        </row>
        <row r="1045">
          <cell r="A1045">
            <v>16726018</v>
          </cell>
          <cell r="B1045" t="str">
            <v>16726018</v>
          </cell>
          <cell r="C1045" t="str">
            <v>7</v>
          </cell>
          <cell r="D1045" t="str">
            <v>GARCIA PEÑAILILLO CRISTIAN FRA</v>
          </cell>
          <cell r="E1045" t="str">
            <v>FCI320007</v>
          </cell>
          <cell r="F1045">
            <v>44</v>
          </cell>
          <cell r="G1045">
            <v>30</v>
          </cell>
          <cell r="H1045" t="str">
            <v>CRISTIAN.GARCIA@UTALCA.CL</v>
          </cell>
          <cell r="I1045">
            <v>43678</v>
          </cell>
          <cell r="J1045">
            <v>2958465</v>
          </cell>
          <cell r="K1045" t="str">
            <v>PLANTA</v>
          </cell>
          <cell r="L1045" t="str">
            <v>CA ORDINARIA</v>
          </cell>
          <cell r="M1045" t="str">
            <v>PROFESOR ASISTENTE</v>
          </cell>
          <cell r="N1045" t="str">
            <v>GRADO C</v>
          </cell>
          <cell r="O1045" t="str">
            <v>DOCTORADO</v>
          </cell>
          <cell r="P1045" t="str">
            <v>DOCTOR EN INGENIERÍA ELECTRÓNICA</v>
          </cell>
          <cell r="Q1045" t="str">
            <v>CURICO</v>
          </cell>
          <cell r="R1045" t="str">
            <v>FACULTAD DE INGENIERÍA</v>
          </cell>
          <cell r="S1045" t="str">
            <v>DEPARTAMENTO DE INGENIERÍA ELÉCTRICA</v>
          </cell>
        </row>
        <row r="1046">
          <cell r="A1046">
            <v>16726056</v>
          </cell>
          <cell r="B1046" t="str">
            <v>16726056</v>
          </cell>
          <cell r="C1046" t="str">
            <v>K</v>
          </cell>
          <cell r="D1046" t="str">
            <v>SEPULVEDA OPAZO FRANCISCA PILA</v>
          </cell>
          <cell r="E1046" t="str">
            <v>FCS340010</v>
          </cell>
          <cell r="F1046">
            <v>22</v>
          </cell>
          <cell r="G1046">
            <v>30</v>
          </cell>
          <cell r="H1046" t="str">
            <v>FRANCISCA.SEPULVEDA@UTALCA.CL</v>
          </cell>
          <cell r="I1046">
            <v>44743</v>
          </cell>
          <cell r="J1046">
            <v>46387</v>
          </cell>
          <cell r="K1046" t="str">
            <v>CONTRATA</v>
          </cell>
          <cell r="L1046" t="str">
            <v>C ESPECIALES</v>
          </cell>
          <cell r="M1046" t="str">
            <v>TUTOR(A) PRÁCTICA</v>
          </cell>
          <cell r="N1046" t="str">
            <v>SIN GRADO</v>
          </cell>
          <cell r="O1046" t="str">
            <v>MAGISTER</v>
          </cell>
          <cell r="P1046" t="str">
            <v>MAGISTER EN EDUCACION DIFERENCIAL Y PSICOPEDA</v>
          </cell>
          <cell r="Q1046" t="str">
            <v>TALCA</v>
          </cell>
          <cell r="R1046" t="str">
            <v>FACULTAD DE CIENCIAS DE LA SALUD</v>
          </cell>
          <cell r="S1046" t="str">
            <v>DPTO. DE CIENCIAS DE FONOAUDIOLOGÍA</v>
          </cell>
        </row>
        <row r="1047">
          <cell r="A1047">
            <v>16726280</v>
          </cell>
          <cell r="B1047" t="str">
            <v>16726280</v>
          </cell>
          <cell r="C1047" t="str">
            <v>5</v>
          </cell>
          <cell r="D1047" t="str">
            <v>SOTO SALAZAR FLAVIA LETICIA</v>
          </cell>
          <cell r="E1047" t="str">
            <v>VAC400082</v>
          </cell>
          <cell r="F1047">
            <v>44</v>
          </cell>
          <cell r="G1047">
            <v>30</v>
          </cell>
          <cell r="H1047" t="str">
            <v>FLSOTO@UTALCA.CL</v>
          </cell>
          <cell r="I1047">
            <v>45017</v>
          </cell>
          <cell r="J1047">
            <v>46260</v>
          </cell>
          <cell r="K1047" t="str">
            <v>CONTRATA</v>
          </cell>
          <cell r="L1047" t="str">
            <v>PROFESIONAL</v>
          </cell>
          <cell r="M1047" t="str">
            <v>PROFESIONAL</v>
          </cell>
          <cell r="N1047" t="str">
            <v>GRADO I.17</v>
          </cell>
          <cell r="O1047" t="str">
            <v>DOCTORADO</v>
          </cell>
          <cell r="P1047" t="str">
            <v>DOCTORA EN CIENCIAS MENCION INGENIERIA GENETI</v>
          </cell>
          <cell r="Q1047" t="str">
            <v>TALCA</v>
          </cell>
          <cell r="R1047" t="str">
            <v>VICERRECTORÍA ACADÉMICA</v>
          </cell>
          <cell r="S1047" t="str">
            <v>UN. DE GESTIÓN DE LA INNOVACIÓN Y EMPTO.</v>
          </cell>
        </row>
        <row r="1048">
          <cell r="A1048">
            <v>16726320</v>
          </cell>
          <cell r="B1048" t="str">
            <v>16726320</v>
          </cell>
          <cell r="C1048" t="str">
            <v>8</v>
          </cell>
          <cell r="D1048" t="str">
            <v>HERRERA NUÑEZ MARIA PAZ</v>
          </cell>
          <cell r="E1048" t="str">
            <v>FCA310001</v>
          </cell>
          <cell r="F1048">
            <v>44</v>
          </cell>
          <cell r="G1048">
            <v>30</v>
          </cell>
          <cell r="H1048" t="str">
            <v>MARIA.HERRERA@UTALCA.CL</v>
          </cell>
          <cell r="I1048">
            <v>44287</v>
          </cell>
          <cell r="J1048">
            <v>46387</v>
          </cell>
          <cell r="K1048" t="str">
            <v>CONTRATA</v>
          </cell>
          <cell r="L1048" t="str">
            <v>PROFESIONAL</v>
          </cell>
          <cell r="M1048" t="str">
            <v>PROFESIONAL</v>
          </cell>
          <cell r="N1048" t="str">
            <v>GRADO I.17</v>
          </cell>
          <cell r="O1048" t="str">
            <v>TÍTULO PROFESIONAL</v>
          </cell>
          <cell r="P1048" t="str">
            <v>INGENIERO AGRÓNOMO</v>
          </cell>
          <cell r="Q1048" t="str">
            <v>TALCA</v>
          </cell>
          <cell r="R1048" t="str">
            <v>FACULTAD DE CIENCIAS AGRARIAS</v>
          </cell>
          <cell r="S1048" t="str">
            <v>ESCUELA DE AGRONOMÍA</v>
          </cell>
        </row>
        <row r="1049">
          <cell r="A1049">
            <v>16726708</v>
          </cell>
          <cell r="B1049" t="str">
            <v>16726708</v>
          </cell>
          <cell r="C1049" t="str">
            <v>4</v>
          </cell>
          <cell r="D1049" t="str">
            <v>CASTRO DE LUISA DARIO ALEJANDR</v>
          </cell>
          <cell r="E1049" t="str">
            <v>VGE400003</v>
          </cell>
          <cell r="F1049">
            <v>44</v>
          </cell>
          <cell r="G1049">
            <v>30</v>
          </cell>
          <cell r="H1049" t="str">
            <v>DARIO.CASTRO@UTALCA.CL</v>
          </cell>
          <cell r="I1049">
            <v>44949</v>
          </cell>
          <cell r="J1049">
            <v>46387</v>
          </cell>
          <cell r="K1049" t="str">
            <v>CONTRATA</v>
          </cell>
          <cell r="L1049" t="str">
            <v>PROFESIONAL</v>
          </cell>
          <cell r="M1049" t="str">
            <v>PROFESIONAL</v>
          </cell>
          <cell r="N1049" t="str">
            <v>GRADO I.17</v>
          </cell>
          <cell r="O1049" t="str">
            <v>TÍTULO PROFESIONAL</v>
          </cell>
          <cell r="P1049" t="str">
            <v>INGENIERO CIVIL INDUSTRIAL</v>
          </cell>
          <cell r="Q1049" t="str">
            <v>TALCA</v>
          </cell>
          <cell r="R1049" t="str">
            <v>VIC. GESTIÓN ECONÓMICA Y ADMINISTRACIÓN</v>
          </cell>
          <cell r="S1049" t="str">
            <v>DEPARTAMENTO DE GESTIÓN DE PERSONAS</v>
          </cell>
        </row>
        <row r="1050">
          <cell r="A1050">
            <v>16726871</v>
          </cell>
          <cell r="B1050" t="str">
            <v>16726871</v>
          </cell>
          <cell r="C1050" t="str">
            <v>4</v>
          </cell>
          <cell r="D1050" t="str">
            <v>GONZALEZ CASTILLO MATIAS FRANC</v>
          </cell>
          <cell r="E1050" t="str">
            <v>VDE400001</v>
          </cell>
          <cell r="F1050">
            <v>44</v>
          </cell>
          <cell r="G1050">
            <v>30</v>
          </cell>
          <cell r="H1050" t="str">
            <v>MATGONZALEZ@UTALCA.CL</v>
          </cell>
          <cell r="I1050">
            <v>43466</v>
          </cell>
          <cell r="J1050">
            <v>46387</v>
          </cell>
          <cell r="K1050" t="str">
            <v>CONTRATA</v>
          </cell>
          <cell r="L1050" t="str">
            <v>ADMINISTRATIVO</v>
          </cell>
          <cell r="M1050" t="str">
            <v>ADMINISTRATIVO</v>
          </cell>
          <cell r="N1050" t="str">
            <v>GRADO I.21</v>
          </cell>
          <cell r="O1050" t="str">
            <v>TÍTULO PROFESIONAL</v>
          </cell>
          <cell r="P1050" t="str">
            <v>EGRESADO DE LA CARRERA DE DERECHO</v>
          </cell>
          <cell r="Q1050" t="str">
            <v>TALCA</v>
          </cell>
          <cell r="R1050" t="str">
            <v>VICERRECTORÍA DE DESARROLLO ESTUDIANTIL</v>
          </cell>
          <cell r="S1050" t="str">
            <v>DIRECCIÓN DE BIENESTAR ESTUDIANTIL</v>
          </cell>
        </row>
        <row r="1051">
          <cell r="A1051">
            <v>16727032</v>
          </cell>
          <cell r="B1051" t="str">
            <v>16727032</v>
          </cell>
          <cell r="C1051" t="str">
            <v>8</v>
          </cell>
          <cell r="D1051" t="str">
            <v>OROZCO CHAVEZ IGNACIO ANDRES</v>
          </cell>
          <cell r="E1051" t="str">
            <v>FCS320009</v>
          </cell>
          <cell r="F1051">
            <v>44</v>
          </cell>
          <cell r="G1051">
            <v>30</v>
          </cell>
          <cell r="H1051" t="str">
            <v>IOROZCO@UTALCA.CL</v>
          </cell>
          <cell r="I1051">
            <v>43556</v>
          </cell>
          <cell r="J1051">
            <v>46812</v>
          </cell>
          <cell r="K1051" t="str">
            <v>CONTRATA</v>
          </cell>
          <cell r="L1051" t="str">
            <v>CA DOCENTE</v>
          </cell>
          <cell r="M1051" t="str">
            <v>INSTRUCTOR</v>
          </cell>
          <cell r="N1051" t="str">
            <v>GRADO D</v>
          </cell>
          <cell r="O1051" t="str">
            <v>MAGISTER</v>
          </cell>
          <cell r="P1051" t="str">
            <v>MAGÍSTER EN MEDICINA Y CIENCIAS DEL DEPORTE</v>
          </cell>
          <cell r="Q1051" t="str">
            <v>TALCA</v>
          </cell>
          <cell r="R1051" t="str">
            <v>FACULTAD DE CIENCIAS DE LA SALUD</v>
          </cell>
          <cell r="S1051" t="str">
            <v>DPTO. DE CIENCIAS DEL MOVIMIENTO HUMANO</v>
          </cell>
        </row>
        <row r="1052">
          <cell r="A1052">
            <v>16728564</v>
          </cell>
          <cell r="B1052" t="str">
            <v>16728564</v>
          </cell>
          <cell r="C1052" t="str">
            <v>3</v>
          </cell>
          <cell r="D1052" t="str">
            <v>BRAVO TOBAR CAROLINA ELIZABETH</v>
          </cell>
          <cell r="E1052" t="str">
            <v>FED200001</v>
          </cell>
          <cell r="F1052">
            <v>44</v>
          </cell>
          <cell r="G1052">
            <v>30</v>
          </cell>
          <cell r="H1052" t="str">
            <v>CAROLBRAVO@UTALCA.CL</v>
          </cell>
          <cell r="I1052">
            <v>43831</v>
          </cell>
          <cell r="J1052">
            <v>46387</v>
          </cell>
          <cell r="K1052" t="str">
            <v>CONTRATA</v>
          </cell>
          <cell r="L1052" t="str">
            <v>PROFESIONAL</v>
          </cell>
          <cell r="M1052" t="str">
            <v>PROFESIONAL</v>
          </cell>
          <cell r="N1052" t="str">
            <v>GRADO I.17</v>
          </cell>
          <cell r="O1052" t="str">
            <v>MAGISTER</v>
          </cell>
          <cell r="P1052" t="str">
            <v>MAGISTER EN EDUCACION BASADA EN COMPETENCIAS</v>
          </cell>
          <cell r="Q1052" t="str">
            <v>LINARES</v>
          </cell>
          <cell r="R1052" t="str">
            <v>FACULTAD DE CIENCIAS DE LA EDUCACIÓN</v>
          </cell>
          <cell r="S1052" t="str">
            <v>FACULTAD DE CIENCIAS DE LA EDUCACIÓN</v>
          </cell>
        </row>
        <row r="1053">
          <cell r="A1053">
            <v>16728566</v>
          </cell>
          <cell r="B1053" t="str">
            <v>16728566</v>
          </cell>
          <cell r="C1053" t="str">
            <v>K</v>
          </cell>
          <cell r="D1053" t="str">
            <v>CERECEDA VALENZUELA DANIEL ALE</v>
          </cell>
          <cell r="E1053" t="str">
            <v>VGE400054</v>
          </cell>
          <cell r="F1053">
            <v>44</v>
          </cell>
          <cell r="G1053">
            <v>30</v>
          </cell>
          <cell r="H1053" t="str">
            <v>ALCERECEDA@UTALCA.CL</v>
          </cell>
          <cell r="I1053">
            <v>43466</v>
          </cell>
          <cell r="J1053">
            <v>46387</v>
          </cell>
          <cell r="K1053" t="str">
            <v>CONTRATA</v>
          </cell>
          <cell r="L1053" t="str">
            <v>ADMINISTRATIVO</v>
          </cell>
          <cell r="M1053" t="str">
            <v>ADMINISTRATIVO</v>
          </cell>
          <cell r="N1053" t="str">
            <v>GRADO I.21</v>
          </cell>
          <cell r="O1053" t="str">
            <v>ESCOLARIDAD CIENT HU</v>
          </cell>
          <cell r="P1053" t="str">
            <v>LICENCIA ENSEÑANZA MEDIA</v>
          </cell>
          <cell r="Q1053" t="str">
            <v>TALCA</v>
          </cell>
          <cell r="R1053" t="str">
            <v>VIC. GESTIÓN ECONÓMICA Y ADMINISTRACIÓN</v>
          </cell>
          <cell r="S1053" t="str">
            <v>DEPARTAMENTO DE SERVICIOS  Y PROCESOS TI</v>
          </cell>
        </row>
        <row r="1054">
          <cell r="A1054">
            <v>16728823</v>
          </cell>
          <cell r="B1054" t="str">
            <v>16728823</v>
          </cell>
          <cell r="C1054" t="str">
            <v>5</v>
          </cell>
          <cell r="D1054" t="str">
            <v>VALENZUELA BRIONES CAMILA MARI</v>
          </cell>
          <cell r="E1054" t="str">
            <v>FCS340010</v>
          </cell>
          <cell r="F1054">
            <v>44</v>
          </cell>
          <cell r="G1054">
            <v>30</v>
          </cell>
          <cell r="H1054" t="str">
            <v>CAMILA.VALENZUELA@UTALCA.CL</v>
          </cell>
          <cell r="I1054">
            <v>44927</v>
          </cell>
          <cell r="J1054">
            <v>46387</v>
          </cell>
          <cell r="K1054" t="str">
            <v>CONTRATA</v>
          </cell>
          <cell r="L1054" t="str">
            <v>ADMINISTRATIVO</v>
          </cell>
          <cell r="M1054" t="str">
            <v>ADMINISTRATIVO</v>
          </cell>
          <cell r="N1054" t="str">
            <v>GRADO I.21</v>
          </cell>
          <cell r="O1054" t="str">
            <v>LICENCIADO</v>
          </cell>
          <cell r="P1054" t="str">
            <v>TECNICO DE NIVEL MEDIO EN MENCION DE ENFERMER</v>
          </cell>
          <cell r="Q1054" t="str">
            <v>TALCA</v>
          </cell>
          <cell r="R1054" t="str">
            <v>FACULTAD DE CIENCIAS DE LA SALUD</v>
          </cell>
          <cell r="S1054" t="str">
            <v>CLÍNICAS DE FONOAUDIOLOGÍA</v>
          </cell>
        </row>
        <row r="1055">
          <cell r="A1055">
            <v>16729127</v>
          </cell>
          <cell r="B1055" t="str">
            <v>16729127</v>
          </cell>
          <cell r="C1055" t="str">
            <v>9</v>
          </cell>
          <cell r="D1055" t="str">
            <v>DIAZ CANCINO MIGUEL ARIEL</v>
          </cell>
          <cell r="E1055" t="str">
            <v>VGE400031</v>
          </cell>
          <cell r="F1055">
            <v>44</v>
          </cell>
          <cell r="G1055">
            <v>30</v>
          </cell>
          <cell r="H1055" t="str">
            <v>MIGUEL.DIAZ@UTALCA.CL</v>
          </cell>
          <cell r="I1055">
            <v>43466</v>
          </cell>
          <cell r="J1055">
            <v>46387</v>
          </cell>
          <cell r="K1055" t="str">
            <v>CONTRATA</v>
          </cell>
          <cell r="L1055" t="str">
            <v>ADMINISTRATIVO</v>
          </cell>
          <cell r="M1055" t="str">
            <v>ADMINISTRATIVO</v>
          </cell>
          <cell r="N1055" t="str">
            <v>GRADO I.21</v>
          </cell>
          <cell r="O1055" t="str">
            <v>TÍTULO PROFESIONAL</v>
          </cell>
          <cell r="P1055" t="str">
            <v>INGENIERO DE EJECUCION EN ADMINISTRACION</v>
          </cell>
          <cell r="Q1055" t="str">
            <v>TALCA</v>
          </cell>
          <cell r="R1055" t="str">
            <v>VIC. GESTIÓN ECONÓMICA Y ADMINISTRACIÓN</v>
          </cell>
          <cell r="S1055" t="str">
            <v>DPTO. DE APOYO FINANCIERO AL ESTUDIANTE</v>
          </cell>
        </row>
        <row r="1056">
          <cell r="A1056">
            <v>16729137</v>
          </cell>
          <cell r="B1056" t="str">
            <v>16729137</v>
          </cell>
          <cell r="C1056" t="str">
            <v>6</v>
          </cell>
          <cell r="D1056" t="str">
            <v>CORDOVA MOYA PABLO ENRIQUE</v>
          </cell>
          <cell r="E1056" t="str">
            <v>ICB300001</v>
          </cell>
          <cell r="F1056">
            <v>44</v>
          </cell>
          <cell r="G1056">
            <v>30</v>
          </cell>
          <cell r="H1056" t="str">
            <v>PCORDOVA@UTALCA.CL</v>
          </cell>
          <cell r="I1056">
            <v>44197</v>
          </cell>
          <cell r="J1056">
            <v>46387</v>
          </cell>
          <cell r="K1056" t="str">
            <v>CONTRATA</v>
          </cell>
          <cell r="L1056" t="str">
            <v>AUXILIAR</v>
          </cell>
          <cell r="M1056" t="str">
            <v>AUXILIAR</v>
          </cell>
          <cell r="N1056" t="str">
            <v>GRADO I.24</v>
          </cell>
          <cell r="O1056" t="str">
            <v>ESCOLARIDAD CIENT HU</v>
          </cell>
          <cell r="P1056" t="str">
            <v>MEDIA TÉCNICO PROFESIONAL COMPLETA</v>
          </cell>
          <cell r="Q1056" t="str">
            <v>TALCA</v>
          </cell>
          <cell r="R1056" t="str">
            <v>INSTITUTO DE CIENCIAS BIOLÓGICAS</v>
          </cell>
          <cell r="S1056" t="str">
            <v>INSTITUTO DE CIENCIAS BIOLÓGICAS</v>
          </cell>
        </row>
        <row r="1057">
          <cell r="A1057">
            <v>16729368</v>
          </cell>
          <cell r="B1057" t="str">
            <v>16729368</v>
          </cell>
          <cell r="C1057" t="str">
            <v>9</v>
          </cell>
          <cell r="D1057" t="str">
            <v>SOTO ALBORNOZ CAMILA  IGNACIA</v>
          </cell>
          <cell r="E1057" t="str">
            <v>ADC021005</v>
          </cell>
          <cell r="F1057">
            <v>44</v>
          </cell>
          <cell r="G1057">
            <v>30</v>
          </cell>
          <cell r="H1057" t="str">
            <v>CAMILASOTO@UTALCA.CL</v>
          </cell>
          <cell r="I1057">
            <v>44197</v>
          </cell>
          <cell r="J1057">
            <v>46387</v>
          </cell>
          <cell r="K1057" t="str">
            <v>CONTRATA</v>
          </cell>
          <cell r="L1057" t="str">
            <v>PROFESIONAL</v>
          </cell>
          <cell r="M1057" t="str">
            <v>PROFESIONAL</v>
          </cell>
          <cell r="N1057" t="str">
            <v>GRADO I.17</v>
          </cell>
          <cell r="O1057" t="str">
            <v>TÍTULO PROFESIONAL</v>
          </cell>
          <cell r="P1057" t="str">
            <v>PERIODISTA</v>
          </cell>
          <cell r="Q1057" t="str">
            <v>TALCA</v>
          </cell>
          <cell r="R1057" t="str">
            <v>DIRECCIÓN DE COMUNICACIONES CORPORATIVAS</v>
          </cell>
          <cell r="S1057" t="str">
            <v>DPTO. DE COMUNICACIÓN EXTERNA Y MEDIOS</v>
          </cell>
        </row>
        <row r="1058">
          <cell r="A1058">
            <v>16729497</v>
          </cell>
          <cell r="B1058" t="str">
            <v>16729497</v>
          </cell>
          <cell r="C1058" t="str">
            <v>9</v>
          </cell>
          <cell r="D1058" t="str">
            <v>GAJARDO ORELLANA LINDA CRISTEL</v>
          </cell>
          <cell r="E1058" t="str">
            <v>VGE400054</v>
          </cell>
          <cell r="F1058">
            <v>44</v>
          </cell>
          <cell r="G1058">
            <v>30</v>
          </cell>
          <cell r="H1058" t="str">
            <v>LGAJARDO@UTALCA.CL</v>
          </cell>
          <cell r="I1058">
            <v>43466</v>
          </cell>
          <cell r="J1058">
            <v>46387</v>
          </cell>
          <cell r="K1058" t="str">
            <v>CONTRATA</v>
          </cell>
          <cell r="L1058" t="str">
            <v>ADMINISTRATIVO</v>
          </cell>
          <cell r="M1058" t="str">
            <v>ADMINISTRATIVO</v>
          </cell>
          <cell r="N1058" t="str">
            <v>GRADO I.21</v>
          </cell>
          <cell r="O1058" t="str">
            <v>TÉC. NIVEL MEDIO</v>
          </cell>
          <cell r="P1058" t="str">
            <v>TECNICO PROFESIONAL</v>
          </cell>
          <cell r="Q1058" t="str">
            <v>TALCA</v>
          </cell>
          <cell r="R1058" t="str">
            <v>VIC. GESTIÓN ECONÓMICA Y ADMINISTRACIÓN</v>
          </cell>
          <cell r="S1058" t="str">
            <v>DEPARTAMENTO DE SERVICIOS  Y PROCESOS TI</v>
          </cell>
        </row>
        <row r="1059">
          <cell r="A1059">
            <v>16729754</v>
          </cell>
          <cell r="B1059" t="str">
            <v>16729754</v>
          </cell>
          <cell r="C1059" t="str">
            <v>4</v>
          </cell>
          <cell r="D1059" t="str">
            <v>MORALES AVACA MARIA JOSE</v>
          </cell>
          <cell r="E1059" t="str">
            <v/>
          </cell>
          <cell r="F1059">
            <v>44</v>
          </cell>
          <cell r="G1059">
            <v>30</v>
          </cell>
          <cell r="H1059" t="str">
            <v>MAMORALES@UTALCA.CL</v>
          </cell>
          <cell r="I1059">
            <v>44927</v>
          </cell>
          <cell r="J1059">
            <v>46387</v>
          </cell>
          <cell r="K1059" t="str">
            <v>CONTRATA</v>
          </cell>
          <cell r="L1059" t="str">
            <v>TÉCNICO</v>
          </cell>
          <cell r="M1059" t="str">
            <v>TÉCNICO</v>
          </cell>
          <cell r="N1059" t="str">
            <v>GRADO I.23</v>
          </cell>
          <cell r="O1059" t="str">
            <v>TÉC. NIVEL MEDIO</v>
          </cell>
          <cell r="P1059" t="str">
            <v>SECRETARIA, TECNICO NIVEL MEDIO</v>
          </cell>
          <cell r="Q1059" t="str">
            <v>TALCA</v>
          </cell>
          <cell r="R1059" t="str">
            <v>FACULTAD DE CIENCIAS AGRARIAS</v>
          </cell>
          <cell r="S1059" t="str">
            <v>CENTRO DE INOCUIDAD ALIMENTARIA</v>
          </cell>
        </row>
        <row r="1060">
          <cell r="A1060">
            <v>16730096</v>
          </cell>
          <cell r="B1060" t="str">
            <v>16730096</v>
          </cell>
          <cell r="C1060" t="str">
            <v>0</v>
          </cell>
          <cell r="D1060" t="str">
            <v>FUENTES GARCIA ELIZABETH NOEMI</v>
          </cell>
          <cell r="E1060" t="str">
            <v>ADC021001</v>
          </cell>
          <cell r="F1060">
            <v>44</v>
          </cell>
          <cell r="G1060">
            <v>30</v>
          </cell>
          <cell r="H1060" t="str">
            <v>E.FUENTES@UTALCA.CL</v>
          </cell>
          <cell r="I1060">
            <v>42217</v>
          </cell>
          <cell r="J1060">
            <v>46387</v>
          </cell>
          <cell r="K1060" t="str">
            <v>CONTRATA</v>
          </cell>
          <cell r="L1060" t="str">
            <v>ADMINISTRATIVO</v>
          </cell>
          <cell r="M1060" t="str">
            <v>ADMINISTRATIVO</v>
          </cell>
          <cell r="N1060" t="str">
            <v>GRADO I.21</v>
          </cell>
          <cell r="O1060" t="str">
            <v>MAGISTER</v>
          </cell>
          <cell r="P1060" t="str">
            <v>MAGISTER EN ADMINISTRACION DE EMPRESAS MENCIÓ</v>
          </cell>
          <cell r="Q1060" t="str">
            <v>TALCA</v>
          </cell>
          <cell r="R1060" t="str">
            <v>DIRECCIÓN DE COMUNICACIONES CORPORATIVAS</v>
          </cell>
          <cell r="S1060" t="str">
            <v>DIRECCIÓN DE COMUNICACIONES CORPORATIVAS</v>
          </cell>
        </row>
        <row r="1061">
          <cell r="A1061">
            <v>16730555</v>
          </cell>
          <cell r="B1061" t="str">
            <v>16730555</v>
          </cell>
          <cell r="C1061" t="str">
            <v>5</v>
          </cell>
          <cell r="D1061" t="str">
            <v>STAPPUNG GONZALEZ YAZMINA SOLE</v>
          </cell>
          <cell r="E1061" t="str">
            <v>ICB300001</v>
          </cell>
          <cell r="F1061">
            <v>44</v>
          </cell>
          <cell r="G1061">
            <v>30</v>
          </cell>
          <cell r="H1061" t="str">
            <v>YSTAPPUNG@UTALCA.CL</v>
          </cell>
          <cell r="I1061">
            <v>43466</v>
          </cell>
          <cell r="J1061">
            <v>46387</v>
          </cell>
          <cell r="K1061" t="str">
            <v>CONTRATA</v>
          </cell>
          <cell r="L1061" t="str">
            <v>PROFESIONAL</v>
          </cell>
          <cell r="M1061" t="str">
            <v>PROFESIONAL</v>
          </cell>
          <cell r="N1061" t="str">
            <v>GRADO I.17</v>
          </cell>
          <cell r="O1061" t="str">
            <v>TÍTULO PROFESIONAL</v>
          </cell>
          <cell r="P1061" t="str">
            <v>INGENIERO EN BIOINFORMÁTICA</v>
          </cell>
          <cell r="Q1061" t="str">
            <v>TALCA</v>
          </cell>
          <cell r="R1061" t="str">
            <v>INSTITUTO DE CIENCIAS BIOLÓGICAS</v>
          </cell>
          <cell r="S1061" t="str">
            <v>INSTITUTO DE CIENCIAS BIOLÓGICAS</v>
          </cell>
        </row>
        <row r="1062">
          <cell r="A1062">
            <v>16730712</v>
          </cell>
          <cell r="B1062" t="str">
            <v>16730712</v>
          </cell>
          <cell r="C1062" t="str">
            <v>4</v>
          </cell>
          <cell r="D1062" t="str">
            <v>BRAVO TAPIA FRANCISCO JAVIER</v>
          </cell>
          <cell r="E1062" t="str">
            <v>IAM320001</v>
          </cell>
          <cell r="F1062">
            <v>44</v>
          </cell>
          <cell r="G1062">
            <v>30</v>
          </cell>
          <cell r="H1062" t="str">
            <v>FJBRAVO@UTALCA.CL</v>
          </cell>
          <cell r="I1062">
            <v>43831</v>
          </cell>
          <cell r="J1062">
            <v>46387</v>
          </cell>
          <cell r="K1062" t="str">
            <v>CONTRATA</v>
          </cell>
          <cell r="L1062" t="str">
            <v>PROFESIONAL</v>
          </cell>
          <cell r="M1062" t="str">
            <v>TÉCNICO</v>
          </cell>
          <cell r="N1062" t="str">
            <v>GRADO I.23</v>
          </cell>
          <cell r="O1062" t="str">
            <v>TÉC. NIVEL SUPERIOR</v>
          </cell>
          <cell r="P1062" t="str">
            <v>TÉCNICO DE NIVEL SUPERIOR EN COMUNICACIÓN AUD</v>
          </cell>
          <cell r="Q1062" t="str">
            <v>TALCA</v>
          </cell>
          <cell r="R1062" t="str">
            <v>INST. ESTUDIOS HUMANÍSTICOS ABATE J.I.M.</v>
          </cell>
          <cell r="S1062" t="str">
            <v>CENTRO DE DOCUMENTACIÓN PATRIMONIAL</v>
          </cell>
        </row>
        <row r="1063">
          <cell r="A1063">
            <v>16731057</v>
          </cell>
          <cell r="B1063" t="str">
            <v>16731057</v>
          </cell>
          <cell r="C1063" t="str">
            <v>5</v>
          </cell>
          <cell r="D1063" t="str">
            <v>RAVELLO MEDEL MARTA NATALIA</v>
          </cell>
          <cell r="E1063" t="str">
            <v>FCS320011</v>
          </cell>
          <cell r="F1063">
            <v>44</v>
          </cell>
          <cell r="G1063">
            <v>30</v>
          </cell>
          <cell r="H1063" t="str">
            <v>MRAVELLO@UTALCA.CL</v>
          </cell>
          <cell r="I1063">
            <v>43466</v>
          </cell>
          <cell r="J1063">
            <v>46387</v>
          </cell>
          <cell r="K1063" t="str">
            <v>CONTRATA</v>
          </cell>
          <cell r="L1063" t="str">
            <v>ADMINISTRATIVO</v>
          </cell>
          <cell r="M1063" t="str">
            <v>ADMINISTRATIVO</v>
          </cell>
          <cell r="N1063" t="str">
            <v>GRADO I.21</v>
          </cell>
          <cell r="O1063" t="str">
            <v>TÉC. NIVEL MEDIO</v>
          </cell>
          <cell r="P1063" t="str">
            <v>TÉCNICO NIVEL MEDIO LABORATORIO QUÍMICO</v>
          </cell>
          <cell r="Q1063" t="str">
            <v>TALCA</v>
          </cell>
          <cell r="R1063" t="str">
            <v>FACULTAD DE CIENCIAS DE LA SALUD</v>
          </cell>
          <cell r="S1063" t="str">
            <v>DEPTO. CIENCIAS DE LA NUT. Y ALIMENTOS</v>
          </cell>
        </row>
        <row r="1064">
          <cell r="A1064">
            <v>16731276</v>
          </cell>
          <cell r="B1064" t="str">
            <v>16731276</v>
          </cell>
          <cell r="C1064" t="str">
            <v>4</v>
          </cell>
          <cell r="D1064" t="str">
            <v>NOVOA BAEZA BLANCA DEL CARMEN</v>
          </cell>
          <cell r="E1064" t="str">
            <v>VDE400001</v>
          </cell>
          <cell r="F1064">
            <v>44</v>
          </cell>
          <cell r="G1064">
            <v>30</v>
          </cell>
          <cell r="H1064" t="str">
            <v>BNOVOA@UTALCA.CL</v>
          </cell>
          <cell r="I1064">
            <v>43466</v>
          </cell>
          <cell r="J1064">
            <v>46387</v>
          </cell>
          <cell r="K1064" t="str">
            <v>CONTRATA</v>
          </cell>
          <cell r="L1064" t="str">
            <v>PROFESIONAL</v>
          </cell>
          <cell r="M1064" t="str">
            <v>PROFESIONAL</v>
          </cell>
          <cell r="N1064" t="str">
            <v>GRADO I.17</v>
          </cell>
          <cell r="O1064" t="str">
            <v>TÉC. NIVEL SUPERIOR</v>
          </cell>
          <cell r="P1064" t="str">
            <v>ASISTENTE SOCIAL</v>
          </cell>
          <cell r="Q1064" t="str">
            <v>TALCA</v>
          </cell>
          <cell r="R1064" t="str">
            <v>VICERRECTORÍA DE DESARROLLO ESTUDIANTIL</v>
          </cell>
          <cell r="S1064" t="str">
            <v>DIRECCIÓN DE BIENESTAR ESTUDIANTIL</v>
          </cell>
        </row>
        <row r="1065">
          <cell r="A1065">
            <v>16731701</v>
          </cell>
          <cell r="B1065" t="str">
            <v>16731701</v>
          </cell>
          <cell r="C1065" t="str">
            <v>4</v>
          </cell>
          <cell r="D1065" t="str">
            <v>SANDOVAL SALAS DALILA MACARENA</v>
          </cell>
          <cell r="E1065" t="str">
            <v>FOD320002</v>
          </cell>
          <cell r="F1065">
            <v>33</v>
          </cell>
          <cell r="G1065">
            <v>30</v>
          </cell>
          <cell r="H1065" t="str">
            <v>DALSANDOVAL@UTALCA.CL</v>
          </cell>
          <cell r="I1065">
            <v>44713</v>
          </cell>
          <cell r="J1065">
            <v>46446</v>
          </cell>
          <cell r="K1065" t="str">
            <v>CONTRATA</v>
          </cell>
          <cell r="L1065" t="str">
            <v>CA DOCENTE</v>
          </cell>
          <cell r="M1065" t="str">
            <v>INSTRUCTOR</v>
          </cell>
          <cell r="N1065" t="str">
            <v>GRADO D</v>
          </cell>
          <cell r="O1065" t="str">
            <v>MAGISTER</v>
          </cell>
          <cell r="P1065" t="str">
            <v>MAGISTER EN EDUCACION UNIVERSITARIA PARA CIEN</v>
          </cell>
          <cell r="Q1065" t="str">
            <v>TALCA</v>
          </cell>
          <cell r="R1065" t="str">
            <v>FACULTAD DE ODONTOLOGÍA</v>
          </cell>
          <cell r="S1065" t="str">
            <v>DEPARTAMENTO DE ESTOMATOLOGÍA</v>
          </cell>
        </row>
        <row r="1066">
          <cell r="A1066">
            <v>16731887</v>
          </cell>
          <cell r="B1066" t="str">
            <v>16731887</v>
          </cell>
          <cell r="C1066" t="str">
            <v>8</v>
          </cell>
          <cell r="D1066" t="str">
            <v>TORO URREA SANDY SISTAL</v>
          </cell>
          <cell r="E1066" t="str">
            <v>VGE400004</v>
          </cell>
          <cell r="F1066">
            <v>44</v>
          </cell>
          <cell r="G1066">
            <v>30</v>
          </cell>
          <cell r="H1066" t="str">
            <v>STORO@UTALCA.CL</v>
          </cell>
          <cell r="I1066">
            <v>43831</v>
          </cell>
          <cell r="J1066">
            <v>46387</v>
          </cell>
          <cell r="K1066" t="str">
            <v>CONTRATA</v>
          </cell>
          <cell r="L1066" t="str">
            <v>ADMINISTRATIVO</v>
          </cell>
          <cell r="M1066" t="str">
            <v>ADMINISTRATIVO</v>
          </cell>
          <cell r="N1066" t="str">
            <v>GRADO I.21</v>
          </cell>
          <cell r="O1066" t="str">
            <v>ESCOLARIDAD CIENT HU</v>
          </cell>
          <cell r="P1066" t="str">
            <v>LICENCIA ENSEÑANZA MEDIA</v>
          </cell>
          <cell r="Q1066" t="str">
            <v>TALCA</v>
          </cell>
          <cell r="R1066" t="str">
            <v>VIC. GESTIÓN ECONÓMICA Y ADMINISTRACIÓN</v>
          </cell>
          <cell r="S1066" t="str">
            <v>DEPARTAMENTO DE CONTABILIDAD Y BIENES</v>
          </cell>
        </row>
        <row r="1067">
          <cell r="A1067">
            <v>16731948</v>
          </cell>
          <cell r="B1067" t="str">
            <v>16731948</v>
          </cell>
          <cell r="C1067" t="str">
            <v>3</v>
          </cell>
          <cell r="D1067" t="str">
            <v>TORRES RAMIREZ JESSICA FERNAND</v>
          </cell>
          <cell r="E1067" t="str">
            <v>VGE400008</v>
          </cell>
          <cell r="F1067">
            <v>44</v>
          </cell>
          <cell r="G1067">
            <v>30</v>
          </cell>
          <cell r="H1067" t="str">
            <v>JETORRES@UTALCA.CL</v>
          </cell>
          <cell r="I1067">
            <v>43466</v>
          </cell>
          <cell r="J1067">
            <v>46387</v>
          </cell>
          <cell r="K1067" t="str">
            <v>CONTRATA</v>
          </cell>
          <cell r="L1067" t="str">
            <v>ADMINISTRATIVO</v>
          </cell>
          <cell r="M1067" t="str">
            <v>PROFESIONAL</v>
          </cell>
          <cell r="N1067" t="str">
            <v>GRADO I.17</v>
          </cell>
          <cell r="O1067" t="str">
            <v>TÍTULO PROFESIONAL</v>
          </cell>
          <cell r="P1067" t="str">
            <v>INGENIERO DE EJECUCIÓN EN ADMINISTRACIÓN DE E</v>
          </cell>
          <cell r="Q1067" t="str">
            <v>TALCA</v>
          </cell>
          <cell r="R1067" t="str">
            <v>VIC. GESTIÓN ECONÓMICA Y ADMINISTRACIÓN</v>
          </cell>
          <cell r="S1067" t="str">
            <v>DEPARTAMENTO DE DESARROLLO DE PERSONAS</v>
          </cell>
        </row>
        <row r="1068">
          <cell r="A1068">
            <v>16737166</v>
          </cell>
          <cell r="B1068" t="str">
            <v>16737166</v>
          </cell>
          <cell r="C1068" t="str">
            <v>3</v>
          </cell>
          <cell r="D1068" t="str">
            <v>ROMERO TAPIA ANDREA FERNANDA</v>
          </cell>
          <cell r="E1068" t="str">
            <v>FED200001</v>
          </cell>
          <cell r="F1068">
            <v>44</v>
          </cell>
          <cell r="G1068">
            <v>30</v>
          </cell>
          <cell r="H1068" t="str">
            <v>ANDREA.ROMERO@UTALCA.CL</v>
          </cell>
          <cell r="I1068">
            <v>44927</v>
          </cell>
          <cell r="J1068">
            <v>46387</v>
          </cell>
          <cell r="K1068" t="str">
            <v>CONTRATA</v>
          </cell>
          <cell r="L1068" t="str">
            <v>C ESPECIALES</v>
          </cell>
          <cell r="M1068" t="str">
            <v>TUTOR(A) PRÁCTICA</v>
          </cell>
          <cell r="N1068" t="str">
            <v>SIN GRADO</v>
          </cell>
          <cell r="O1068" t="str">
            <v>TÍTULO PROFESIONAL</v>
          </cell>
          <cell r="P1068" t="str">
            <v>PROFESORA DE MATEMATICA Y COMPUTACION</v>
          </cell>
          <cell r="Q1068" t="str">
            <v>LINARES</v>
          </cell>
          <cell r="R1068" t="str">
            <v>FACULTAD DE CIENCIAS DE LA EDUCACIÓN</v>
          </cell>
          <cell r="S1068" t="str">
            <v>FACULTAD DE CIENCIAS DE LA EDUCACIÓN</v>
          </cell>
        </row>
        <row r="1069">
          <cell r="A1069">
            <v>16739290</v>
          </cell>
          <cell r="B1069" t="str">
            <v>16739290</v>
          </cell>
          <cell r="C1069" t="str">
            <v>3</v>
          </cell>
          <cell r="D1069" t="str">
            <v>ESCOBEDO ECHEVERRIA VICTOR MAN</v>
          </cell>
          <cell r="E1069" t="str">
            <v>VAC400024</v>
          </cell>
          <cell r="F1069">
            <v>44</v>
          </cell>
          <cell r="G1069">
            <v>30</v>
          </cell>
          <cell r="H1069" t="str">
            <v>VICTOR.ESCOBEDO@UTALCA.CL</v>
          </cell>
          <cell r="I1069">
            <v>44927</v>
          </cell>
          <cell r="J1069">
            <v>46387</v>
          </cell>
          <cell r="K1069" t="str">
            <v>CONTRATA</v>
          </cell>
          <cell r="L1069" t="str">
            <v>C ESPECIALES</v>
          </cell>
          <cell r="M1069" t="str">
            <v>INVESTIGADOR</v>
          </cell>
          <cell r="N1069" t="str">
            <v>SIN GRADO</v>
          </cell>
          <cell r="O1069" t="str">
            <v>DOCTORADO</v>
          </cell>
          <cell r="P1069" t="str">
            <v>DOCTOR EN BIOLOGÍA Y ECOLOGÍA APLICADA</v>
          </cell>
          <cell r="Q1069" t="str">
            <v>TALCA</v>
          </cell>
          <cell r="R1069" t="str">
            <v>VICERRECTORÍA ACADÉMICA</v>
          </cell>
          <cell r="S1069" t="str">
            <v>VICERRECTORÍA ACADÉMICA</v>
          </cell>
        </row>
        <row r="1070">
          <cell r="A1070">
            <v>16773985</v>
          </cell>
          <cell r="B1070" t="str">
            <v>16773985</v>
          </cell>
          <cell r="C1070" t="str">
            <v>7</v>
          </cell>
          <cell r="D1070" t="str">
            <v>QUILAQUEO SAEZ DANIELA</v>
          </cell>
          <cell r="E1070" t="str">
            <v>FCS320010</v>
          </cell>
          <cell r="F1070">
            <v>44</v>
          </cell>
          <cell r="G1070">
            <v>30</v>
          </cell>
          <cell r="H1070" t="str">
            <v>DQUILAQUEO@UTALCA.CL</v>
          </cell>
          <cell r="I1070">
            <v>42917</v>
          </cell>
          <cell r="J1070">
            <v>46446</v>
          </cell>
          <cell r="K1070" t="str">
            <v>CONTRATA</v>
          </cell>
          <cell r="L1070" t="str">
            <v>CA DOCENTE</v>
          </cell>
          <cell r="M1070" t="str">
            <v>INSTRUCTOR</v>
          </cell>
          <cell r="N1070" t="str">
            <v>GRADO D</v>
          </cell>
          <cell r="O1070" t="str">
            <v>MAGISTER</v>
          </cell>
          <cell r="P1070" t="str">
            <v>MAGISTER EN AUDIOLOGÍA</v>
          </cell>
          <cell r="Q1070" t="str">
            <v>TALCA</v>
          </cell>
          <cell r="R1070" t="str">
            <v>FACULTAD DE CIENCIAS DE LA SALUD</v>
          </cell>
          <cell r="S1070" t="str">
            <v>DPTO. DE CIENCIAS DE FONOAUDIOLOGÍA</v>
          </cell>
        </row>
        <row r="1071">
          <cell r="A1071">
            <v>16792278</v>
          </cell>
          <cell r="B1071" t="str">
            <v>16792278</v>
          </cell>
          <cell r="C1071" t="str">
            <v>3</v>
          </cell>
          <cell r="D1071" t="str">
            <v>URRA GONZALEZ FERNANDO PATRICI</v>
          </cell>
          <cell r="E1071" t="str">
            <v>FCI320007</v>
          </cell>
          <cell r="F1071">
            <v>44</v>
          </cell>
          <cell r="G1071">
            <v>30</v>
          </cell>
          <cell r="H1071" t="str">
            <v>FEURRA@UTALCA.CL</v>
          </cell>
          <cell r="I1071">
            <v>43160</v>
          </cell>
          <cell r="J1071">
            <v>46446</v>
          </cell>
          <cell r="K1071" t="str">
            <v>CONTRATA</v>
          </cell>
          <cell r="L1071" t="str">
            <v>CA DOCENTE</v>
          </cell>
          <cell r="M1071" t="str">
            <v>INSTRUCTOR</v>
          </cell>
          <cell r="N1071" t="str">
            <v>GRADO D</v>
          </cell>
          <cell r="O1071" t="str">
            <v>MAGISTER</v>
          </cell>
          <cell r="P1071" t="str">
            <v>MAGISTER EN CIENCIAS DE LA INGENIERIA</v>
          </cell>
          <cell r="Q1071" t="str">
            <v>CURICO</v>
          </cell>
          <cell r="R1071" t="str">
            <v>FACULTAD DE INGENIERÍA</v>
          </cell>
          <cell r="S1071" t="str">
            <v>DEPARTAMENTO DE INGENIERÍA ELÉCTRICA</v>
          </cell>
        </row>
        <row r="1072">
          <cell r="A1072">
            <v>16792921</v>
          </cell>
          <cell r="B1072" t="str">
            <v>16792921</v>
          </cell>
          <cell r="C1072" t="str">
            <v>4</v>
          </cell>
          <cell r="D1072" t="str">
            <v>GONZÁLEZ TRONCOSO MOISÉS SALOM</v>
          </cell>
          <cell r="E1072" t="str">
            <v>FEN310004</v>
          </cell>
          <cell r="F1072">
            <v>44</v>
          </cell>
          <cell r="G1072">
            <v>30</v>
          </cell>
          <cell r="H1072" t="str">
            <v>MOISES.GONZALEZ@UTALCA.CL</v>
          </cell>
          <cell r="I1072">
            <v>44562</v>
          </cell>
          <cell r="J1072">
            <v>46446</v>
          </cell>
          <cell r="K1072" t="str">
            <v>CONTRATA</v>
          </cell>
          <cell r="L1072" t="str">
            <v>CA DE LA PROFESIÓN</v>
          </cell>
          <cell r="M1072" t="str">
            <v>INSTRUCTOR</v>
          </cell>
          <cell r="N1072" t="str">
            <v>GRADO D</v>
          </cell>
          <cell r="O1072" t="str">
            <v>MAGISTER</v>
          </cell>
          <cell r="P1072" t="str">
            <v>MAGISTER EN TRIBUTACION</v>
          </cell>
          <cell r="Q1072" t="str">
            <v>TALCA</v>
          </cell>
          <cell r="R1072" t="str">
            <v>FACULTAD DE ECONOMÍA Y NEGOCIOS</v>
          </cell>
          <cell r="S1072" t="str">
            <v>ESC. AUDITORIA Y CONTROL DE GESTIÓN TLCA</v>
          </cell>
        </row>
        <row r="1073">
          <cell r="A1073">
            <v>16826570</v>
          </cell>
          <cell r="B1073" t="str">
            <v>16826570</v>
          </cell>
          <cell r="C1073" t="str">
            <v>0</v>
          </cell>
          <cell r="D1073" t="str">
            <v>ACEVEDO GARRIDO IGNACIO ENRIQU</v>
          </cell>
          <cell r="E1073" t="str">
            <v>FOD200001</v>
          </cell>
          <cell r="F1073">
            <v>13</v>
          </cell>
          <cell r="G1073">
            <v>30</v>
          </cell>
          <cell r="H1073" t="str">
            <v>IACEVEDO@UTALCA.CL</v>
          </cell>
          <cell r="I1073">
            <v>44713</v>
          </cell>
          <cell r="J1073">
            <v>46387</v>
          </cell>
          <cell r="K1073" t="str">
            <v>CONTRATA</v>
          </cell>
          <cell r="L1073" t="str">
            <v>C ESPECIALES</v>
          </cell>
          <cell r="M1073" t="str">
            <v>TUTOR(A) PRÁCTICA</v>
          </cell>
          <cell r="N1073" t="str">
            <v>SIN GRADO</v>
          </cell>
          <cell r="O1073" t="str">
            <v>MAGISTER</v>
          </cell>
          <cell r="P1073" t="str">
            <v>MAGISTER EN DOCENCIA PARA LA EDUCACION SUPERI</v>
          </cell>
          <cell r="Q1073" t="str">
            <v>TALCA</v>
          </cell>
          <cell r="R1073" t="str">
            <v>FACULTAD DE ODONTOLOGÍA</v>
          </cell>
          <cell r="S1073" t="str">
            <v>FACULTAD DE ODONTOLOGÍA</v>
          </cell>
        </row>
        <row r="1074">
          <cell r="A1074">
            <v>16826681</v>
          </cell>
          <cell r="B1074" t="str">
            <v>16826681</v>
          </cell>
          <cell r="C1074" t="str">
            <v>2</v>
          </cell>
          <cell r="D1074" t="str">
            <v>CERECEDA LEYTON CRISTINA ALEJA</v>
          </cell>
          <cell r="E1074" t="str">
            <v>FCI310003</v>
          </cell>
          <cell r="F1074">
            <v>44</v>
          </cell>
          <cell r="G1074">
            <v>30</v>
          </cell>
          <cell r="H1074" t="str">
            <v>CCERECEDA@UTALCA.CL</v>
          </cell>
          <cell r="I1074">
            <v>43831</v>
          </cell>
          <cell r="J1074">
            <v>46387</v>
          </cell>
          <cell r="K1074" t="str">
            <v>CONTRATA</v>
          </cell>
          <cell r="L1074" t="str">
            <v>ADMINISTRATIVO</v>
          </cell>
          <cell r="M1074" t="str">
            <v>ADMINISTRATIVO</v>
          </cell>
          <cell r="N1074" t="str">
            <v>GRADO I.21</v>
          </cell>
          <cell r="O1074" t="str">
            <v>TÉC. NIVEL MEDIO</v>
          </cell>
          <cell r="P1074" t="str">
            <v>TÉCNICO DE NIVEL MEDIO EN EDIFICACÓN</v>
          </cell>
          <cell r="Q1074" t="str">
            <v>CURICO</v>
          </cell>
          <cell r="R1074" t="str">
            <v>FACULTAD DE INGENIERÍA</v>
          </cell>
          <cell r="S1074" t="str">
            <v>ESCUELA DE INGENIERÍA CIVIL DE MINAS</v>
          </cell>
        </row>
        <row r="1075">
          <cell r="A1075">
            <v>16827773</v>
          </cell>
          <cell r="B1075" t="str">
            <v>16827773</v>
          </cell>
          <cell r="C1075" t="str">
            <v>3</v>
          </cell>
          <cell r="D1075" t="str">
            <v>ACUÑA PEREIRA MARIA GISELLE</v>
          </cell>
          <cell r="E1075" t="str">
            <v/>
          </cell>
          <cell r="F1075">
            <v>44</v>
          </cell>
          <cell r="G1075">
            <v>30</v>
          </cell>
          <cell r="H1075" t="str">
            <v>MACUNA@UTALCA.CL</v>
          </cell>
          <cell r="I1075">
            <v>44927</v>
          </cell>
          <cell r="J1075">
            <v>46387</v>
          </cell>
          <cell r="K1075" t="str">
            <v>CONTRATA</v>
          </cell>
          <cell r="L1075" t="str">
            <v>PROFESIONAL</v>
          </cell>
          <cell r="M1075" t="str">
            <v>PROFESIONAL</v>
          </cell>
          <cell r="N1075" t="str">
            <v>GRADO I.17</v>
          </cell>
          <cell r="O1075" t="str">
            <v>MAGISTER</v>
          </cell>
          <cell r="P1075" t="str">
            <v>MAGISTER EN EDUCACION BASADA EN COMPETENCIAS</v>
          </cell>
          <cell r="Q1075" t="str">
            <v>TALCA</v>
          </cell>
          <cell r="R1075" t="str">
            <v>VICERRECTORÍA DE FORMACIÓN</v>
          </cell>
          <cell r="S1075" t="str">
            <v>UN. DE ACOMPAÑAMIENTO ESTUDIANTIL (CIMA)</v>
          </cell>
        </row>
        <row r="1076">
          <cell r="A1076">
            <v>16835895</v>
          </cell>
          <cell r="B1076" t="str">
            <v>16835895</v>
          </cell>
          <cell r="C1076" t="str">
            <v>4</v>
          </cell>
          <cell r="D1076" t="str">
            <v>REBOLLEDO CANALES LAUTARO EMIL</v>
          </cell>
          <cell r="E1076" t="str">
            <v>VDE400009</v>
          </cell>
          <cell r="F1076">
            <v>30</v>
          </cell>
          <cell r="G1076">
            <v>30</v>
          </cell>
          <cell r="H1076" t="str">
            <v>DRLAUTAROREBOLLEDO@GMAIL.COM</v>
          </cell>
          <cell r="I1076">
            <v>45901</v>
          </cell>
          <cell r="J1076">
            <v>46387</v>
          </cell>
          <cell r="K1076" t="str">
            <v>CONTRATA</v>
          </cell>
          <cell r="L1076" t="str">
            <v>PROFESIONAL</v>
          </cell>
          <cell r="M1076" t="str">
            <v>PROFESIONAL</v>
          </cell>
          <cell r="N1076" t="str">
            <v>GRADO I.17</v>
          </cell>
          <cell r="O1076" t="str">
            <v>TÍTULO PROFESIONAL</v>
          </cell>
          <cell r="P1076" t="str">
            <v>MEDICO CIRUJANO</v>
          </cell>
          <cell r="Q1076" t="str">
            <v>LINARES</v>
          </cell>
          <cell r="R1076" t="str">
            <v>VICERRECTORÍA DE DESARROLLO ESTUDIANTIL</v>
          </cell>
          <cell r="S1076" t="str">
            <v>DIRECCIÓN DE SALUD ESTUDIANTIL</v>
          </cell>
        </row>
        <row r="1077">
          <cell r="A1077">
            <v>16837202</v>
          </cell>
          <cell r="B1077" t="str">
            <v>16837202</v>
          </cell>
          <cell r="C1077" t="str">
            <v>7</v>
          </cell>
          <cell r="D1077" t="str">
            <v>SAN MARTIN ALCANTAR STEFANIE F</v>
          </cell>
          <cell r="E1077" t="str">
            <v>VGE400008</v>
          </cell>
          <cell r="F1077">
            <v>44</v>
          </cell>
          <cell r="G1077">
            <v>30</v>
          </cell>
          <cell r="H1077" t="str">
            <v>STEFANIE.SANMARTIN@UTALCA.CL</v>
          </cell>
          <cell r="I1077">
            <v>44317</v>
          </cell>
          <cell r="J1077">
            <v>46387</v>
          </cell>
          <cell r="K1077" t="str">
            <v>CONTRATA</v>
          </cell>
          <cell r="L1077" t="str">
            <v>DIR EXCLU. CONFIANZA</v>
          </cell>
          <cell r="M1077" t="str">
            <v>PROFESIONAL</v>
          </cell>
          <cell r="N1077" t="str">
            <v>GRADO I.17</v>
          </cell>
          <cell r="O1077" t="str">
            <v>MAGISTER</v>
          </cell>
          <cell r="P1077" t="str">
            <v>MAGÍSTER EN DIRECCIÓN DE EMPRESAS MBA</v>
          </cell>
          <cell r="Q1077" t="str">
            <v>TALCA</v>
          </cell>
          <cell r="R1077" t="str">
            <v>VIC. GESTIÓN ECONÓMICA Y ADMINISTRACIÓN</v>
          </cell>
          <cell r="S1077" t="str">
            <v>DEPARTAMENTO DE DESARROLLO DE PERSONAS</v>
          </cell>
        </row>
        <row r="1078">
          <cell r="A1078">
            <v>16837260</v>
          </cell>
          <cell r="B1078" t="str">
            <v>16837260</v>
          </cell>
          <cell r="C1078" t="str">
            <v>4</v>
          </cell>
          <cell r="D1078" t="str">
            <v>YAÑEZ GONZALEZ MARCO AURELIO</v>
          </cell>
          <cell r="E1078" t="str">
            <v>VGE400032</v>
          </cell>
          <cell r="F1078">
            <v>44</v>
          </cell>
          <cell r="G1078">
            <v>30</v>
          </cell>
          <cell r="H1078" t="str">
            <v>MARCO.YANEZ@UTALCA.CL</v>
          </cell>
          <cell r="I1078">
            <v>43678</v>
          </cell>
          <cell r="J1078">
            <v>46387</v>
          </cell>
          <cell r="K1078" t="str">
            <v>CONTRATA</v>
          </cell>
          <cell r="L1078" t="str">
            <v>PROFESIONAL</v>
          </cell>
          <cell r="M1078" t="str">
            <v>PROFESIONAL</v>
          </cell>
          <cell r="N1078" t="str">
            <v>GRADO I.17</v>
          </cell>
          <cell r="O1078" t="str">
            <v>MAGISTER</v>
          </cell>
          <cell r="P1078" t="str">
            <v>MAGÍSTER EN INNOVACIÓN TECNOLÓGICA Y EMPRENDI</v>
          </cell>
          <cell r="Q1078" t="str">
            <v>TALCA</v>
          </cell>
          <cell r="R1078" t="str">
            <v>VIC. GESTIÓN ECONÓMICA Y ADMINISTRACIÓN</v>
          </cell>
          <cell r="S1078" t="str">
            <v>OFICINA DE GESTIÓN DE PROYECTOS BASALES</v>
          </cell>
        </row>
        <row r="1079">
          <cell r="A1079">
            <v>16838549</v>
          </cell>
          <cell r="B1079" t="str">
            <v>16838549</v>
          </cell>
          <cell r="C1079" t="str">
            <v>8</v>
          </cell>
          <cell r="D1079" t="str">
            <v>VERDUGO MEZA MARIA FERNANDA</v>
          </cell>
          <cell r="E1079" t="str">
            <v>VAC400001</v>
          </cell>
          <cell r="F1079">
            <v>44</v>
          </cell>
          <cell r="G1079">
            <v>30</v>
          </cell>
          <cell r="H1079" t="str">
            <v>MARIA.VERDUGO@UTALCA.CL</v>
          </cell>
          <cell r="I1079">
            <v>44197</v>
          </cell>
          <cell r="J1079">
            <v>46387</v>
          </cell>
          <cell r="K1079" t="str">
            <v>CONTRATA</v>
          </cell>
          <cell r="L1079" t="str">
            <v>TÉCNICO</v>
          </cell>
          <cell r="M1079" t="str">
            <v>TÉCNICO</v>
          </cell>
          <cell r="N1079" t="str">
            <v>GRADO I.21</v>
          </cell>
          <cell r="O1079" t="str">
            <v>TÍTULO PROFESIONAL</v>
          </cell>
          <cell r="P1079" t="str">
            <v>TRABAJADOR SOCIAL</v>
          </cell>
          <cell r="Q1079" t="str">
            <v>LINARES</v>
          </cell>
          <cell r="R1079" t="str">
            <v>VICERRECTORÍA ACADÉMICA</v>
          </cell>
          <cell r="S1079" t="str">
            <v>DIRECCIÓN DE BIBLIOTECAS</v>
          </cell>
        </row>
        <row r="1080">
          <cell r="A1080">
            <v>16838567</v>
          </cell>
          <cell r="B1080" t="str">
            <v>16838567</v>
          </cell>
          <cell r="C1080" t="str">
            <v>6</v>
          </cell>
          <cell r="D1080" t="str">
            <v>REYES VEGA NANCY ANDREA</v>
          </cell>
          <cell r="E1080" t="str">
            <v>VRF400003</v>
          </cell>
          <cell r="F1080">
            <v>44</v>
          </cell>
          <cell r="G1080">
            <v>30</v>
          </cell>
          <cell r="H1080" t="str">
            <v>NANCY.REYES@UTALCA.CL</v>
          </cell>
          <cell r="I1080">
            <v>45748</v>
          </cell>
          <cell r="J1080">
            <v>46387</v>
          </cell>
          <cell r="K1080" t="str">
            <v>CONTRATA</v>
          </cell>
          <cell r="L1080" t="str">
            <v>PROFESIONAL</v>
          </cell>
          <cell r="M1080" t="str">
            <v>PROFESIONAL</v>
          </cell>
          <cell r="N1080" t="str">
            <v>GRADO I.17</v>
          </cell>
          <cell r="O1080" t="str">
            <v>MAGISTER</v>
          </cell>
          <cell r="P1080" t="str">
            <v>MAGISTER EN EDUCACIÓN, MENCIÓN CURRICULUM Y A</v>
          </cell>
          <cell r="Q1080" t="str">
            <v>TALCA</v>
          </cell>
          <cell r="R1080" t="str">
            <v>VICERRECTORÍA DE FORMACIÓN</v>
          </cell>
          <cell r="S1080" t="str">
            <v>UN. DE ACOMPAÑAMIENTO ESTUDIANTIL (CIMA)</v>
          </cell>
        </row>
        <row r="1081">
          <cell r="A1081">
            <v>16856963</v>
          </cell>
          <cell r="B1081" t="str">
            <v>16856963</v>
          </cell>
          <cell r="C1081" t="str">
            <v>7</v>
          </cell>
          <cell r="D1081" t="str">
            <v>WALTER SAAVEDRA ANDREA DEL CAR</v>
          </cell>
          <cell r="E1081" t="str">
            <v>IMF300001</v>
          </cell>
          <cell r="F1081">
            <v>44</v>
          </cell>
          <cell r="G1081">
            <v>30</v>
          </cell>
          <cell r="H1081" t="str">
            <v>ANDREA.WALTER@UTALCA.CL</v>
          </cell>
          <cell r="I1081">
            <v>45292</v>
          </cell>
          <cell r="J1081">
            <v>46387</v>
          </cell>
          <cell r="K1081" t="str">
            <v>CONTRATA</v>
          </cell>
          <cell r="L1081" t="str">
            <v>ADMINISTRATIVO</v>
          </cell>
          <cell r="M1081" t="str">
            <v>ADMINISTRATIVO</v>
          </cell>
          <cell r="N1081" t="str">
            <v>GRADO I.21</v>
          </cell>
          <cell r="O1081" t="str">
            <v>TÉC. NIVEL SUPERIOR</v>
          </cell>
          <cell r="P1081" t="str">
            <v>TECNICO JURIDICO</v>
          </cell>
          <cell r="Q1081" t="str">
            <v>TALCA</v>
          </cell>
          <cell r="R1081" t="str">
            <v>INSTITUTO DE MATEMÁTICAS</v>
          </cell>
          <cell r="S1081" t="str">
            <v>INSTITUTO DE MATEMÁTICAS</v>
          </cell>
        </row>
        <row r="1082">
          <cell r="A1082">
            <v>16857453</v>
          </cell>
          <cell r="B1082" t="str">
            <v>16857453</v>
          </cell>
          <cell r="C1082" t="str">
            <v>3</v>
          </cell>
          <cell r="D1082" t="str">
            <v>BARRA GUTIERREZ JAVIER ANDRES</v>
          </cell>
          <cell r="E1082" t="str">
            <v>VAC400074</v>
          </cell>
          <cell r="F1082">
            <v>44</v>
          </cell>
          <cell r="G1082">
            <v>30</v>
          </cell>
          <cell r="H1082" t="str">
            <v>JBARRA@UTALCA.CL</v>
          </cell>
          <cell r="I1082">
            <v>43101</v>
          </cell>
          <cell r="J1082">
            <v>46387</v>
          </cell>
          <cell r="K1082" t="str">
            <v>CONTRATA</v>
          </cell>
          <cell r="L1082" t="str">
            <v>PROFESIONAL</v>
          </cell>
          <cell r="M1082" t="str">
            <v>PROFESIONAL</v>
          </cell>
          <cell r="N1082" t="str">
            <v>GRADO I.17</v>
          </cell>
          <cell r="O1082" t="str">
            <v>TÍTULO PROFESIONAL</v>
          </cell>
          <cell r="P1082" t="str">
            <v>INGENIERO CIVIL INDUSTRIAL</v>
          </cell>
          <cell r="Q1082" t="str">
            <v>TALCA</v>
          </cell>
          <cell r="R1082" t="str">
            <v>VICERRECTORÍA ACADÉMICA</v>
          </cell>
          <cell r="S1082" t="str">
            <v>UNIDA DE GESTIÓN DE LA INVESTIGACIÓN</v>
          </cell>
        </row>
        <row r="1083">
          <cell r="A1083">
            <v>16859154</v>
          </cell>
          <cell r="B1083" t="str">
            <v>16859154</v>
          </cell>
          <cell r="C1083" t="str">
            <v>3</v>
          </cell>
          <cell r="D1083" t="str">
            <v>VALENZUELA MARTINEZ EVELYN DEL</v>
          </cell>
          <cell r="E1083" t="str">
            <v>VRF100001</v>
          </cell>
          <cell r="F1083">
            <v>44</v>
          </cell>
          <cell r="G1083">
            <v>30</v>
          </cell>
          <cell r="H1083" t="str">
            <v>EVELYN.VALENZUELA@UTALCA.CL</v>
          </cell>
          <cell r="I1083">
            <v>44986</v>
          </cell>
          <cell r="J1083">
            <v>46387</v>
          </cell>
          <cell r="K1083" t="str">
            <v>CONTRATA</v>
          </cell>
          <cell r="L1083" t="str">
            <v>C ESPECIALES</v>
          </cell>
          <cell r="M1083" t="str">
            <v>TUTOR(A) PRÁCTICA</v>
          </cell>
          <cell r="N1083" t="str">
            <v>SIN GRADO</v>
          </cell>
          <cell r="O1083" t="str">
            <v>TÍTULO PROFESIONAL</v>
          </cell>
          <cell r="P1083" t="str">
            <v>PROFESOR DE EDUCACION FISICA</v>
          </cell>
          <cell r="Q1083" t="str">
            <v>TALCA</v>
          </cell>
          <cell r="R1083" t="str">
            <v>VICERRECTORÍA DE FORMACIÓN</v>
          </cell>
          <cell r="S1083" t="str">
            <v>VICERRECTORÍA DE FORMACIÓN</v>
          </cell>
        </row>
        <row r="1084">
          <cell r="A1084">
            <v>16859986</v>
          </cell>
          <cell r="B1084" t="str">
            <v>16859986</v>
          </cell>
          <cell r="C1084" t="str">
            <v>2</v>
          </cell>
          <cell r="D1084" t="str">
            <v>REYES ASTORGA NICOLAS ALONSO</v>
          </cell>
          <cell r="E1084" t="str">
            <v>VGE400009</v>
          </cell>
          <cell r="F1084">
            <v>44</v>
          </cell>
          <cell r="G1084">
            <v>30</v>
          </cell>
          <cell r="H1084" t="str">
            <v>NREYES@UTALCA.CL</v>
          </cell>
          <cell r="I1084">
            <v>43466</v>
          </cell>
          <cell r="J1084">
            <v>46387</v>
          </cell>
          <cell r="K1084" t="str">
            <v>CONTRATA</v>
          </cell>
          <cell r="L1084" t="str">
            <v>ADMINISTRATIVO</v>
          </cell>
          <cell r="M1084" t="str">
            <v>ADMINISTRATIVO</v>
          </cell>
          <cell r="N1084" t="str">
            <v>GRADO I.21</v>
          </cell>
          <cell r="O1084" t="str">
            <v>TÍTULO PROFESIONAL</v>
          </cell>
          <cell r="P1084" t="str">
            <v>INGENIERO DE EJECUCIÓN EN ADMINISTRACIÓN DE E</v>
          </cell>
          <cell r="Q1084" t="str">
            <v>TALCA</v>
          </cell>
          <cell r="R1084" t="str">
            <v>VIC. GESTIÓN ECONÓMICA Y ADMINISTRACIÓN</v>
          </cell>
          <cell r="S1084" t="str">
            <v>UNIDAD DE COMPRAS ESTRATÉGICAS</v>
          </cell>
        </row>
        <row r="1085">
          <cell r="A1085">
            <v>16863798</v>
          </cell>
          <cell r="B1085" t="str">
            <v>16863798</v>
          </cell>
          <cell r="C1085" t="str">
            <v>5</v>
          </cell>
          <cell r="D1085" t="str">
            <v>RAMIREZ ALEGRIA ROBERTO ORLAND</v>
          </cell>
          <cell r="E1085" t="str">
            <v>FCI320007</v>
          </cell>
          <cell r="F1085">
            <v>44</v>
          </cell>
          <cell r="G1085">
            <v>30</v>
          </cell>
          <cell r="H1085" t="str">
            <v>RORAMIREZ@UTALCA.CL</v>
          </cell>
          <cell r="I1085">
            <v>43160</v>
          </cell>
          <cell r="J1085">
            <v>46446</v>
          </cell>
          <cell r="K1085" t="str">
            <v>CONTRATA</v>
          </cell>
          <cell r="L1085" t="str">
            <v>CA DOCENTE</v>
          </cell>
          <cell r="M1085" t="str">
            <v>PROFESOR ASISTENTE</v>
          </cell>
          <cell r="N1085" t="str">
            <v>GRADO C</v>
          </cell>
          <cell r="O1085" t="str">
            <v>DOCTORADO</v>
          </cell>
          <cell r="P1085" t="str">
            <v>DOCTORADO EN CIENCIAS DE LA INGENIERÍA CON ME</v>
          </cell>
          <cell r="Q1085" t="str">
            <v>CURICO</v>
          </cell>
          <cell r="R1085" t="str">
            <v>FACULTAD DE INGENIERÍA</v>
          </cell>
          <cell r="S1085" t="str">
            <v>DEPARTAMENTO DE INGENIERÍA ELÉCTRICA</v>
          </cell>
        </row>
        <row r="1086">
          <cell r="A1086">
            <v>16879544</v>
          </cell>
          <cell r="B1086" t="str">
            <v>16879544</v>
          </cell>
          <cell r="C1086" t="str">
            <v>0</v>
          </cell>
          <cell r="D1086" t="str">
            <v>MADRID ESPINOZA JOSE ANTONIO</v>
          </cell>
          <cell r="E1086" t="str">
            <v>ICB300001</v>
          </cell>
          <cell r="F1086">
            <v>22</v>
          </cell>
          <cell r="G1086">
            <v>30</v>
          </cell>
          <cell r="H1086" t="str">
            <v>JMADRID@UTALCA.CL</v>
          </cell>
          <cell r="I1086">
            <v>44621</v>
          </cell>
          <cell r="J1086">
            <v>46446</v>
          </cell>
          <cell r="K1086" t="str">
            <v>CONTRATA</v>
          </cell>
          <cell r="L1086" t="str">
            <v>CA DOCENTE</v>
          </cell>
          <cell r="M1086" t="str">
            <v>PROFESOR ASISTENTE</v>
          </cell>
          <cell r="N1086" t="str">
            <v>GRADO C</v>
          </cell>
          <cell r="O1086" t="str">
            <v>DOCTORADO</v>
          </cell>
          <cell r="P1086" t="str">
            <v>DOCTOR EN CIENCIAS MENCION INGENIERIA GENETIC</v>
          </cell>
          <cell r="Q1086" t="str">
            <v>TALCA</v>
          </cell>
          <cell r="R1086" t="str">
            <v>INSTITUTO DE CIENCIAS BIOLÓGICAS</v>
          </cell>
          <cell r="S1086" t="str">
            <v>INSTITUTO DE CIENCIAS BIOLÓGICAS</v>
          </cell>
        </row>
        <row r="1087">
          <cell r="A1087">
            <v>16900022</v>
          </cell>
          <cell r="B1087" t="str">
            <v>16900022</v>
          </cell>
          <cell r="C1087" t="str">
            <v>0</v>
          </cell>
          <cell r="D1087" t="str">
            <v>MIÑO CHAMORRO ERIKA CECILIA</v>
          </cell>
          <cell r="E1087" t="str">
            <v>FOD200001</v>
          </cell>
          <cell r="F1087">
            <v>22</v>
          </cell>
          <cell r="G1087">
            <v>30</v>
          </cell>
          <cell r="H1087" t="str">
            <v>EMINO@UTALCA.CL</v>
          </cell>
          <cell r="I1087">
            <v>45047</v>
          </cell>
          <cell r="J1087">
            <v>46387</v>
          </cell>
          <cell r="K1087" t="str">
            <v>CONTRATA</v>
          </cell>
          <cell r="L1087" t="str">
            <v>C ESPECIALES</v>
          </cell>
          <cell r="M1087" t="str">
            <v>TUTOR(A) PRÁCTICA</v>
          </cell>
          <cell r="N1087" t="str">
            <v>SIN GRADO</v>
          </cell>
          <cell r="O1087" t="str">
            <v>ESPECIAL. ODONTOLÓG.</v>
          </cell>
          <cell r="P1087" t="str">
            <v>ESPECIALISTA EN REHABILITACIÓN ORAL CON MENCI</v>
          </cell>
          <cell r="Q1087" t="str">
            <v>TALCA</v>
          </cell>
          <cell r="R1087" t="str">
            <v>FACULTAD DE ODONTOLOGÍA</v>
          </cell>
          <cell r="S1087" t="str">
            <v>FACULTAD DE ODONTOLOGÍA</v>
          </cell>
        </row>
        <row r="1088">
          <cell r="A1088">
            <v>16923757</v>
          </cell>
          <cell r="B1088" t="str">
            <v>16923757</v>
          </cell>
          <cell r="C1088" t="str">
            <v>3</v>
          </cell>
          <cell r="D1088" t="str">
            <v>GARCIA YAÑEZ KATHERINE ESTEFAN</v>
          </cell>
          <cell r="E1088" t="str">
            <v>FED310003</v>
          </cell>
          <cell r="F1088">
            <v>44</v>
          </cell>
          <cell r="G1088">
            <v>30</v>
          </cell>
          <cell r="H1088" t="str">
            <v>KATHERINE.GARCIA.IN@GMAIL.COM</v>
          </cell>
          <cell r="I1088">
            <v>45870</v>
          </cell>
          <cell r="J1088">
            <v>47330</v>
          </cell>
          <cell r="K1088" t="str">
            <v>CONTRATA</v>
          </cell>
          <cell r="L1088" t="str">
            <v>CA DOCENTE</v>
          </cell>
          <cell r="M1088" t="str">
            <v>INSTRUCTOR</v>
          </cell>
          <cell r="N1088" t="str">
            <v>GRADO D</v>
          </cell>
          <cell r="O1088" t="str">
            <v>TÍTULO PROFESIONAL</v>
          </cell>
          <cell r="P1088" t="str">
            <v>PROFESORA DE ALEMAN</v>
          </cell>
          <cell r="Q1088" t="str">
            <v>SANTIAGO</v>
          </cell>
          <cell r="R1088" t="str">
            <v>FACULTAD DE CIENCIAS DE LA EDUCACIÓN</v>
          </cell>
          <cell r="S1088" t="str">
            <v>ESCUELA DE PEDAGOGÍA EN ALEMÁN</v>
          </cell>
        </row>
        <row r="1089">
          <cell r="A1089">
            <v>16938969</v>
          </cell>
          <cell r="B1089" t="str">
            <v>16938969</v>
          </cell>
          <cell r="C1089" t="str">
            <v>1</v>
          </cell>
          <cell r="D1089" t="str">
            <v>OPAZO ALMARZA MARCELA PAZ</v>
          </cell>
          <cell r="E1089" t="str">
            <v>FPS310002</v>
          </cell>
          <cell r="F1089">
            <v>44</v>
          </cell>
          <cell r="G1089">
            <v>30</v>
          </cell>
          <cell r="H1089" t="str">
            <v>MARCELA.OPAZO@UTALCA.CL</v>
          </cell>
          <cell r="I1089">
            <v>45048</v>
          </cell>
          <cell r="J1089">
            <v>46446</v>
          </cell>
          <cell r="K1089" t="str">
            <v>CONTRATA</v>
          </cell>
          <cell r="L1089" t="str">
            <v>CA DOCENTE</v>
          </cell>
          <cell r="M1089" t="str">
            <v>INSTRUCTOR</v>
          </cell>
          <cell r="N1089" t="str">
            <v>GRADO D</v>
          </cell>
          <cell r="O1089" t="str">
            <v>MAGISTER</v>
          </cell>
          <cell r="P1089" t="str">
            <v>MAGISTER EN EVALUACION E INTERVENCION ABA EN</v>
          </cell>
          <cell r="Q1089" t="str">
            <v>TALCA</v>
          </cell>
          <cell r="R1089" t="str">
            <v>FACULTAD DE PSICOLOGÍA</v>
          </cell>
          <cell r="S1089" t="str">
            <v>ESCUELA DE TERAPIA OCUPACIONAL</v>
          </cell>
        </row>
        <row r="1090">
          <cell r="A1090">
            <v>16944017</v>
          </cell>
          <cell r="B1090" t="str">
            <v>16944017</v>
          </cell>
          <cell r="C1090" t="str">
            <v>4</v>
          </cell>
          <cell r="D1090" t="str">
            <v>ARENAS NUÑEZ JOSE EDUARDO</v>
          </cell>
          <cell r="E1090" t="str">
            <v>ADC040001</v>
          </cell>
          <cell r="F1090">
            <v>44</v>
          </cell>
          <cell r="G1090">
            <v>30</v>
          </cell>
          <cell r="H1090" t="str">
            <v>JOARENAS@UTALCA.CL</v>
          </cell>
          <cell r="I1090">
            <v>46023</v>
          </cell>
          <cell r="J1090">
            <v>46387</v>
          </cell>
          <cell r="K1090" t="str">
            <v>CONTRATA</v>
          </cell>
          <cell r="L1090" t="str">
            <v>PROFESIONAL</v>
          </cell>
          <cell r="M1090" t="str">
            <v>PROFESIONAL</v>
          </cell>
          <cell r="N1090" t="str">
            <v>GRADO I.17</v>
          </cell>
          <cell r="O1090" t="str">
            <v>TÍTULO PROFESIONAL</v>
          </cell>
          <cell r="P1090" t="str">
            <v>INGENIERO EN INFORMATICA</v>
          </cell>
          <cell r="Q1090" t="str">
            <v>COLCHAGUA</v>
          </cell>
          <cell r="R1090" t="str">
            <v>DIRECCIÓN DE SEDE SANTA CRUZ</v>
          </cell>
          <cell r="S1090" t="str">
            <v>DIRECCIÓN DE SEDE SANTA CRUZ</v>
          </cell>
        </row>
        <row r="1091">
          <cell r="A1091">
            <v>16969233</v>
          </cell>
          <cell r="B1091" t="str">
            <v>16969233</v>
          </cell>
          <cell r="C1091" t="str">
            <v>5</v>
          </cell>
          <cell r="D1091" t="str">
            <v>FLEMING SOTO BHERNNY JESUS</v>
          </cell>
          <cell r="E1091" t="str">
            <v>FCJ340009</v>
          </cell>
          <cell r="F1091">
            <v>33</v>
          </cell>
          <cell r="G1091">
            <v>30</v>
          </cell>
          <cell r="H1091" t="str">
            <v>BFLEMING@UTALCA.CL</v>
          </cell>
          <cell r="I1091">
            <v>44197</v>
          </cell>
          <cell r="J1091">
            <v>46387</v>
          </cell>
          <cell r="K1091" t="str">
            <v>CONTRATA</v>
          </cell>
          <cell r="L1091" t="str">
            <v>PROFESIONAL</v>
          </cell>
          <cell r="M1091" t="str">
            <v>PROFESIONAL</v>
          </cell>
          <cell r="N1091" t="str">
            <v>GRADO I.17</v>
          </cell>
          <cell r="O1091" t="str">
            <v>TÍTULO PROFESIONAL</v>
          </cell>
          <cell r="P1091" t="str">
            <v>ABOGADO</v>
          </cell>
          <cell r="Q1091" t="str">
            <v>SANTIAGO</v>
          </cell>
          <cell r="R1091" t="str">
            <v>FACULTAD CIENCIAS JURÍDICAS Y SOCIALES</v>
          </cell>
          <cell r="S1091" t="str">
            <v>CLÍNICA JURÍDICA DE SANTIAGO</v>
          </cell>
        </row>
        <row r="1092">
          <cell r="A1092">
            <v>16975565</v>
          </cell>
          <cell r="B1092" t="str">
            <v>16975565</v>
          </cell>
          <cell r="C1092" t="str">
            <v>5</v>
          </cell>
          <cell r="D1092" t="str">
            <v>BAHAMONDEZ TORRES RICARDO ANDR</v>
          </cell>
          <cell r="E1092" t="str">
            <v>FAD320005</v>
          </cell>
          <cell r="F1092">
            <v>44</v>
          </cell>
          <cell r="G1092">
            <v>30</v>
          </cell>
          <cell r="H1092" t="str">
            <v>RICARDO.BAHAMONDEZ@UTALCA.CL</v>
          </cell>
          <cell r="I1092">
            <v>45444</v>
          </cell>
          <cell r="J1092">
            <v>46446</v>
          </cell>
          <cell r="K1092" t="str">
            <v>CONTRATA</v>
          </cell>
          <cell r="L1092" t="str">
            <v>CA DE LA PROFESIÓN</v>
          </cell>
          <cell r="M1092" t="str">
            <v>PROFESOR ASISTENTE</v>
          </cell>
          <cell r="N1092" t="str">
            <v>GRADO C</v>
          </cell>
          <cell r="O1092" t="str">
            <v>MAGISTER</v>
          </cell>
          <cell r="P1092" t="str">
            <v>MAGISTER EN PRACTICAS INTERPRETATIVAS</v>
          </cell>
          <cell r="Q1092" t="str">
            <v>TALCA</v>
          </cell>
          <cell r="R1092" t="str">
            <v>FACULTAD DE ARQUITECTUR, MÚSICA Y DISEÑO</v>
          </cell>
          <cell r="S1092" t="str">
            <v>DEPTO. DE INTERP. Y FORM. MUSICAL ESPEC.</v>
          </cell>
        </row>
        <row r="1093">
          <cell r="A1093">
            <v>16978676</v>
          </cell>
          <cell r="B1093" t="str">
            <v>16978676</v>
          </cell>
          <cell r="C1093" t="str">
            <v>3</v>
          </cell>
          <cell r="D1093" t="str">
            <v>MUÑOZ AHUMADA CINDY ISABEL</v>
          </cell>
          <cell r="E1093" t="str">
            <v>ADC040001</v>
          </cell>
          <cell r="F1093">
            <v>44</v>
          </cell>
          <cell r="G1093">
            <v>30</v>
          </cell>
          <cell r="H1093" t="str">
            <v>CIDMUNOZ@UTALCA.CL</v>
          </cell>
          <cell r="I1093">
            <v>43466</v>
          </cell>
          <cell r="J1093">
            <v>46387</v>
          </cell>
          <cell r="K1093" t="str">
            <v>CONTRATA</v>
          </cell>
          <cell r="L1093" t="str">
            <v>ADMINISTRATIVO</v>
          </cell>
          <cell r="M1093" t="str">
            <v>ADMINISTRATIVO</v>
          </cell>
          <cell r="N1093" t="str">
            <v>GRADO I.21</v>
          </cell>
          <cell r="O1093" t="str">
            <v>TÉC. NIVEL MEDIO</v>
          </cell>
          <cell r="P1093" t="str">
            <v>TECNICO SECRETARIA</v>
          </cell>
          <cell r="Q1093" t="str">
            <v>COLCHAGUA</v>
          </cell>
          <cell r="R1093" t="str">
            <v>DIRECCIÓN DE SEDE SANTA CRUZ</v>
          </cell>
          <cell r="S1093" t="str">
            <v>DIRECCIÓN DE SEDE SANTA CRUZ</v>
          </cell>
        </row>
        <row r="1094">
          <cell r="A1094">
            <v>16980617</v>
          </cell>
          <cell r="B1094" t="str">
            <v>16980617</v>
          </cell>
          <cell r="C1094" t="str">
            <v>9</v>
          </cell>
          <cell r="D1094" t="str">
            <v>TORRES LEAL FERNANDO DANIEL AL</v>
          </cell>
          <cell r="E1094" t="str">
            <v>FCI320007</v>
          </cell>
          <cell r="F1094">
            <v>44</v>
          </cell>
          <cell r="G1094">
            <v>30</v>
          </cell>
          <cell r="H1094" t="str">
            <v>FETORRES@UTALCA.CL</v>
          </cell>
          <cell r="I1094">
            <v>43344</v>
          </cell>
          <cell r="J1094">
            <v>46446</v>
          </cell>
          <cell r="K1094" t="str">
            <v>CONTRATA</v>
          </cell>
          <cell r="L1094" t="str">
            <v>CA DE LA PROFESIÓN</v>
          </cell>
          <cell r="M1094" t="str">
            <v>PROFESOR ASISTENTE</v>
          </cell>
          <cell r="N1094" t="str">
            <v>GRADO C</v>
          </cell>
          <cell r="O1094" t="str">
            <v>MAGISTER</v>
          </cell>
          <cell r="P1094" t="str">
            <v>MAGÍSTER EN CIENCIAS DE LA INGENIERÍA CON MEN</v>
          </cell>
          <cell r="Q1094" t="str">
            <v>CURICO</v>
          </cell>
          <cell r="R1094" t="str">
            <v>FACULTAD DE INGENIERÍA</v>
          </cell>
          <cell r="S1094" t="str">
            <v>DEPARTAMENTO DE INGENIERÍA ELÉCTRICA</v>
          </cell>
        </row>
        <row r="1095">
          <cell r="A1095">
            <v>16997754</v>
          </cell>
          <cell r="B1095" t="str">
            <v>16997754</v>
          </cell>
          <cell r="C1095" t="str">
            <v>2</v>
          </cell>
          <cell r="D1095" t="str">
            <v>ADRIAZOLA DIAZ FRANCISCA PILAR</v>
          </cell>
          <cell r="E1095" t="str">
            <v>FCS320012</v>
          </cell>
          <cell r="F1095">
            <v>44</v>
          </cell>
          <cell r="G1095">
            <v>30</v>
          </cell>
          <cell r="H1095" t="str">
            <v>FADRIAZOLA@UTALCA.CL</v>
          </cell>
          <cell r="I1095">
            <v>42522</v>
          </cell>
          <cell r="J1095">
            <v>46446</v>
          </cell>
          <cell r="K1095" t="str">
            <v>CONTRATA</v>
          </cell>
          <cell r="L1095" t="str">
            <v>CA DOCENTE</v>
          </cell>
          <cell r="M1095" t="str">
            <v>INSTRUCTOR</v>
          </cell>
          <cell r="N1095" t="str">
            <v>GRADO D</v>
          </cell>
          <cell r="O1095" t="str">
            <v>MAGISTER</v>
          </cell>
          <cell r="P1095" t="str">
            <v>MAGÍSTER EN GESTIÓN DE SISTEMAS DE SALUD</v>
          </cell>
          <cell r="Q1095" t="str">
            <v>TALCA</v>
          </cell>
          <cell r="R1095" t="str">
            <v>FACULTAD DE CIENCIAS DE LA SALUD</v>
          </cell>
          <cell r="S1095" t="str">
            <v>DEPTO. CIENCIAS DEL CUIDADO EN ENFERM.</v>
          </cell>
        </row>
        <row r="1096">
          <cell r="A1096">
            <v>16998214</v>
          </cell>
          <cell r="B1096" t="str">
            <v>16998214</v>
          </cell>
          <cell r="C1096" t="str">
            <v>7</v>
          </cell>
          <cell r="D1096" t="str">
            <v>GARCIA ZERENE MARIA DEL PILAR</v>
          </cell>
          <cell r="E1096" t="str">
            <v>FPS340002</v>
          </cell>
          <cell r="F1096">
            <v>44</v>
          </cell>
          <cell r="G1096">
            <v>30</v>
          </cell>
          <cell r="H1096" t="str">
            <v>MGARCIAZ@UTALCA.CL</v>
          </cell>
          <cell r="I1096">
            <v>43466</v>
          </cell>
          <cell r="J1096">
            <v>46387</v>
          </cell>
          <cell r="K1096" t="str">
            <v>CONTRATA</v>
          </cell>
          <cell r="L1096" t="str">
            <v>PROFESIONAL</v>
          </cell>
          <cell r="M1096" t="str">
            <v>PROFESIONAL</v>
          </cell>
          <cell r="N1096" t="str">
            <v>GRADO I.17</v>
          </cell>
          <cell r="O1096" t="str">
            <v>TÍTULO PROFESIONAL</v>
          </cell>
          <cell r="P1096" t="str">
            <v>PSICÓLOGO</v>
          </cell>
          <cell r="Q1096" t="str">
            <v>TALCA</v>
          </cell>
          <cell r="R1096" t="str">
            <v>FACULTAD DE PSICOLOGÍA</v>
          </cell>
          <cell r="S1096" t="str">
            <v>CENTRO DE PSICOLOGÍA APLICADA</v>
          </cell>
        </row>
        <row r="1097">
          <cell r="A1097">
            <v>16998776</v>
          </cell>
          <cell r="B1097" t="str">
            <v>16998776</v>
          </cell>
          <cell r="C1097" t="str">
            <v>9</v>
          </cell>
          <cell r="D1097" t="str">
            <v>TORRES HERRERA IGNACIO JAVIER</v>
          </cell>
          <cell r="E1097" t="str">
            <v>FCI320007</v>
          </cell>
          <cell r="F1097">
            <v>44</v>
          </cell>
          <cell r="G1097">
            <v>30</v>
          </cell>
          <cell r="H1097" t="str">
            <v>IGTORRES@UTALCA.CL</v>
          </cell>
          <cell r="I1097">
            <v>43160</v>
          </cell>
          <cell r="J1097">
            <v>46446</v>
          </cell>
          <cell r="K1097" t="str">
            <v>CONTRATA</v>
          </cell>
          <cell r="L1097" t="str">
            <v>CA DOCENTE</v>
          </cell>
          <cell r="M1097" t="str">
            <v>INSTRUCTOR</v>
          </cell>
          <cell r="N1097" t="str">
            <v>GRADO D</v>
          </cell>
          <cell r="O1097" t="str">
            <v>DOCTORADO</v>
          </cell>
          <cell r="P1097" t="str">
            <v>DOCTOR OF PHILOSOPHY</v>
          </cell>
          <cell r="Q1097" t="str">
            <v>CURICO</v>
          </cell>
          <cell r="R1097" t="str">
            <v>FACULTAD DE INGENIERÍA</v>
          </cell>
          <cell r="S1097" t="str">
            <v>DEPARTAMENTO DE INGENIERÍA ELÉCTRICA</v>
          </cell>
        </row>
        <row r="1098">
          <cell r="A1098">
            <v>16998942</v>
          </cell>
          <cell r="B1098" t="str">
            <v>16998942</v>
          </cell>
          <cell r="C1098" t="str">
            <v>7</v>
          </cell>
          <cell r="D1098" t="str">
            <v>INOSTROZA CACERES PEDRO ANDRES</v>
          </cell>
          <cell r="E1098" t="str">
            <v>VRF400008</v>
          </cell>
          <cell r="F1098">
            <v>44</v>
          </cell>
          <cell r="G1098">
            <v>30</v>
          </cell>
          <cell r="H1098" t="str">
            <v>PINOSTROZA@UTALCA.CL</v>
          </cell>
          <cell r="I1098">
            <v>42058</v>
          </cell>
          <cell r="J1098">
            <v>46446</v>
          </cell>
          <cell r="K1098" t="str">
            <v>CONTRATA</v>
          </cell>
          <cell r="L1098" t="str">
            <v>CA DOCENTE</v>
          </cell>
          <cell r="M1098" t="str">
            <v>INSTRUCTOR</v>
          </cell>
          <cell r="N1098" t="str">
            <v>GRADO D</v>
          </cell>
          <cell r="O1098" t="str">
            <v>MAGISTER</v>
          </cell>
          <cell r="P1098" t="str">
            <v>MAGISTER EN DIDACTICA DEL INGLES</v>
          </cell>
          <cell r="Q1098" t="str">
            <v>TALCA</v>
          </cell>
          <cell r="R1098" t="str">
            <v>DIRECCIÓN DE PREGRADO</v>
          </cell>
          <cell r="S1098" t="str">
            <v>PROGRAMA DE IDIOMAS</v>
          </cell>
        </row>
        <row r="1099">
          <cell r="A1099">
            <v>16999327</v>
          </cell>
          <cell r="B1099" t="str">
            <v>16999327</v>
          </cell>
          <cell r="C1099" t="str">
            <v>0</v>
          </cell>
          <cell r="D1099" t="str">
            <v>OLAVE ROJAS DANIELA ESTEFANIA</v>
          </cell>
          <cell r="E1099" t="str">
            <v>FCI320004</v>
          </cell>
          <cell r="F1099">
            <v>44</v>
          </cell>
          <cell r="G1099">
            <v>30</v>
          </cell>
          <cell r="H1099" t="str">
            <v>DANIELA.OLAVE@UTALCA.CL</v>
          </cell>
          <cell r="I1099">
            <v>44409</v>
          </cell>
          <cell r="J1099">
            <v>46446</v>
          </cell>
          <cell r="K1099" t="str">
            <v>CONTRATA</v>
          </cell>
          <cell r="L1099" t="str">
            <v>CA DOCENTE</v>
          </cell>
          <cell r="M1099" t="str">
            <v>PROFESOR ASISTENTE</v>
          </cell>
          <cell r="N1099" t="str">
            <v>GRADO C</v>
          </cell>
          <cell r="O1099" t="str">
            <v>DOCTORADO</v>
          </cell>
          <cell r="P1099" t="str">
            <v>DOCTOR EN CIENCIAS FÍSICAS</v>
          </cell>
          <cell r="Q1099" t="str">
            <v>TALCA</v>
          </cell>
          <cell r="R1099" t="str">
            <v>FACULTAD DE INGENIERÍA</v>
          </cell>
          <cell r="S1099" t="str">
            <v>DEPARTAMENTO DE TECNOLOGÍA INDUSTRIALES</v>
          </cell>
        </row>
        <row r="1100">
          <cell r="A1100">
            <v>17024647</v>
          </cell>
          <cell r="B1100" t="str">
            <v>17024647</v>
          </cell>
          <cell r="C1100" t="str">
            <v>0</v>
          </cell>
          <cell r="D1100" t="str">
            <v>BARRON OYARCE IGNACIO ANDRES</v>
          </cell>
          <cell r="E1100" t="str">
            <v>FOD350001</v>
          </cell>
          <cell r="F1100">
            <v>11</v>
          </cell>
          <cell r="G1100">
            <v>30</v>
          </cell>
          <cell r="H1100" t="str">
            <v>IGNACIO.BARRON@UTALCA.CL</v>
          </cell>
          <cell r="I1100">
            <v>45231</v>
          </cell>
          <cell r="J1100">
            <v>46387</v>
          </cell>
          <cell r="K1100" t="str">
            <v>CONTRATA</v>
          </cell>
          <cell r="L1100" t="str">
            <v>PROFESIONAL</v>
          </cell>
          <cell r="M1100" t="str">
            <v>PROFESIONAL</v>
          </cell>
          <cell r="N1100" t="str">
            <v>GRADO I.17</v>
          </cell>
          <cell r="O1100" t="str">
            <v>TÍTULO PROFESIONAL</v>
          </cell>
          <cell r="P1100" t="str">
            <v>CIRUJANO DENTISTA</v>
          </cell>
          <cell r="Q1100" t="str">
            <v>TALCA</v>
          </cell>
          <cell r="R1100" t="str">
            <v>FACULTAD DE ODONTOLOGÍA</v>
          </cell>
          <cell r="S1100" t="str">
            <v>CLÍNICAS ODONTOLÓGICAS</v>
          </cell>
        </row>
        <row r="1101">
          <cell r="A1101">
            <v>17027026</v>
          </cell>
          <cell r="B1101" t="str">
            <v>17027026</v>
          </cell>
          <cell r="C1101" t="str">
            <v>6</v>
          </cell>
          <cell r="D1101" t="str">
            <v>ERRAZURIZ MONTANARES MISAEL AN</v>
          </cell>
          <cell r="E1101" t="str">
            <v>ADC024006</v>
          </cell>
          <cell r="F1101">
            <v>44</v>
          </cell>
          <cell r="G1101">
            <v>30</v>
          </cell>
          <cell r="H1101" t="str">
            <v>MISAEL.ERRAZURIZ@UTALCA.CL</v>
          </cell>
          <cell r="I1101">
            <v>43831</v>
          </cell>
          <cell r="J1101">
            <v>46387</v>
          </cell>
          <cell r="K1101" t="str">
            <v>CONTRATA</v>
          </cell>
          <cell r="L1101" t="str">
            <v>AUXILIAR</v>
          </cell>
          <cell r="M1101" t="str">
            <v>AUXILIAR</v>
          </cell>
          <cell r="N1101" t="str">
            <v>GRADO I.24</v>
          </cell>
          <cell r="O1101" t="str">
            <v>TÉC. NIVEL SUPERIOR</v>
          </cell>
          <cell r="P1101" t="str">
            <v>FOTÓGRAFO REPORTERO GRÁFICO</v>
          </cell>
          <cell r="Q1101" t="str">
            <v>TALCA</v>
          </cell>
          <cell r="R1101" t="str">
            <v>DRCCIÓN. GNAL. VINCULACIÓN CON EL MEDIO</v>
          </cell>
          <cell r="S1101" t="str">
            <v>UND. JARDÍN BOTÁNICO Y ARBORETUM</v>
          </cell>
        </row>
        <row r="1102">
          <cell r="A1102">
            <v>17039428</v>
          </cell>
          <cell r="B1102" t="str">
            <v>17039428</v>
          </cell>
          <cell r="C1102" t="str">
            <v>3</v>
          </cell>
          <cell r="D1102" t="str">
            <v>ROJAS AMIGO CARLA BERNARDITA</v>
          </cell>
          <cell r="E1102" t="str">
            <v>VDE400009</v>
          </cell>
          <cell r="F1102">
            <v>44</v>
          </cell>
          <cell r="G1102">
            <v>30</v>
          </cell>
          <cell r="H1102" t="str">
            <v>CARLA.ROJASA@UTALCA.CL</v>
          </cell>
          <cell r="I1102">
            <v>45352</v>
          </cell>
          <cell r="J1102">
            <v>46387</v>
          </cell>
          <cell r="K1102" t="str">
            <v>CONTRATA</v>
          </cell>
          <cell r="L1102" t="str">
            <v>TÉCNICO</v>
          </cell>
          <cell r="M1102" t="str">
            <v>TÉCNICO</v>
          </cell>
          <cell r="N1102" t="str">
            <v>GRADO I.23</v>
          </cell>
          <cell r="O1102" t="str">
            <v>TÉC. NIVEL SUPERIOR</v>
          </cell>
          <cell r="P1102" t="str">
            <v>TECNICO EN ENFERMERIA DE NIVEL SUPERIOR</v>
          </cell>
          <cell r="Q1102" t="str">
            <v>TALCA</v>
          </cell>
          <cell r="R1102" t="str">
            <v>VICERRECTORÍA DE DESARROLLO ESTUDIANTIL</v>
          </cell>
          <cell r="S1102" t="str">
            <v>DIRECCIÓN DE SALUD ESTUDIANTIL</v>
          </cell>
        </row>
        <row r="1103">
          <cell r="A1103">
            <v>17039830</v>
          </cell>
          <cell r="B1103" t="str">
            <v>17039830</v>
          </cell>
          <cell r="C1103" t="str">
            <v>0</v>
          </cell>
          <cell r="D1103" t="str">
            <v>ROBLES FUENTES PATRICIO ANDRES</v>
          </cell>
          <cell r="E1103" t="str">
            <v>FCS320007</v>
          </cell>
          <cell r="F1103">
            <v>37</v>
          </cell>
          <cell r="G1103">
            <v>30</v>
          </cell>
          <cell r="H1103" t="str">
            <v>PROBLES@UTALCA.CL</v>
          </cell>
          <cell r="I1103">
            <v>43831</v>
          </cell>
          <cell r="J1103">
            <v>46812</v>
          </cell>
          <cell r="K1103" t="str">
            <v>CONTRATA</v>
          </cell>
          <cell r="L1103" t="str">
            <v>CA DOCENTE</v>
          </cell>
          <cell r="M1103" t="str">
            <v>INSTRUCTOR</v>
          </cell>
          <cell r="N1103" t="str">
            <v>GRADO D</v>
          </cell>
          <cell r="O1103" t="str">
            <v>MAGISTER</v>
          </cell>
          <cell r="P1103" t="str">
            <v>MAGISTER EN CIENCIAS MENCIÓN MORFOLOGÍA</v>
          </cell>
          <cell r="Q1103" t="str">
            <v>TALCA</v>
          </cell>
          <cell r="R1103" t="str">
            <v>FACULTAD DE CIENCIAS DE LA SALUD</v>
          </cell>
          <cell r="S1103" t="str">
            <v>DPTO. DE CIENCIAS BÁSICAS BIOMÉDICAS</v>
          </cell>
        </row>
        <row r="1104">
          <cell r="A1104">
            <v>17039851</v>
          </cell>
          <cell r="B1104" t="str">
            <v>17039851</v>
          </cell>
          <cell r="C1104" t="str">
            <v>3</v>
          </cell>
          <cell r="D1104" t="str">
            <v>ROJAS SEPULVEDA ALEX IGNACIO</v>
          </cell>
          <cell r="E1104" t="str">
            <v>VRF400063</v>
          </cell>
          <cell r="F1104">
            <v>44</v>
          </cell>
          <cell r="G1104">
            <v>30</v>
          </cell>
          <cell r="H1104" t="str">
            <v>ALEXROJAS@UTALCA.CL</v>
          </cell>
          <cell r="I1104">
            <v>44563</v>
          </cell>
          <cell r="J1104">
            <v>46387</v>
          </cell>
          <cell r="K1104" t="str">
            <v>CONTRATA</v>
          </cell>
          <cell r="L1104" t="str">
            <v>PROFESIONAL</v>
          </cell>
          <cell r="M1104" t="str">
            <v>PROFESIONAL</v>
          </cell>
          <cell r="N1104" t="str">
            <v>GRADO I.17</v>
          </cell>
          <cell r="O1104" t="str">
            <v>TÍTULO PROFESIONAL</v>
          </cell>
          <cell r="P1104" t="str">
            <v>INGENIERO CIVIL EN COMPUTACION</v>
          </cell>
          <cell r="Q1104" t="str">
            <v>TALCA</v>
          </cell>
          <cell r="R1104" t="str">
            <v>VICERRECTORÍA DE FORMACIÓN</v>
          </cell>
          <cell r="S1104" t="str">
            <v>UNIDAD LMS-EDUCANDUS</v>
          </cell>
        </row>
        <row r="1105">
          <cell r="A1105">
            <v>17039914</v>
          </cell>
          <cell r="B1105" t="str">
            <v>17039914</v>
          </cell>
          <cell r="C1105" t="str">
            <v>5</v>
          </cell>
          <cell r="D1105" t="str">
            <v>ROMERO URRUTIA MARIA JOSE</v>
          </cell>
          <cell r="E1105" t="str">
            <v>ICB300001</v>
          </cell>
          <cell r="F1105">
            <v>44</v>
          </cell>
          <cell r="G1105">
            <v>30</v>
          </cell>
          <cell r="H1105" t="str">
            <v>MROMERO@UTALCA.CL</v>
          </cell>
          <cell r="I1105">
            <v>43101</v>
          </cell>
          <cell r="J1105">
            <v>46387</v>
          </cell>
          <cell r="K1105" t="str">
            <v>CONTRATA</v>
          </cell>
          <cell r="L1105" t="str">
            <v>TÉCNICO</v>
          </cell>
          <cell r="M1105" t="str">
            <v>TÉCNICO</v>
          </cell>
          <cell r="N1105" t="str">
            <v>GRADO I.21</v>
          </cell>
          <cell r="O1105" t="str">
            <v>TÉC. NIVEL MEDIO</v>
          </cell>
          <cell r="P1105" t="str">
            <v>TÉCNICO DE NIVEL MEDIO LABORATORIO CLÍNICO</v>
          </cell>
          <cell r="Q1105" t="str">
            <v>TALCA</v>
          </cell>
          <cell r="R1105" t="str">
            <v>INSTITUTO DE CIENCIAS BIOLÓGICAS</v>
          </cell>
          <cell r="S1105" t="str">
            <v>INSTITUTO DE CIENCIAS BIOLÓGICAS</v>
          </cell>
        </row>
        <row r="1106">
          <cell r="A1106">
            <v>17040374</v>
          </cell>
          <cell r="B1106" t="str">
            <v>17040374</v>
          </cell>
          <cell r="C1106" t="str">
            <v>6</v>
          </cell>
          <cell r="D1106" t="str">
            <v>BRAVO ADASME NATALIA STHEFANIA</v>
          </cell>
          <cell r="E1106" t="str">
            <v>FEN310002</v>
          </cell>
          <cell r="F1106">
            <v>33</v>
          </cell>
          <cell r="G1106">
            <v>30</v>
          </cell>
          <cell r="H1106" t="str">
            <v>NBRAVO@UTALCA.CL</v>
          </cell>
          <cell r="I1106">
            <v>43647</v>
          </cell>
          <cell r="J1106">
            <v>46446</v>
          </cell>
          <cell r="K1106" t="str">
            <v>CONTRATA</v>
          </cell>
          <cell r="L1106" t="str">
            <v>CA DOCENTE</v>
          </cell>
          <cell r="M1106" t="str">
            <v>PROFESOR ASISTENTE</v>
          </cell>
          <cell r="N1106" t="str">
            <v>GRADO C</v>
          </cell>
          <cell r="O1106" t="str">
            <v>MAGISTER</v>
          </cell>
          <cell r="P1106" t="str">
            <v>MAGÍSTER EN GESTIÓN TECNOLÓGICA</v>
          </cell>
          <cell r="Q1106" t="str">
            <v>TALCA</v>
          </cell>
          <cell r="R1106" t="str">
            <v>FACULTAD DE ECONOMÍA Y NEGOCIOS</v>
          </cell>
          <cell r="S1106" t="str">
            <v>ESC. DE ING. INFORMÁTICA EMPRESARIAL</v>
          </cell>
        </row>
        <row r="1107">
          <cell r="A1107">
            <v>17040519</v>
          </cell>
          <cell r="B1107" t="str">
            <v>17040519</v>
          </cell>
          <cell r="C1107" t="str">
            <v>6</v>
          </cell>
          <cell r="D1107" t="str">
            <v>RAMIREZ JARA JOSUE ISAAC</v>
          </cell>
          <cell r="E1107" t="str">
            <v>VDE400002</v>
          </cell>
          <cell r="F1107">
            <v>44</v>
          </cell>
          <cell r="G1107">
            <v>30</v>
          </cell>
          <cell r="H1107" t="str">
            <v>JOSRAMIREZ@UTALCA.CL</v>
          </cell>
          <cell r="I1107">
            <v>43466</v>
          </cell>
          <cell r="J1107">
            <v>46387</v>
          </cell>
          <cell r="K1107" t="str">
            <v>CONTRATA</v>
          </cell>
          <cell r="L1107" t="str">
            <v>PROFESIONAL</v>
          </cell>
          <cell r="M1107" t="str">
            <v>PROFESIONAL</v>
          </cell>
          <cell r="N1107" t="str">
            <v>GRADO I.17</v>
          </cell>
          <cell r="O1107" t="str">
            <v>TÍTULO PROFESIONAL</v>
          </cell>
          <cell r="P1107" t="str">
            <v>INGENIERO COMERCIAL</v>
          </cell>
          <cell r="Q1107" t="str">
            <v>TALCA</v>
          </cell>
          <cell r="R1107" t="str">
            <v>VICERRECTORÍA DE DESARROLLO ESTUDIANTIL</v>
          </cell>
          <cell r="S1107" t="str">
            <v>DRCCIÓN. APOYO A ORG. E INICIA. ESTUD.</v>
          </cell>
        </row>
        <row r="1108">
          <cell r="A1108">
            <v>17040710</v>
          </cell>
          <cell r="B1108" t="str">
            <v>17040710</v>
          </cell>
          <cell r="C1108" t="str">
            <v>5</v>
          </cell>
          <cell r="D1108" t="str">
            <v>BEAUDOUT VILLENA MARIA FERNAND</v>
          </cell>
          <cell r="E1108" t="str">
            <v>FAD310002</v>
          </cell>
          <cell r="F1108">
            <v>44</v>
          </cell>
          <cell r="G1108">
            <v>30</v>
          </cell>
          <cell r="H1108" t="str">
            <v>FERNANDAVEAUDOUT@GMAIL.COM</v>
          </cell>
          <cell r="I1108">
            <v>45931</v>
          </cell>
          <cell r="J1108">
            <v>46387</v>
          </cell>
          <cell r="K1108" t="str">
            <v>CONTRATA</v>
          </cell>
          <cell r="L1108" t="str">
            <v>PROFESIONAL</v>
          </cell>
          <cell r="M1108" t="str">
            <v>PROFESIONAL</v>
          </cell>
          <cell r="N1108" t="str">
            <v>GRADO I.17</v>
          </cell>
          <cell r="O1108" t="str">
            <v>TÍTULO PROFESIONAL</v>
          </cell>
          <cell r="P1108" t="str">
            <v>DISEÑADOR</v>
          </cell>
          <cell r="Q1108" t="str">
            <v>TALCA</v>
          </cell>
          <cell r="R1108" t="str">
            <v>FACULTAD DE ARQUITECTUR, MÚSICA Y DISEÑO</v>
          </cell>
          <cell r="S1108" t="str">
            <v>ESCUELA DE DISEÑO</v>
          </cell>
        </row>
        <row r="1109">
          <cell r="A1109">
            <v>17040717</v>
          </cell>
          <cell r="B1109" t="str">
            <v>17040717</v>
          </cell>
          <cell r="C1109" t="str">
            <v>2</v>
          </cell>
          <cell r="D1109" t="str">
            <v>BECERRA TORRES GABRIELA VICTOR</v>
          </cell>
          <cell r="E1109" t="str">
            <v>VGE400003</v>
          </cell>
          <cell r="F1109">
            <v>44</v>
          </cell>
          <cell r="G1109">
            <v>30</v>
          </cell>
          <cell r="H1109" t="str">
            <v>GBECERRA@UTALCA.CL</v>
          </cell>
          <cell r="I1109">
            <v>43101</v>
          </cell>
          <cell r="J1109">
            <v>46387</v>
          </cell>
          <cell r="K1109" t="str">
            <v>CONTRATA</v>
          </cell>
          <cell r="L1109" t="str">
            <v>ADMINISTRATIVO</v>
          </cell>
          <cell r="M1109" t="str">
            <v>ADMINISTRATIVO</v>
          </cell>
          <cell r="N1109" t="str">
            <v>GRADO I.21</v>
          </cell>
          <cell r="O1109" t="str">
            <v>TÍTULO PROFESIONAL</v>
          </cell>
          <cell r="P1109" t="str">
            <v>INGENIERO DE EJECUCIÓN EN ADMINISTRACIÓN</v>
          </cell>
          <cell r="Q1109" t="str">
            <v>TALCA</v>
          </cell>
          <cell r="R1109" t="str">
            <v>VIC. GESTIÓN ECONÓMICA Y ADMINISTRACIÓN</v>
          </cell>
          <cell r="S1109" t="str">
            <v>DEPARTAMENTO DE GESTIÓN DE PERSONAS</v>
          </cell>
        </row>
        <row r="1110">
          <cell r="A1110">
            <v>17046723</v>
          </cell>
          <cell r="B1110" t="str">
            <v>17046723</v>
          </cell>
          <cell r="C1110" t="str">
            <v>K</v>
          </cell>
          <cell r="D1110" t="str">
            <v>TURNER PANTOJA AILEEN XIMENA</v>
          </cell>
          <cell r="E1110" t="str">
            <v>ICB300001</v>
          </cell>
          <cell r="F1110">
            <v>44</v>
          </cell>
          <cell r="G1110">
            <v>30</v>
          </cell>
          <cell r="H1110" t="str">
            <v>ATURNER@UTALCA.CL</v>
          </cell>
          <cell r="I1110">
            <v>43466</v>
          </cell>
          <cell r="J1110">
            <v>46387</v>
          </cell>
          <cell r="K1110" t="str">
            <v>CONTRATA</v>
          </cell>
          <cell r="L1110" t="str">
            <v>PROFESIONAL</v>
          </cell>
          <cell r="M1110" t="str">
            <v>PROFESIONAL</v>
          </cell>
          <cell r="N1110" t="str">
            <v>GRADO I.17</v>
          </cell>
          <cell r="O1110" t="str">
            <v>TÍTULO PROFESIONAL</v>
          </cell>
          <cell r="P1110" t="str">
            <v>INGENIERA EN BIOTECNOLOGÍA VEGETAL</v>
          </cell>
          <cell r="Q1110" t="str">
            <v>TALCA</v>
          </cell>
          <cell r="R1110" t="str">
            <v>INSTITUTO DE CIENCIAS BIOLÓGICAS</v>
          </cell>
          <cell r="S1110" t="str">
            <v>INSTITUTO DE CIENCIAS BIOLÓGICAS</v>
          </cell>
        </row>
        <row r="1111">
          <cell r="A1111">
            <v>17059038</v>
          </cell>
          <cell r="B1111" t="str">
            <v>17059038</v>
          </cell>
          <cell r="C1111" t="str">
            <v>4</v>
          </cell>
          <cell r="D1111" t="str">
            <v>ARENAS TORRES FELIPE EDUARDO</v>
          </cell>
          <cell r="E1111" t="str">
            <v>FEN310004</v>
          </cell>
          <cell r="F1111">
            <v>44</v>
          </cell>
          <cell r="G1111">
            <v>30</v>
          </cell>
          <cell r="H1111" t="str">
            <v>FARENAS@UTALCA.CL</v>
          </cell>
          <cell r="I1111">
            <v>42795</v>
          </cell>
          <cell r="J1111">
            <v>46446</v>
          </cell>
          <cell r="K1111" t="str">
            <v>CONTRATA</v>
          </cell>
          <cell r="L1111" t="str">
            <v>CA DOCENTE</v>
          </cell>
          <cell r="M1111" t="str">
            <v>PROFESOR ASISTENTE</v>
          </cell>
          <cell r="N1111" t="str">
            <v>GRADO C</v>
          </cell>
          <cell r="O1111" t="str">
            <v>DOCTORADO</v>
          </cell>
          <cell r="P1111" t="str">
            <v>DOCTORADO EN DERECHO Y ADMINISTRACION DE EMPR</v>
          </cell>
          <cell r="Q1111" t="str">
            <v>TALCA</v>
          </cell>
          <cell r="R1111" t="str">
            <v>FACULTAD DE ECONOMÍA Y NEGOCIOS</v>
          </cell>
          <cell r="S1111" t="str">
            <v>ESC. AUDITORIA Y CONTROL DE GESTIÓN TLCA</v>
          </cell>
        </row>
        <row r="1112">
          <cell r="A1112">
            <v>17059230</v>
          </cell>
          <cell r="B1112" t="str">
            <v>17059230</v>
          </cell>
          <cell r="C1112" t="str">
            <v>1</v>
          </cell>
          <cell r="D1112" t="str">
            <v>ESPINOZA ZAMBRANO MACARENA IVO</v>
          </cell>
          <cell r="E1112" t="str">
            <v>ADC040001</v>
          </cell>
          <cell r="F1112">
            <v>44</v>
          </cell>
          <cell r="G1112">
            <v>30</v>
          </cell>
          <cell r="H1112" t="str">
            <v>MACARENA.ESPINOZA@UTALCA.CL</v>
          </cell>
          <cell r="I1112">
            <v>43466</v>
          </cell>
          <cell r="J1112">
            <v>46387</v>
          </cell>
          <cell r="K1112" t="str">
            <v>CONTRATA</v>
          </cell>
          <cell r="L1112" t="str">
            <v>ADMINISTRATIVO</v>
          </cell>
          <cell r="M1112" t="str">
            <v>ADMINISTRATIVO</v>
          </cell>
          <cell r="N1112" t="str">
            <v>GRADO I.21</v>
          </cell>
          <cell r="O1112" t="str">
            <v>TÉC. NIVEL SUPERIOR</v>
          </cell>
          <cell r="P1112" t="str">
            <v>TECNICO EN TURISMO MENCION EMPRESAS DE VIAJE</v>
          </cell>
          <cell r="Q1112" t="str">
            <v>COLCHAGUA</v>
          </cell>
          <cell r="R1112" t="str">
            <v>DIRECCIÓN DE SEDE SANTA CRUZ</v>
          </cell>
          <cell r="S1112" t="str">
            <v>DIRECCIÓN DE SEDE SANTA CRUZ</v>
          </cell>
        </row>
        <row r="1113">
          <cell r="A1113">
            <v>17061498</v>
          </cell>
          <cell r="B1113" t="str">
            <v>17061498</v>
          </cell>
          <cell r="C1113" t="str">
            <v>4</v>
          </cell>
          <cell r="D1113" t="str">
            <v>BUSTOS URRA KARLA MARGARITA</v>
          </cell>
          <cell r="E1113" t="str">
            <v>FED310002</v>
          </cell>
          <cell r="F1113">
            <v>44</v>
          </cell>
          <cell r="G1113">
            <v>30</v>
          </cell>
          <cell r="H1113" t="str">
            <v>KBUSTOS@UTALCA.CL</v>
          </cell>
          <cell r="I1113">
            <v>43160</v>
          </cell>
          <cell r="J1113">
            <v>46446</v>
          </cell>
          <cell r="K1113" t="str">
            <v>CONTRATA</v>
          </cell>
          <cell r="L1113" t="str">
            <v>CA DOCENTE</v>
          </cell>
          <cell r="M1113" t="str">
            <v>PROFESOR ASISTENTE</v>
          </cell>
          <cell r="N1113" t="str">
            <v>GRADO C</v>
          </cell>
          <cell r="O1113" t="str">
            <v>MAGISTER</v>
          </cell>
          <cell r="P1113" t="str">
            <v>MASTER OF SCIENCE IN TEACHING ENGLISH TO SPEA</v>
          </cell>
          <cell r="Q1113" t="str">
            <v>LINARES</v>
          </cell>
          <cell r="R1113" t="str">
            <v>FACULTAD DE CIENCIAS DE LA EDUCACIÓN</v>
          </cell>
          <cell r="S1113" t="str">
            <v>ESCUELA DE PEDAGOGÍA EN INGLÉS</v>
          </cell>
        </row>
        <row r="1114">
          <cell r="A1114">
            <v>17128265</v>
          </cell>
          <cell r="B1114" t="str">
            <v>17128265</v>
          </cell>
          <cell r="C1114" t="str">
            <v>9</v>
          </cell>
          <cell r="D1114" t="str">
            <v>RODRIGUEZ DUQUE MARIA NATALIA</v>
          </cell>
          <cell r="E1114" t="str">
            <v>FCS200001</v>
          </cell>
          <cell r="F1114">
            <v>33</v>
          </cell>
          <cell r="G1114">
            <v>30</v>
          </cell>
          <cell r="H1114" t="str">
            <v>MRODRIGUEZD@UTALCA.CL</v>
          </cell>
          <cell r="I1114">
            <v>44927</v>
          </cell>
          <cell r="J1114">
            <v>46387</v>
          </cell>
          <cell r="K1114" t="str">
            <v>CONTRATA</v>
          </cell>
          <cell r="L1114" t="str">
            <v>C ESPECIALES</v>
          </cell>
          <cell r="M1114" t="str">
            <v>TUTOR(A) PRÁCTICA</v>
          </cell>
          <cell r="N1114" t="str">
            <v>SIN GRADO</v>
          </cell>
          <cell r="O1114" t="str">
            <v>MAGISTER</v>
          </cell>
          <cell r="P1114" t="str">
            <v>MAGISTER EN SALUD PUBLICA MENCION ADMINISTRAC</v>
          </cell>
          <cell r="Q1114" t="str">
            <v>TALCA</v>
          </cell>
          <cell r="R1114" t="str">
            <v>FACULTAD DE CIENCIAS DE LA SALUD</v>
          </cell>
          <cell r="S1114" t="str">
            <v>FACULTAD DE CIENCIAS DE LA SALUD</v>
          </cell>
        </row>
        <row r="1115">
          <cell r="A1115">
            <v>17130856</v>
          </cell>
          <cell r="B1115" t="str">
            <v>17130856</v>
          </cell>
          <cell r="C1115" t="str">
            <v>9</v>
          </cell>
          <cell r="D1115" t="str">
            <v>JIMENEZ ACUÑA DANIEL FELIPE</v>
          </cell>
          <cell r="E1115" t="str">
            <v>VDE400009</v>
          </cell>
          <cell r="F1115">
            <v>44</v>
          </cell>
          <cell r="G1115">
            <v>30</v>
          </cell>
          <cell r="H1115" t="str">
            <v>DJIMENEZ@UTALCA.CL</v>
          </cell>
          <cell r="I1115">
            <v>43466</v>
          </cell>
          <cell r="J1115">
            <v>46387</v>
          </cell>
          <cell r="K1115" t="str">
            <v>CONTRATA</v>
          </cell>
          <cell r="L1115" t="str">
            <v>PROFESIONAL</v>
          </cell>
          <cell r="M1115" t="str">
            <v>PROFESIONAL</v>
          </cell>
          <cell r="N1115" t="str">
            <v>GRADO I.17</v>
          </cell>
          <cell r="O1115" t="str">
            <v>MAGISTER</v>
          </cell>
          <cell r="P1115" t="str">
            <v>MAGÍSTER EN SALUD PÚBLICA CON MENCIÓN EN EPID</v>
          </cell>
          <cell r="Q1115" t="str">
            <v>TALCA</v>
          </cell>
          <cell r="R1115" t="str">
            <v>VICERRECTORÍA DE DESARROLLO ESTUDIANTIL</v>
          </cell>
          <cell r="S1115" t="str">
            <v>DIRECCIÓN DE SALUD ESTUDIANTIL</v>
          </cell>
        </row>
        <row r="1116">
          <cell r="A1116">
            <v>17131265</v>
          </cell>
          <cell r="B1116" t="str">
            <v>17131265</v>
          </cell>
          <cell r="C1116" t="str">
            <v>5</v>
          </cell>
          <cell r="D1116" t="str">
            <v>VARAS CONCHA HENRY BERNARD</v>
          </cell>
          <cell r="E1116" t="str">
            <v>VGE400050</v>
          </cell>
          <cell r="F1116">
            <v>44</v>
          </cell>
          <cell r="G1116">
            <v>30</v>
          </cell>
          <cell r="H1116" t="str">
            <v>HVARAS@UTALCA.CL</v>
          </cell>
          <cell r="I1116">
            <v>43466</v>
          </cell>
          <cell r="J1116">
            <v>46387</v>
          </cell>
          <cell r="K1116" t="str">
            <v>CONTRATA</v>
          </cell>
          <cell r="L1116" t="str">
            <v>PROFESIONAL</v>
          </cell>
          <cell r="M1116" t="str">
            <v>PROFESIONAL</v>
          </cell>
          <cell r="N1116" t="str">
            <v>GRADO I.17</v>
          </cell>
          <cell r="O1116" t="str">
            <v>TÍTULO PROFESIONAL</v>
          </cell>
          <cell r="P1116" t="str">
            <v>INGENIERO MECATRÓNICO</v>
          </cell>
          <cell r="Q1116" t="str">
            <v>CURICO</v>
          </cell>
          <cell r="R1116" t="str">
            <v>VIC. GESTIÓN ECONÓMICA Y ADMINISTRACIÓN</v>
          </cell>
          <cell r="S1116" t="str">
            <v>DEPARTAMENTO DE ADMINISTRACIÓN DE CAMPUS</v>
          </cell>
        </row>
        <row r="1117">
          <cell r="A1117">
            <v>17134334</v>
          </cell>
          <cell r="B1117" t="str">
            <v>17134334</v>
          </cell>
          <cell r="C1117" t="str">
            <v>8</v>
          </cell>
          <cell r="D1117" t="str">
            <v>NUÑEZ ABARCA FERNANDA BEATRIZ</v>
          </cell>
          <cell r="E1117" t="str">
            <v/>
          </cell>
          <cell r="F1117">
            <v>44</v>
          </cell>
          <cell r="G1117">
            <v>30</v>
          </cell>
          <cell r="H1117" t="str">
            <v>FNUNEZ@UTALCA.CL</v>
          </cell>
          <cell r="I1117">
            <v>44927</v>
          </cell>
          <cell r="J1117">
            <v>46387</v>
          </cell>
          <cell r="K1117" t="str">
            <v>CONTRATA</v>
          </cell>
          <cell r="L1117" t="str">
            <v>PROFESIONAL</v>
          </cell>
          <cell r="M1117" t="str">
            <v>PROFESIONAL</v>
          </cell>
          <cell r="N1117" t="str">
            <v>GRADO I.17</v>
          </cell>
          <cell r="O1117" t="str">
            <v>MAGISTER</v>
          </cell>
          <cell r="P1117" t="str">
            <v>MAGISTER EN HORTICULTURA</v>
          </cell>
          <cell r="Q1117" t="str">
            <v>TALCA</v>
          </cell>
          <cell r="R1117" t="str">
            <v>FACULTAD DE CIENCIAS AGRARIAS</v>
          </cell>
          <cell r="S1117" t="str">
            <v>DEPARTAMENTO DE PRODUCCIÓN AGRÍCOLA</v>
          </cell>
        </row>
        <row r="1118">
          <cell r="A1118">
            <v>17139889</v>
          </cell>
          <cell r="B1118" t="str">
            <v>17139889</v>
          </cell>
          <cell r="C1118" t="str">
            <v>4</v>
          </cell>
          <cell r="D1118" t="str">
            <v>VERGARA PEREZ ROXANA DEL CARME</v>
          </cell>
          <cell r="E1118" t="str">
            <v>VAC400060</v>
          </cell>
          <cell r="F1118">
            <v>44</v>
          </cell>
          <cell r="G1118">
            <v>30</v>
          </cell>
          <cell r="H1118" t="str">
            <v>RVERGARA@UTALCA.CL</v>
          </cell>
          <cell r="I1118">
            <v>43466</v>
          </cell>
          <cell r="J1118">
            <v>46387</v>
          </cell>
          <cell r="K1118" t="str">
            <v>CONTRATA</v>
          </cell>
          <cell r="L1118" t="str">
            <v>ADMINISTRATIVO</v>
          </cell>
          <cell r="M1118" t="str">
            <v>ADMINISTRATIVO</v>
          </cell>
          <cell r="N1118" t="str">
            <v>GRADO I.21</v>
          </cell>
          <cell r="O1118" t="str">
            <v>TÉC. NIVEL SUPERIOR</v>
          </cell>
          <cell r="P1118" t="str">
            <v>TECNICO JURIDICO</v>
          </cell>
          <cell r="Q1118" t="str">
            <v>TALCA</v>
          </cell>
          <cell r="R1118" t="str">
            <v>VICERRECTORÍA ACADÉMICA</v>
          </cell>
          <cell r="S1118" t="str">
            <v>DIRECCIÓN DE RELACIONES INTERNACIONALES</v>
          </cell>
        </row>
        <row r="1119">
          <cell r="A1119">
            <v>17144810</v>
          </cell>
          <cell r="B1119" t="str">
            <v>17144810</v>
          </cell>
          <cell r="C1119" t="str">
            <v>7</v>
          </cell>
          <cell r="D1119" t="str">
            <v>MARTINEZ DIAZ DARIAN ROBINSON</v>
          </cell>
          <cell r="E1119" t="str">
            <v>IMF300001</v>
          </cell>
          <cell r="F1119">
            <v>44</v>
          </cell>
          <cell r="G1119">
            <v>30</v>
          </cell>
          <cell r="H1119" t="str">
            <v>DAMARTINEZ@UTALCA.CL</v>
          </cell>
          <cell r="I1119">
            <v>44986</v>
          </cell>
          <cell r="J1119">
            <v>46446</v>
          </cell>
          <cell r="K1119" t="str">
            <v>CONTRATA</v>
          </cell>
          <cell r="L1119" t="str">
            <v>CA DOCENTE</v>
          </cell>
          <cell r="M1119" t="str">
            <v>INSTRUCTOR</v>
          </cell>
          <cell r="N1119" t="str">
            <v>GRADO D</v>
          </cell>
          <cell r="O1119" t="str">
            <v>MAGISTER</v>
          </cell>
          <cell r="P1119" t="str">
            <v>MAGISTER EN GESTIÓN TECNOLOGICA</v>
          </cell>
          <cell r="Q1119" t="str">
            <v>CURICO</v>
          </cell>
          <cell r="R1119" t="str">
            <v>INSTITUTO DE MATEMÁTICAS</v>
          </cell>
          <cell r="S1119" t="str">
            <v>INSTITUTO DE MATEMÁTICAS</v>
          </cell>
        </row>
        <row r="1120">
          <cell r="A1120">
            <v>17144822</v>
          </cell>
          <cell r="B1120" t="str">
            <v>17144822</v>
          </cell>
          <cell r="C1120" t="str">
            <v>0</v>
          </cell>
          <cell r="D1120" t="str">
            <v>GAMBOA GAMBOA CRISTINA ANDREA</v>
          </cell>
          <cell r="E1120" t="str">
            <v>FCI200001</v>
          </cell>
          <cell r="F1120">
            <v>44</v>
          </cell>
          <cell r="G1120">
            <v>30</v>
          </cell>
          <cell r="H1120" t="str">
            <v>CGAMBOA@UTALCA.CL</v>
          </cell>
          <cell r="I1120">
            <v>43466</v>
          </cell>
          <cell r="J1120">
            <v>46387</v>
          </cell>
          <cell r="K1120" t="str">
            <v>CONTRATA</v>
          </cell>
          <cell r="L1120" t="str">
            <v>PROFESIONAL</v>
          </cell>
          <cell r="M1120" t="str">
            <v>PROFESIONAL</v>
          </cell>
          <cell r="N1120" t="str">
            <v>GRADO I.17</v>
          </cell>
          <cell r="O1120" t="str">
            <v>MAGISTER</v>
          </cell>
          <cell r="P1120" t="str">
            <v>MASTER EN GESTIÓN DE LA CIENCIA Y LA INNOVACI</v>
          </cell>
          <cell r="Q1120" t="str">
            <v>CURICO</v>
          </cell>
          <cell r="R1120" t="str">
            <v>FACULTAD DE INGENIERÍA</v>
          </cell>
          <cell r="S1120" t="str">
            <v>FACULTAD DE INGENIERÍA</v>
          </cell>
        </row>
        <row r="1121">
          <cell r="A1121">
            <v>17147360</v>
          </cell>
          <cell r="B1121" t="str">
            <v>17147360</v>
          </cell>
          <cell r="C1121" t="str">
            <v>8</v>
          </cell>
          <cell r="D1121" t="str">
            <v>YAÑEZ ESPARZA TATIANA ALEJANDR</v>
          </cell>
          <cell r="E1121" t="str">
            <v>VDE400001</v>
          </cell>
          <cell r="F1121">
            <v>44</v>
          </cell>
          <cell r="G1121">
            <v>30</v>
          </cell>
          <cell r="H1121" t="str">
            <v>TYANEZ@UTALCA.CL</v>
          </cell>
          <cell r="I1121">
            <v>43466</v>
          </cell>
          <cell r="J1121">
            <v>46387</v>
          </cell>
          <cell r="K1121" t="str">
            <v>CONTRATA</v>
          </cell>
          <cell r="L1121" t="str">
            <v>ADMINISTRATIVO</v>
          </cell>
          <cell r="M1121" t="str">
            <v>ADMINISTRATIVO</v>
          </cell>
          <cell r="N1121" t="str">
            <v>GRADO I.21</v>
          </cell>
          <cell r="O1121" t="str">
            <v>TÉC. NIVEL SUPERIOR</v>
          </cell>
          <cell r="P1121" t="str">
            <v>ASISTENTE SOCIAL</v>
          </cell>
          <cell r="Q1121" t="str">
            <v>TALCA</v>
          </cell>
          <cell r="R1121" t="str">
            <v>VICERRECTORÍA DE DESARROLLO ESTUDIANTIL</v>
          </cell>
          <cell r="S1121" t="str">
            <v>DIRECCIÓN DE BIENESTAR ESTUDIANTIL</v>
          </cell>
        </row>
        <row r="1122">
          <cell r="A1122">
            <v>17155790</v>
          </cell>
          <cell r="B1122" t="str">
            <v>17155790</v>
          </cell>
          <cell r="C1122" t="str">
            <v>9</v>
          </cell>
          <cell r="D1122" t="str">
            <v>ROJAS MORALES GIOVANNA GRAY</v>
          </cell>
          <cell r="E1122" t="str">
            <v>VDE400001</v>
          </cell>
          <cell r="F1122">
            <v>44</v>
          </cell>
          <cell r="G1122">
            <v>30</v>
          </cell>
          <cell r="H1122" t="str">
            <v>G.ROJAS@UTALCA.CL</v>
          </cell>
          <cell r="I1122">
            <v>43466</v>
          </cell>
          <cell r="J1122">
            <v>46387</v>
          </cell>
          <cell r="K1122" t="str">
            <v>CONTRATA</v>
          </cell>
          <cell r="L1122" t="str">
            <v>PROFESIONAL</v>
          </cell>
          <cell r="M1122" t="str">
            <v>PROFESIONAL</v>
          </cell>
          <cell r="N1122" t="str">
            <v>GRADO I.17</v>
          </cell>
          <cell r="O1122" t="str">
            <v>TÍTULO PROFESIONAL</v>
          </cell>
          <cell r="P1122" t="str">
            <v>TRABAJADORA SOCIAL</v>
          </cell>
          <cell r="Q1122" t="str">
            <v>CURICO</v>
          </cell>
          <cell r="R1122" t="str">
            <v>VICERRECTORÍA DE DESARROLLO ESTUDIANTIL</v>
          </cell>
          <cell r="S1122" t="str">
            <v>DIRECCIÓN DE BIENESTAR ESTUDIANTIL</v>
          </cell>
        </row>
        <row r="1123">
          <cell r="A1123">
            <v>17155828</v>
          </cell>
          <cell r="B1123" t="str">
            <v>17155828</v>
          </cell>
          <cell r="C1123" t="str">
            <v>K</v>
          </cell>
          <cell r="D1123" t="str">
            <v>MUÑOZ HERMOSILLA DIVA VANESSA</v>
          </cell>
          <cell r="E1123" t="str">
            <v>VGE400031</v>
          </cell>
          <cell r="F1123">
            <v>44</v>
          </cell>
          <cell r="G1123">
            <v>30</v>
          </cell>
          <cell r="H1123" t="str">
            <v/>
          </cell>
          <cell r="I1123">
            <v>45992</v>
          </cell>
          <cell r="J1123">
            <v>46387</v>
          </cell>
          <cell r="K1123" t="str">
            <v>CONTRATA</v>
          </cell>
          <cell r="L1123" t="str">
            <v>TÉCNICO</v>
          </cell>
          <cell r="M1123" t="str">
            <v>TÉCNICO</v>
          </cell>
          <cell r="N1123" t="str">
            <v>GRADO I.23</v>
          </cell>
          <cell r="O1123" t="str">
            <v>TÉC. NIVEL SUPERIOR</v>
          </cell>
          <cell r="P1123" t="str">
            <v>TECNICO DE NIVEL SUPERIOR EN ADMINISTRACION D</v>
          </cell>
          <cell r="Q1123" t="str">
            <v>TALCA</v>
          </cell>
          <cell r="R1123" t="str">
            <v>VIC. GESTIÓN ECONÓMICA Y ADMINISTRACIÓN</v>
          </cell>
          <cell r="S1123" t="str">
            <v>DPTO. DE APOYO FINANCIERO AL ESTUDIANTE</v>
          </cell>
        </row>
        <row r="1124">
          <cell r="A1124">
            <v>17157431</v>
          </cell>
          <cell r="B1124" t="str">
            <v>17157431</v>
          </cell>
          <cell r="C1124" t="str">
            <v>5</v>
          </cell>
          <cell r="D1124" t="str">
            <v>TORRES MORENO JOSE IGNACIO</v>
          </cell>
          <cell r="E1124" t="str">
            <v>FAD320003</v>
          </cell>
          <cell r="F1124">
            <v>33</v>
          </cell>
          <cell r="G1124">
            <v>30</v>
          </cell>
          <cell r="H1124" t="str">
            <v>JOSE.TORRES@UTALCA.CL</v>
          </cell>
          <cell r="I1124">
            <v>43556</v>
          </cell>
          <cell r="J1124">
            <v>46446</v>
          </cell>
          <cell r="K1124" t="str">
            <v>CONTRATA</v>
          </cell>
          <cell r="L1124" t="str">
            <v>CA DOCENTE</v>
          </cell>
          <cell r="M1124" t="str">
            <v>INSTRUCTOR</v>
          </cell>
          <cell r="N1124" t="str">
            <v>GRADO D</v>
          </cell>
          <cell r="O1124" t="str">
            <v>MAGISTER</v>
          </cell>
          <cell r="P1124" t="str">
            <v>MASTER DISEÑO INDUSTRIAL Y DESARROLLO DE PROD</v>
          </cell>
          <cell r="Q1124" t="str">
            <v>TALCA</v>
          </cell>
          <cell r="R1124" t="str">
            <v>FACULTAD DE ARQUITECTUR, MÚSICA Y DISEÑO</v>
          </cell>
          <cell r="S1124" t="str">
            <v>DEPARTAMENTO DE DISEÑO</v>
          </cell>
        </row>
        <row r="1125">
          <cell r="A1125">
            <v>17166658</v>
          </cell>
          <cell r="B1125" t="str">
            <v>17166658</v>
          </cell>
          <cell r="C1125" t="str">
            <v>9</v>
          </cell>
          <cell r="D1125" t="str">
            <v>SILVA CANCINO CRISTIAN ALEXIS</v>
          </cell>
          <cell r="E1125" t="str">
            <v>VRF400005</v>
          </cell>
          <cell r="F1125">
            <v>44</v>
          </cell>
          <cell r="G1125">
            <v>30</v>
          </cell>
          <cell r="H1125" t="str">
            <v>CSILVA@UTALCA.CL</v>
          </cell>
          <cell r="I1125">
            <v>43466</v>
          </cell>
          <cell r="J1125">
            <v>46446</v>
          </cell>
          <cell r="K1125" t="str">
            <v>CONTRATA</v>
          </cell>
          <cell r="L1125" t="str">
            <v>CA DOCENTE</v>
          </cell>
          <cell r="M1125" t="str">
            <v>INSTRUCTOR</v>
          </cell>
          <cell r="N1125" t="str">
            <v>GRADO D</v>
          </cell>
          <cell r="O1125" t="str">
            <v>MAGISTER</v>
          </cell>
          <cell r="P1125" t="str">
            <v>MAGÍSTER EN CIENCIAS DE LA ACTIVIDAD FÍSICA M</v>
          </cell>
          <cell r="Q1125" t="str">
            <v>TALCA</v>
          </cell>
          <cell r="R1125" t="str">
            <v>DIRECCIÓN DE PREGRADO</v>
          </cell>
          <cell r="S1125" t="str">
            <v>PROGRAMA DE DEPORTES</v>
          </cell>
        </row>
        <row r="1126">
          <cell r="A1126">
            <v>17183624</v>
          </cell>
          <cell r="B1126" t="str">
            <v>17183624</v>
          </cell>
          <cell r="C1126" t="str">
            <v>7</v>
          </cell>
          <cell r="D1126" t="str">
            <v>ROJAS GUTIERREZ URBANO ANTONIO</v>
          </cell>
          <cell r="E1126" t="str">
            <v>VRF400023</v>
          </cell>
          <cell r="F1126">
            <v>44</v>
          </cell>
          <cell r="G1126">
            <v>30</v>
          </cell>
          <cell r="H1126" t="str">
            <v>UROJAS@UTALCA.CL</v>
          </cell>
          <cell r="I1126">
            <v>44896</v>
          </cell>
          <cell r="J1126">
            <v>46387</v>
          </cell>
          <cell r="K1126" t="str">
            <v>CONTRATA</v>
          </cell>
          <cell r="L1126" t="str">
            <v>PROFESIONAL</v>
          </cell>
          <cell r="M1126" t="str">
            <v>PROFESIONAL</v>
          </cell>
          <cell r="N1126" t="str">
            <v>GRADO I.17</v>
          </cell>
          <cell r="O1126" t="str">
            <v>TÍTULO PROFESIONAL</v>
          </cell>
          <cell r="P1126" t="str">
            <v>DISEÑADOR MENCION EN DISEÑO DE PRODUCTOS</v>
          </cell>
          <cell r="Q1126" t="str">
            <v>TALCA</v>
          </cell>
          <cell r="R1126" t="str">
            <v>VICERRECTORÍA DE FORMACIÓN</v>
          </cell>
          <cell r="S1126" t="str">
            <v>UNIDAD DE FORMACIÓN CONTINUA</v>
          </cell>
        </row>
        <row r="1127">
          <cell r="A1127">
            <v>17183705</v>
          </cell>
          <cell r="B1127" t="str">
            <v>17183705</v>
          </cell>
          <cell r="C1127" t="str">
            <v>7</v>
          </cell>
          <cell r="D1127" t="str">
            <v>RUBINA MUÑOZ VICTORIA STEPHANI</v>
          </cell>
          <cell r="E1127" t="str">
            <v>VRF400043</v>
          </cell>
          <cell r="F1127">
            <v>44</v>
          </cell>
          <cell r="G1127">
            <v>30</v>
          </cell>
          <cell r="H1127" t="str">
            <v>VICTORIA.RUBINA@UTALCA.CL</v>
          </cell>
          <cell r="I1127">
            <v>45061</v>
          </cell>
          <cell r="J1127">
            <v>46387</v>
          </cell>
          <cell r="K1127" t="str">
            <v>CONTRATA</v>
          </cell>
          <cell r="L1127" t="str">
            <v>ADMINISTRATIVO</v>
          </cell>
          <cell r="M1127" t="str">
            <v>ADMINISTRATIVO</v>
          </cell>
          <cell r="N1127" t="str">
            <v>GRADO I.21</v>
          </cell>
          <cell r="O1127" t="str">
            <v>TÉC. NIVEL MEDIO</v>
          </cell>
          <cell r="P1127" t="str">
            <v>TECNICO EN ENFERMERIA</v>
          </cell>
          <cell r="Q1127" t="str">
            <v>TALCA</v>
          </cell>
          <cell r="R1127" t="str">
            <v>VICERRECTORÍA DE FORMACIÓN</v>
          </cell>
          <cell r="S1127" t="str">
            <v>DPTO. DE GESTIÓN DE INFORM. ESTUDIANTIL</v>
          </cell>
        </row>
        <row r="1128">
          <cell r="A1128">
            <v>17183869</v>
          </cell>
          <cell r="B1128" t="str">
            <v>17183869</v>
          </cell>
          <cell r="C1128" t="str">
            <v>K</v>
          </cell>
          <cell r="D1128" t="str">
            <v>BUENO RAMIREZ CLAUDIA FRANCISC</v>
          </cell>
          <cell r="E1128" t="str">
            <v>IMF300001</v>
          </cell>
          <cell r="F1128">
            <v>44</v>
          </cell>
          <cell r="G1128">
            <v>30</v>
          </cell>
          <cell r="H1128" t="str">
            <v>CBUENO@UTALCA.CL</v>
          </cell>
          <cell r="I1128">
            <v>41275</v>
          </cell>
          <cell r="J1128">
            <v>2958465</v>
          </cell>
          <cell r="K1128" t="str">
            <v>PLANTA</v>
          </cell>
          <cell r="L1128" t="str">
            <v>ADMINISTRATIVO</v>
          </cell>
          <cell r="M1128" t="str">
            <v>ADMINISTRATIVO</v>
          </cell>
          <cell r="N1128" t="str">
            <v>GRADO I.20</v>
          </cell>
          <cell r="O1128" t="str">
            <v>TÉC. NIVEL MEDIO</v>
          </cell>
          <cell r="P1128" t="str">
            <v>SECRETARIA, TECNICO DE NIVEL MEDIO</v>
          </cell>
          <cell r="Q1128" t="str">
            <v>TALCA</v>
          </cell>
          <cell r="R1128" t="str">
            <v>INSTITUTO DE MATEMÁTICAS</v>
          </cell>
          <cell r="S1128" t="str">
            <v>INSTITUTO DE MATEMÁTICAS</v>
          </cell>
        </row>
        <row r="1129">
          <cell r="A1129">
            <v>17184394</v>
          </cell>
          <cell r="B1129" t="str">
            <v>17184394</v>
          </cell>
          <cell r="C1129" t="str">
            <v>4</v>
          </cell>
          <cell r="D1129" t="str">
            <v>ROJAS ESPINOZA FRANCISCO IGNAC</v>
          </cell>
          <cell r="E1129" t="str">
            <v>VGE400021</v>
          </cell>
          <cell r="F1129">
            <v>44</v>
          </cell>
          <cell r="G1129">
            <v>30</v>
          </cell>
          <cell r="H1129" t="str">
            <v>FRANROJAS@UTALCA.CL</v>
          </cell>
          <cell r="I1129">
            <v>43466</v>
          </cell>
          <cell r="J1129">
            <v>46387</v>
          </cell>
          <cell r="K1129" t="str">
            <v>CONTRATA</v>
          </cell>
          <cell r="L1129" t="str">
            <v>PROFESIONAL</v>
          </cell>
          <cell r="M1129" t="str">
            <v>PROFESIONAL</v>
          </cell>
          <cell r="N1129" t="str">
            <v>GRADO I.17</v>
          </cell>
          <cell r="O1129" t="str">
            <v>TÍTULO PROFESIONAL</v>
          </cell>
          <cell r="P1129" t="str">
            <v>INGENIERO COMERCIAL</v>
          </cell>
          <cell r="Q1129" t="str">
            <v>TALCA</v>
          </cell>
          <cell r="R1129" t="str">
            <v>VIC. GESTIÓN ECONÓMICA Y ADMINISTRACIÓN</v>
          </cell>
          <cell r="S1129" t="str">
            <v>DEPARTAMENTO DE PRESUPUESTO</v>
          </cell>
        </row>
        <row r="1130">
          <cell r="A1130">
            <v>17184475</v>
          </cell>
          <cell r="B1130" t="str">
            <v>17184475</v>
          </cell>
          <cell r="C1130" t="str">
            <v>4</v>
          </cell>
          <cell r="D1130" t="str">
            <v>FUENTES ARAVENA CRISTIAN ADOLF</v>
          </cell>
          <cell r="E1130" t="str">
            <v>VGE400058</v>
          </cell>
          <cell r="F1130">
            <v>44</v>
          </cell>
          <cell r="G1130">
            <v>30</v>
          </cell>
          <cell r="H1130" t="str">
            <v>CRISTIAN.FUENTES@UTALCA.CL</v>
          </cell>
          <cell r="I1130">
            <v>45078</v>
          </cell>
          <cell r="J1130">
            <v>46387</v>
          </cell>
          <cell r="K1130" t="str">
            <v>CONTRATA</v>
          </cell>
          <cell r="L1130" t="str">
            <v>PROFESIONAL</v>
          </cell>
          <cell r="M1130" t="str">
            <v>PROFESIONAL</v>
          </cell>
          <cell r="N1130" t="str">
            <v>GRADO I.17</v>
          </cell>
          <cell r="O1130" t="str">
            <v>TÍTULO PROFESIONAL</v>
          </cell>
          <cell r="P1130" t="str">
            <v>INGENIERO EN PREVENCION DE RIESGOS</v>
          </cell>
          <cell r="Q1130" t="str">
            <v>TALCA</v>
          </cell>
          <cell r="R1130" t="str">
            <v>VIC. GESTIÓN ECONÓMICA Y ADMINISTRACIÓN</v>
          </cell>
          <cell r="S1130" t="str">
            <v>UND. PREVENCIÓN RIESGOS Y MEDIO AMBIENTE</v>
          </cell>
        </row>
        <row r="1131">
          <cell r="A1131">
            <v>17184765</v>
          </cell>
          <cell r="B1131" t="str">
            <v>17184765</v>
          </cell>
          <cell r="C1131" t="str">
            <v>6</v>
          </cell>
          <cell r="D1131" t="str">
            <v>SALGADO HERNÁNDEZ JOSÉ LUIS</v>
          </cell>
          <cell r="E1131" t="str">
            <v>VGE400055</v>
          </cell>
          <cell r="F1131">
            <v>44</v>
          </cell>
          <cell r="G1131">
            <v>30</v>
          </cell>
          <cell r="H1131" t="str">
            <v>JOSE.SALGADO@UTALCA.CL</v>
          </cell>
          <cell r="I1131">
            <v>45931</v>
          </cell>
          <cell r="J1131">
            <v>46387</v>
          </cell>
          <cell r="K1131" t="str">
            <v>CONTRATA</v>
          </cell>
          <cell r="L1131" t="str">
            <v>TÉCNICO</v>
          </cell>
          <cell r="M1131" t="str">
            <v>TÉCNICO</v>
          </cell>
          <cell r="N1131" t="str">
            <v>GRADO I.23</v>
          </cell>
          <cell r="O1131" t="str">
            <v>TÍTULO PROFESIONAL</v>
          </cell>
          <cell r="P1131" t="str">
            <v>INGENIERO EN INFORMÁTICA</v>
          </cell>
          <cell r="Q1131" t="str">
            <v>TALCA</v>
          </cell>
          <cell r="R1131" t="str">
            <v>VIC. GESTIÓN ECONÓMICA Y ADMINISTRACIÓN</v>
          </cell>
          <cell r="S1131" t="str">
            <v>DEPARTAMENTO DE PLATAFORMAS TI</v>
          </cell>
        </row>
        <row r="1132">
          <cell r="A1132">
            <v>17185213</v>
          </cell>
          <cell r="B1132" t="str">
            <v>17185213</v>
          </cell>
          <cell r="C1132" t="str">
            <v>7</v>
          </cell>
          <cell r="D1132" t="str">
            <v>LOPEZ LOPEZ DANIELA NICOLE</v>
          </cell>
          <cell r="E1132" t="str">
            <v>FCS310007</v>
          </cell>
          <cell r="F1132">
            <v>22</v>
          </cell>
          <cell r="G1132">
            <v>8</v>
          </cell>
          <cell r="H1132" t="str">
            <v>DANIELA.LOPEZ@UTALCA.CL</v>
          </cell>
          <cell r="I1132">
            <v>45611</v>
          </cell>
          <cell r="J1132">
            <v>46089</v>
          </cell>
          <cell r="K1132" t="str">
            <v>CONTRATA</v>
          </cell>
          <cell r="L1132" t="str">
            <v>TÉCNICO</v>
          </cell>
          <cell r="M1132" t="str">
            <v>TÉCNICO</v>
          </cell>
          <cell r="N1132" t="str">
            <v>GRADO I.23</v>
          </cell>
          <cell r="O1132" t="str">
            <v>TÉC. NIVEL SUPERIOR</v>
          </cell>
          <cell r="P1132" t="str">
            <v>TECNICO EN ENFERMERIA DE NIVEL SUPERIOR</v>
          </cell>
          <cell r="Q1132" t="str">
            <v>TALCA</v>
          </cell>
          <cell r="R1132" t="str">
            <v>FACULTAD DE CIENCIAS DE LA SALUD</v>
          </cell>
          <cell r="S1132" t="str">
            <v>ESCUELA DE OBSTETRICIA Y PUERICULTURA</v>
          </cell>
        </row>
        <row r="1133">
          <cell r="A1133">
            <v>17185238</v>
          </cell>
          <cell r="B1133" t="str">
            <v>17185238</v>
          </cell>
          <cell r="C1133" t="str">
            <v>2</v>
          </cell>
          <cell r="D1133" t="str">
            <v>MARDONES MENDEZ GABRIELA DE LO</v>
          </cell>
          <cell r="E1133" t="str">
            <v>VGE400019</v>
          </cell>
          <cell r="F1133">
            <v>44</v>
          </cell>
          <cell r="G1133">
            <v>30</v>
          </cell>
          <cell r="H1133" t="str">
            <v>G.MARDONES@UTALCA.CL</v>
          </cell>
          <cell r="I1133">
            <v>43101</v>
          </cell>
          <cell r="J1133">
            <v>46387</v>
          </cell>
          <cell r="K1133" t="str">
            <v>CONTRATA</v>
          </cell>
          <cell r="L1133" t="str">
            <v>ADMINISTRATIVO</v>
          </cell>
          <cell r="M1133" t="str">
            <v>ADMINISTRATIVO</v>
          </cell>
          <cell r="N1133" t="str">
            <v>GRADO I.21</v>
          </cell>
          <cell r="O1133" t="str">
            <v>TÍTULO PROFESIONAL</v>
          </cell>
          <cell r="P1133" t="str">
            <v>INGENIERA EN ADMINISTRACION DE EMPRESA</v>
          </cell>
          <cell r="Q1133" t="str">
            <v>TALCA</v>
          </cell>
          <cell r="R1133" t="str">
            <v>VIC. GESTIÓN ECONÓMICA Y ADMINISTRACIÓN</v>
          </cell>
          <cell r="S1133" t="str">
            <v>DPTO. DE GESTIÓN DE PAGO A PROVEEDORES</v>
          </cell>
        </row>
        <row r="1134">
          <cell r="A1134">
            <v>17185608</v>
          </cell>
          <cell r="B1134" t="str">
            <v>17185608</v>
          </cell>
          <cell r="C1134" t="str">
            <v>6</v>
          </cell>
          <cell r="D1134" t="str">
            <v>NORAMBUENA GONZALEZ RAMON ANTO</v>
          </cell>
          <cell r="E1134" t="str">
            <v>FCS200001</v>
          </cell>
          <cell r="F1134">
            <v>22</v>
          </cell>
          <cell r="G1134">
            <v>30</v>
          </cell>
          <cell r="H1134" t="str">
            <v>RAMON.NORAMBUENA@UTALCA.CL</v>
          </cell>
          <cell r="I1134">
            <v>44927</v>
          </cell>
          <cell r="J1134">
            <v>46387</v>
          </cell>
          <cell r="K1134" t="str">
            <v>CONTRATA</v>
          </cell>
          <cell r="L1134" t="str">
            <v>C ESPECIALES</v>
          </cell>
          <cell r="M1134" t="str">
            <v>TUTOR(A) PRÁCTICA</v>
          </cell>
          <cell r="N1134" t="str">
            <v>SIN GRADO</v>
          </cell>
          <cell r="O1134" t="str">
            <v>MAGISTER</v>
          </cell>
          <cell r="P1134" t="str">
            <v>MAGISTER EN MORFOLIGIA</v>
          </cell>
          <cell r="Q1134" t="str">
            <v>TALCA</v>
          </cell>
          <cell r="R1134" t="str">
            <v>FACULTAD DE CIENCIAS DE LA SALUD</v>
          </cell>
          <cell r="S1134" t="str">
            <v>FACULTAD DE CIENCIAS DE LA SALUD</v>
          </cell>
        </row>
        <row r="1135">
          <cell r="A1135">
            <v>17185987</v>
          </cell>
          <cell r="B1135" t="str">
            <v>17185987</v>
          </cell>
          <cell r="C1135" t="str">
            <v>5</v>
          </cell>
          <cell r="D1135" t="str">
            <v>ANDAUR PACHECO YORDANA VALESKA</v>
          </cell>
          <cell r="E1135" t="str">
            <v>ADC030114</v>
          </cell>
          <cell r="F1135">
            <v>44</v>
          </cell>
          <cell r="G1135">
            <v>30</v>
          </cell>
          <cell r="H1135" t="str">
            <v>YANDAUR@UTALCA.CL</v>
          </cell>
          <cell r="I1135">
            <v>43466</v>
          </cell>
          <cell r="J1135">
            <v>46387</v>
          </cell>
          <cell r="K1135" t="str">
            <v>CONTRATA</v>
          </cell>
          <cell r="L1135" t="str">
            <v>PROFESIONAL</v>
          </cell>
          <cell r="M1135" t="str">
            <v>PROFESIONAL</v>
          </cell>
          <cell r="N1135" t="str">
            <v>GRADO I.17</v>
          </cell>
          <cell r="O1135" t="str">
            <v>TÍTULO PROFESIONAL</v>
          </cell>
          <cell r="P1135" t="str">
            <v>ARQUITECTO</v>
          </cell>
          <cell r="Q1135" t="str">
            <v>TALCA</v>
          </cell>
          <cell r="R1135" t="str">
            <v>DIRECCIÓN DE ASEGURAMIENTO DE LA CALIDAD</v>
          </cell>
          <cell r="S1135" t="str">
            <v>DPTO. DE DESARROLLO DE INFRAESTRUCTURA</v>
          </cell>
        </row>
        <row r="1136">
          <cell r="A1136">
            <v>17186139</v>
          </cell>
          <cell r="B1136" t="str">
            <v>17186139</v>
          </cell>
          <cell r="C1136" t="str">
            <v>K</v>
          </cell>
          <cell r="D1136" t="str">
            <v>MUÑOZ RIOS KAREN ALEJANDRA</v>
          </cell>
          <cell r="E1136" t="str">
            <v>VDE400001</v>
          </cell>
          <cell r="F1136">
            <v>44</v>
          </cell>
          <cell r="G1136">
            <v>30</v>
          </cell>
          <cell r="H1136" t="str">
            <v>KAREN.MUNOZ@UTALCA.CL</v>
          </cell>
          <cell r="I1136">
            <v>44197</v>
          </cell>
          <cell r="J1136">
            <v>46387</v>
          </cell>
          <cell r="K1136" t="str">
            <v>CONTRATA</v>
          </cell>
          <cell r="L1136" t="str">
            <v>PROFESIONAL</v>
          </cell>
          <cell r="M1136" t="str">
            <v>PROFESIONAL</v>
          </cell>
          <cell r="N1136" t="str">
            <v>GRADO I.17</v>
          </cell>
          <cell r="O1136" t="str">
            <v>TÍTULO PROFESIONAL</v>
          </cell>
          <cell r="P1136" t="str">
            <v>TRABAJADOR SOCIAL</v>
          </cell>
          <cell r="Q1136" t="str">
            <v>LINARES</v>
          </cell>
          <cell r="R1136" t="str">
            <v>VICERRECTORÍA DE DESARROLLO ESTUDIANTIL</v>
          </cell>
          <cell r="S1136" t="str">
            <v>DIRECCIÓN DE BIENESTAR ESTUDIANTIL</v>
          </cell>
        </row>
        <row r="1137">
          <cell r="A1137">
            <v>17186438</v>
          </cell>
          <cell r="B1137" t="str">
            <v>17186438</v>
          </cell>
          <cell r="C1137" t="str">
            <v>0</v>
          </cell>
          <cell r="D1137" t="str">
            <v>ROJAS OKUINGHTTONS CARLA JAVIE</v>
          </cell>
          <cell r="E1137" t="str">
            <v>FCA200001</v>
          </cell>
          <cell r="F1137">
            <v>44</v>
          </cell>
          <cell r="G1137">
            <v>30</v>
          </cell>
          <cell r="H1137" t="str">
            <v>CARLA.ROJAS@UTALCA.CL</v>
          </cell>
          <cell r="I1137">
            <v>44562</v>
          </cell>
          <cell r="J1137">
            <v>46387</v>
          </cell>
          <cell r="K1137" t="str">
            <v>CONTRATA</v>
          </cell>
          <cell r="L1137" t="str">
            <v>PROFESIONAL</v>
          </cell>
          <cell r="M1137" t="str">
            <v>PROFESIONAL</v>
          </cell>
          <cell r="N1137" t="str">
            <v>GRADO I.17</v>
          </cell>
          <cell r="O1137" t="str">
            <v>TÍTULO PROFESIONAL</v>
          </cell>
          <cell r="P1137" t="str">
            <v>INGENIERO COMERCIAL</v>
          </cell>
          <cell r="Q1137" t="str">
            <v>TALCA</v>
          </cell>
          <cell r="R1137" t="str">
            <v>FACULTAD DE CIENCIAS AGRARIAS</v>
          </cell>
          <cell r="S1137" t="str">
            <v>FACULTAD DE CIENCIAS AGRARIAS</v>
          </cell>
        </row>
        <row r="1138">
          <cell r="A1138">
            <v>17187067</v>
          </cell>
          <cell r="B1138" t="str">
            <v>17187067</v>
          </cell>
          <cell r="C1138" t="str">
            <v>4</v>
          </cell>
          <cell r="D1138" t="str">
            <v>AVILA JIMENEZ CESAR ANTONIO</v>
          </cell>
          <cell r="E1138" t="str">
            <v>FCS320007</v>
          </cell>
          <cell r="F1138">
            <v>44</v>
          </cell>
          <cell r="G1138">
            <v>30</v>
          </cell>
          <cell r="H1138" t="str">
            <v>CESAR.AVILA@UTALCA.CL</v>
          </cell>
          <cell r="I1138">
            <v>45047</v>
          </cell>
          <cell r="J1138">
            <v>46446</v>
          </cell>
          <cell r="K1138" t="str">
            <v>CONTRATA</v>
          </cell>
          <cell r="L1138" t="str">
            <v>CA DOCENTE</v>
          </cell>
          <cell r="M1138" t="str">
            <v>INSTRUCTOR</v>
          </cell>
          <cell r="N1138" t="str">
            <v>GRADO D</v>
          </cell>
          <cell r="O1138" t="str">
            <v>MAGISTER</v>
          </cell>
          <cell r="P1138" t="str">
            <v>MAGISTER EN KINESIOLOGIA</v>
          </cell>
          <cell r="Q1138" t="str">
            <v>TALCA</v>
          </cell>
          <cell r="R1138" t="str">
            <v>FACULTAD DE CIENCIAS DE LA SALUD</v>
          </cell>
          <cell r="S1138" t="str">
            <v>DPTO. DE CIENCIAS BÁSICAS BIOMÉDICAS</v>
          </cell>
        </row>
        <row r="1139">
          <cell r="A1139">
            <v>17187393</v>
          </cell>
          <cell r="B1139" t="str">
            <v>17187393</v>
          </cell>
          <cell r="C1139" t="str">
            <v>2</v>
          </cell>
          <cell r="D1139" t="str">
            <v>ARAYA BUSTOS MARIA FRANCISCA</v>
          </cell>
          <cell r="E1139" t="str">
            <v>FOD200001</v>
          </cell>
          <cell r="F1139">
            <v>22</v>
          </cell>
          <cell r="G1139">
            <v>30</v>
          </cell>
          <cell r="H1139" t="str">
            <v>M.ARAYA@UTALCA.CL</v>
          </cell>
          <cell r="I1139">
            <v>44340</v>
          </cell>
          <cell r="J1139">
            <v>46387</v>
          </cell>
          <cell r="K1139" t="str">
            <v>CONTRATA</v>
          </cell>
          <cell r="L1139" t="str">
            <v>C ESPECIALES</v>
          </cell>
          <cell r="M1139" t="str">
            <v>TUTOR(A) PRÁCTICA</v>
          </cell>
          <cell r="N1139" t="str">
            <v>SIN GRADO</v>
          </cell>
          <cell r="O1139" t="str">
            <v>MAGISTER</v>
          </cell>
          <cell r="P1139" t="str">
            <v>MAGISTER EN ODONTOGERIATRÍA</v>
          </cell>
          <cell r="Q1139" t="str">
            <v>TALCA</v>
          </cell>
          <cell r="R1139" t="str">
            <v>FACULTAD DE ODONTOLOGÍA</v>
          </cell>
          <cell r="S1139" t="str">
            <v>FACULTAD DE ODONTOLOGÍA</v>
          </cell>
        </row>
        <row r="1140">
          <cell r="A1140">
            <v>17192092</v>
          </cell>
          <cell r="B1140" t="str">
            <v>17192092</v>
          </cell>
          <cell r="C1140" t="str">
            <v>2</v>
          </cell>
          <cell r="D1140" t="str">
            <v>FUENTES ACEVEDO FRANCISCO ANTO</v>
          </cell>
          <cell r="E1140" t="str">
            <v>VRF400063</v>
          </cell>
          <cell r="F1140">
            <v>44</v>
          </cell>
          <cell r="G1140">
            <v>30</v>
          </cell>
          <cell r="H1140" t="str">
            <v/>
          </cell>
          <cell r="I1140">
            <v>45292</v>
          </cell>
          <cell r="J1140">
            <v>46387</v>
          </cell>
          <cell r="K1140" t="str">
            <v>CONTRATA</v>
          </cell>
          <cell r="L1140" t="str">
            <v>PROFESIONAL</v>
          </cell>
          <cell r="M1140" t="str">
            <v>PROFESIONAL</v>
          </cell>
          <cell r="N1140" t="str">
            <v>GRADO I.17</v>
          </cell>
          <cell r="O1140" t="str">
            <v>TÍTULO PROFESIONAL</v>
          </cell>
          <cell r="P1140" t="str">
            <v>INGENIERO CIVIL EN COMPUTACION</v>
          </cell>
          <cell r="Q1140" t="str">
            <v>TALCA</v>
          </cell>
          <cell r="R1140" t="str">
            <v>VICERRECTORÍA DE FORMACIÓN</v>
          </cell>
          <cell r="S1140" t="str">
            <v>UNIDAD LMS-EDUCANDUS</v>
          </cell>
        </row>
        <row r="1141">
          <cell r="A1141">
            <v>17207756</v>
          </cell>
          <cell r="B1141" t="str">
            <v>17207756</v>
          </cell>
          <cell r="C1141" t="str">
            <v>0</v>
          </cell>
          <cell r="D1141" t="str">
            <v>CABRERA BURGOS MARGARITA ELENA</v>
          </cell>
          <cell r="E1141" t="str">
            <v>VRF400023</v>
          </cell>
          <cell r="F1141">
            <v>44</v>
          </cell>
          <cell r="G1141">
            <v>30</v>
          </cell>
          <cell r="H1141" t="str">
            <v>MARGARITA.CABRERA@UTALCA.CL</v>
          </cell>
          <cell r="I1141">
            <v>45809</v>
          </cell>
          <cell r="J1141">
            <v>46387</v>
          </cell>
          <cell r="K1141" t="str">
            <v>CONTRATA</v>
          </cell>
          <cell r="L1141" t="str">
            <v>PROFESIONAL</v>
          </cell>
          <cell r="M1141" t="str">
            <v>PROFESIONAL</v>
          </cell>
          <cell r="N1141" t="str">
            <v>GRADO I.17</v>
          </cell>
          <cell r="O1141" t="str">
            <v>TÍTULO PROFESIONAL</v>
          </cell>
          <cell r="P1141" t="str">
            <v>RELACIONADOR PUBLICO</v>
          </cell>
          <cell r="Q1141" t="str">
            <v>TALCA</v>
          </cell>
          <cell r="R1141" t="str">
            <v>VICERRECTORÍA DE FORMACIÓN</v>
          </cell>
          <cell r="S1141" t="str">
            <v>UNIDAD DE FORMACIÓN CONTINUA</v>
          </cell>
        </row>
        <row r="1142">
          <cell r="A1142">
            <v>17246495</v>
          </cell>
          <cell r="B1142" t="str">
            <v>17246495</v>
          </cell>
          <cell r="C1142" t="str">
            <v>5</v>
          </cell>
          <cell r="D1142" t="str">
            <v>ROJAS ESCOBAR GUILLERMO ISAIAS</v>
          </cell>
          <cell r="E1142" t="str">
            <v>VGE400005</v>
          </cell>
          <cell r="F1142">
            <v>44</v>
          </cell>
          <cell r="G1142">
            <v>30</v>
          </cell>
          <cell r="H1142" t="str">
            <v>GUILLERMO.ROJAS@UTALCA.CL</v>
          </cell>
          <cell r="I1142">
            <v>44888</v>
          </cell>
          <cell r="J1142">
            <v>46387</v>
          </cell>
          <cell r="K1142" t="str">
            <v>CONTRATA</v>
          </cell>
          <cell r="L1142" t="str">
            <v>PROFESIONAL</v>
          </cell>
          <cell r="M1142" t="str">
            <v>PROFESIONAL</v>
          </cell>
          <cell r="N1142" t="str">
            <v>GRADO I.17</v>
          </cell>
          <cell r="O1142" t="str">
            <v>TÍTULO PROFESIONAL</v>
          </cell>
          <cell r="P1142" t="str">
            <v>INGENIERO DE EJECUCIÓN EN ADMINISTRACIÓN</v>
          </cell>
          <cell r="Q1142" t="str">
            <v>TALCA</v>
          </cell>
          <cell r="R1142" t="str">
            <v>VIC. GESTIÓN ECONÓMICA Y ADMINISTRACIÓN</v>
          </cell>
          <cell r="S1142" t="str">
            <v>DEPARTAMENTO DE GESTIÓN DE COMPRAS</v>
          </cell>
        </row>
        <row r="1143">
          <cell r="A1143">
            <v>17259127</v>
          </cell>
          <cell r="B1143" t="str">
            <v>17259127</v>
          </cell>
          <cell r="C1143" t="str">
            <v>2</v>
          </cell>
          <cell r="D1143" t="str">
            <v>MELENDEZ BECERRA KASANDRA YUDY</v>
          </cell>
          <cell r="E1143" t="str">
            <v/>
          </cell>
          <cell r="F1143">
            <v>22</v>
          </cell>
          <cell r="G1143">
            <v>30</v>
          </cell>
          <cell r="H1143" t="str">
            <v>KASANDRA.MELENDEZ@UTALCA.CL</v>
          </cell>
          <cell r="I1143">
            <v>45092</v>
          </cell>
          <cell r="J1143">
            <v>46387</v>
          </cell>
          <cell r="K1143" t="str">
            <v>CONTRATA</v>
          </cell>
          <cell r="L1143" t="str">
            <v>PROFESIONAL</v>
          </cell>
          <cell r="M1143" t="str">
            <v>PROFESIONAL</v>
          </cell>
          <cell r="N1143" t="str">
            <v>GRADO I.17</v>
          </cell>
          <cell r="O1143" t="str">
            <v>TÍTULO PROFESIONAL</v>
          </cell>
          <cell r="P1143" t="str">
            <v>CIRUJANO DENTISTA</v>
          </cell>
          <cell r="Q1143" t="str">
            <v>TALCA</v>
          </cell>
          <cell r="R1143" t="str">
            <v>FACULTAD DE ODONTOLOGÍA</v>
          </cell>
          <cell r="S1143" t="str">
            <v>CLÍNICAS ODONTOLÓGICAS</v>
          </cell>
        </row>
        <row r="1144">
          <cell r="A1144">
            <v>17267021</v>
          </cell>
          <cell r="B1144" t="str">
            <v>17267021</v>
          </cell>
          <cell r="C1144" t="str">
            <v>0</v>
          </cell>
          <cell r="D1144" t="str">
            <v>IBAÑEZ PEÑA MIGUEL ANTONIO</v>
          </cell>
          <cell r="E1144" t="str">
            <v>ADC021005</v>
          </cell>
          <cell r="F1144">
            <v>44</v>
          </cell>
          <cell r="G1144">
            <v>30</v>
          </cell>
          <cell r="H1144" t="str">
            <v>MIGUELIBANEZ@UTALCA.CL</v>
          </cell>
          <cell r="I1144">
            <v>44197</v>
          </cell>
          <cell r="J1144">
            <v>46387</v>
          </cell>
          <cell r="K1144" t="str">
            <v>CONTRATA</v>
          </cell>
          <cell r="L1144" t="str">
            <v>TÉCNICO</v>
          </cell>
          <cell r="M1144" t="str">
            <v>TÉCNICO</v>
          </cell>
          <cell r="N1144" t="str">
            <v>GRADO I.21</v>
          </cell>
          <cell r="O1144" t="str">
            <v>TÍTULO PROFESIONAL</v>
          </cell>
          <cell r="P1144" t="str">
            <v>COMUNICADOR AUDIOVISUAL</v>
          </cell>
          <cell r="Q1144" t="str">
            <v>TALCA</v>
          </cell>
          <cell r="R1144" t="str">
            <v>DIRECCIÓN DE COMUNICACIONES CORPORATIVAS</v>
          </cell>
          <cell r="S1144" t="str">
            <v>DPTO. DE COMUNICACIÓN EXTERNA Y MEDIOS</v>
          </cell>
        </row>
        <row r="1145">
          <cell r="A1145">
            <v>17305990</v>
          </cell>
          <cell r="B1145" t="str">
            <v>17305990</v>
          </cell>
          <cell r="C1145" t="str">
            <v>6</v>
          </cell>
          <cell r="D1145" t="str">
            <v>QUIÑONES SAN MARTIN MATIAS JOS</v>
          </cell>
          <cell r="E1145" t="str">
            <v>FCS200001</v>
          </cell>
          <cell r="F1145">
            <v>11</v>
          </cell>
          <cell r="G1145">
            <v>30</v>
          </cell>
          <cell r="H1145" t="str">
            <v>MQUINONES@UTALCA.CL</v>
          </cell>
          <cell r="I1145">
            <v>45474</v>
          </cell>
          <cell r="J1145">
            <v>46387</v>
          </cell>
          <cell r="K1145" t="str">
            <v>CONTRATA</v>
          </cell>
          <cell r="L1145" t="str">
            <v>C ESPECIALES</v>
          </cell>
          <cell r="M1145" t="str">
            <v>TUTOR(A) PRÁCTICA</v>
          </cell>
          <cell r="N1145" t="str">
            <v>SIN GRADO</v>
          </cell>
          <cell r="O1145" t="str">
            <v>TÍTULO PROFESIONAL</v>
          </cell>
          <cell r="P1145" t="str">
            <v>BIOLOGO</v>
          </cell>
          <cell r="Q1145" t="str">
            <v>TALCA</v>
          </cell>
          <cell r="R1145" t="str">
            <v>FACULTAD DE CIENCIAS DE LA SALUD</v>
          </cell>
          <cell r="S1145" t="str">
            <v>FACULTAD DE CIENCIAS DE LA SALUD</v>
          </cell>
        </row>
        <row r="1146">
          <cell r="A1146">
            <v>17321878</v>
          </cell>
          <cell r="B1146" t="str">
            <v>17321878</v>
          </cell>
          <cell r="C1146" t="str">
            <v>8</v>
          </cell>
          <cell r="D1146" t="str">
            <v>BUSTOS MUÑOZ JOSE IGNACIO</v>
          </cell>
          <cell r="E1146" t="str">
            <v>FCS200001</v>
          </cell>
          <cell r="F1146">
            <v>33</v>
          </cell>
          <cell r="G1146">
            <v>30</v>
          </cell>
          <cell r="H1146" t="str">
            <v>JOBUSTOS@UTALCA.CL</v>
          </cell>
          <cell r="I1146">
            <v>44927</v>
          </cell>
          <cell r="J1146">
            <v>46387</v>
          </cell>
          <cell r="K1146" t="str">
            <v>CONTRATA</v>
          </cell>
          <cell r="L1146" t="str">
            <v>C ESPECIALES</v>
          </cell>
          <cell r="M1146" t="str">
            <v>TUTOR(A) PRÁCTICA</v>
          </cell>
          <cell r="N1146" t="str">
            <v>SIN GRADO</v>
          </cell>
          <cell r="O1146" t="str">
            <v>MAGISTER</v>
          </cell>
          <cell r="P1146" t="str">
            <v>MAGISTER EN SALUD PUBLICA MENCION EPIDEMIOLOG</v>
          </cell>
          <cell r="Q1146" t="str">
            <v>TALCA</v>
          </cell>
          <cell r="R1146" t="str">
            <v>FACULTAD DE CIENCIAS DE LA SALUD</v>
          </cell>
          <cell r="S1146" t="str">
            <v>FACULTAD DE CIENCIAS DE LA SALUD</v>
          </cell>
        </row>
        <row r="1147">
          <cell r="A1147">
            <v>17322755</v>
          </cell>
          <cell r="B1147" t="str">
            <v>17322755</v>
          </cell>
          <cell r="C1147" t="str">
            <v>8</v>
          </cell>
          <cell r="D1147" t="str">
            <v>ROJAS OPAZO LILIAN FERNANDA</v>
          </cell>
          <cell r="E1147" t="str">
            <v>VRF400043</v>
          </cell>
          <cell r="F1147">
            <v>44</v>
          </cell>
          <cell r="G1147">
            <v>30</v>
          </cell>
          <cell r="H1147" t="str">
            <v>LILROJAS@UTALCA.CL</v>
          </cell>
          <cell r="I1147">
            <v>42522</v>
          </cell>
          <cell r="J1147">
            <v>2958465</v>
          </cell>
          <cell r="K1147" t="str">
            <v>PLANTA</v>
          </cell>
          <cell r="L1147" t="str">
            <v>ADMINISTRATIVO</v>
          </cell>
          <cell r="M1147" t="str">
            <v>ADMINISTRATIVO</v>
          </cell>
          <cell r="N1147" t="str">
            <v>GRADO I.20</v>
          </cell>
          <cell r="O1147" t="str">
            <v>TÉC. NIVEL MEDIO</v>
          </cell>
          <cell r="P1147" t="str">
            <v>TÉCNICO DE NIVEL MEDIO EN ADMINISTRACIÓN</v>
          </cell>
          <cell r="Q1147" t="str">
            <v>TALCA</v>
          </cell>
          <cell r="R1147" t="str">
            <v>VICERRECTORÍA DE FORMACIÓN</v>
          </cell>
          <cell r="S1147" t="str">
            <v>DPTO. DE GESTIÓN DE INFORM. ESTUDIANTIL</v>
          </cell>
        </row>
        <row r="1148">
          <cell r="A1148">
            <v>17322887</v>
          </cell>
          <cell r="B1148" t="str">
            <v>17322887</v>
          </cell>
          <cell r="C1148" t="str">
            <v>2</v>
          </cell>
          <cell r="D1148" t="str">
            <v>GUTIERREZ SOLORZA ALVARO IGNAC</v>
          </cell>
          <cell r="E1148" t="str">
            <v>VGE400009</v>
          </cell>
          <cell r="F1148">
            <v>44</v>
          </cell>
          <cell r="G1148">
            <v>30</v>
          </cell>
          <cell r="H1148" t="str">
            <v>ALVARO.GUTIERREZ@UTALCA.CL</v>
          </cell>
          <cell r="I1148">
            <v>44941</v>
          </cell>
          <cell r="J1148">
            <v>46387</v>
          </cell>
          <cell r="K1148" t="str">
            <v>CONTRATA</v>
          </cell>
          <cell r="L1148" t="str">
            <v>TÉCNICO</v>
          </cell>
          <cell r="M1148" t="str">
            <v>TÉCNICO</v>
          </cell>
          <cell r="N1148" t="str">
            <v>GRADO I.21</v>
          </cell>
          <cell r="O1148" t="str">
            <v>TÉC. NIVEL SUPERIOR</v>
          </cell>
          <cell r="P1148" t="str">
            <v>TECNICO DE NIVEL SUPERIOR EN ADMINISTRACION D</v>
          </cell>
          <cell r="Q1148" t="str">
            <v>TALCA</v>
          </cell>
          <cell r="R1148" t="str">
            <v>VIC. GESTIÓN ECONÓMICA Y ADMINISTRACIÓN</v>
          </cell>
          <cell r="S1148" t="str">
            <v>DRCCIÓN. TECNOLOGÍAS DE LA INFORMACIÓN</v>
          </cell>
        </row>
        <row r="1149">
          <cell r="A1149">
            <v>17347787</v>
          </cell>
          <cell r="B1149" t="str">
            <v>17347787</v>
          </cell>
          <cell r="C1149" t="str">
            <v>2</v>
          </cell>
          <cell r="D1149" t="str">
            <v>ZAPATA FUENTE-ALBA KARLA VALER</v>
          </cell>
          <cell r="E1149" t="str">
            <v>FOD200001</v>
          </cell>
          <cell r="F1149">
            <v>22</v>
          </cell>
          <cell r="G1149">
            <v>30</v>
          </cell>
          <cell r="H1149" t="str">
            <v>AZAPATA@UTALCA.CL</v>
          </cell>
          <cell r="I1149">
            <v>44713</v>
          </cell>
          <cell r="J1149">
            <v>46387</v>
          </cell>
          <cell r="K1149" t="str">
            <v>CONTRATA</v>
          </cell>
          <cell r="L1149" t="str">
            <v>C ESPECIALES</v>
          </cell>
          <cell r="M1149" t="str">
            <v>TUTOR(A) PRÁCTICA</v>
          </cell>
          <cell r="N1149" t="str">
            <v>SIN GRADO</v>
          </cell>
          <cell r="O1149" t="str">
            <v>ESPECIAL. ODONTOLÓG.</v>
          </cell>
          <cell r="P1149" t="str">
            <v>ESPECIALISTA EN IMAGENOLOGÍA ORAL Y MAXILOFAC</v>
          </cell>
          <cell r="Q1149" t="str">
            <v>TALCA</v>
          </cell>
          <cell r="R1149" t="str">
            <v>FACULTAD DE ODONTOLOGÍA</v>
          </cell>
          <cell r="S1149" t="str">
            <v>FACULTAD DE ODONTOLOGÍA</v>
          </cell>
        </row>
        <row r="1150">
          <cell r="A1150">
            <v>17349909</v>
          </cell>
          <cell r="B1150" t="str">
            <v>17349909</v>
          </cell>
          <cell r="C1150" t="str">
            <v>4</v>
          </cell>
          <cell r="D1150" t="str">
            <v>LABRÍN MÉNDEZ MACARENA ALEJAND</v>
          </cell>
          <cell r="E1150" t="str">
            <v>FCS340010</v>
          </cell>
          <cell r="F1150">
            <v>33</v>
          </cell>
          <cell r="G1150">
            <v>30</v>
          </cell>
          <cell r="H1150" t="str">
            <v>MACARENA.LABRIN@UTALCA.CL</v>
          </cell>
          <cell r="I1150">
            <v>45505</v>
          </cell>
          <cell r="J1150">
            <v>46387</v>
          </cell>
          <cell r="K1150" t="str">
            <v>CONTRATA</v>
          </cell>
          <cell r="L1150" t="str">
            <v>PROFESIONAL</v>
          </cell>
          <cell r="M1150" t="str">
            <v>PROFESIONAL</v>
          </cell>
          <cell r="N1150" t="str">
            <v>GRADO I.17</v>
          </cell>
          <cell r="O1150" t="str">
            <v>TÍTULO PROFESIONAL</v>
          </cell>
          <cell r="P1150" t="str">
            <v>FONOAUDIÓLOGA</v>
          </cell>
          <cell r="Q1150" t="str">
            <v>TALCA</v>
          </cell>
          <cell r="R1150" t="str">
            <v>FACULTAD DE CIENCIAS DE LA SALUD</v>
          </cell>
          <cell r="S1150" t="str">
            <v>CLÍNICAS DE FONOAUDIOLOGÍA</v>
          </cell>
        </row>
        <row r="1151">
          <cell r="A1151">
            <v>17350135</v>
          </cell>
          <cell r="B1151" t="str">
            <v>17350135</v>
          </cell>
          <cell r="C1151" t="str">
            <v>8</v>
          </cell>
          <cell r="D1151" t="str">
            <v>FUENTES LAGOS FERNANDA STEPHAN</v>
          </cell>
          <cell r="E1151" t="str">
            <v>IMF300001</v>
          </cell>
          <cell r="F1151">
            <v>44</v>
          </cell>
          <cell r="G1151">
            <v>30</v>
          </cell>
          <cell r="H1151" t="str">
            <v>FEFUENTES@UTALCA.CL</v>
          </cell>
          <cell r="I1151">
            <v>43466</v>
          </cell>
          <cell r="J1151">
            <v>46446</v>
          </cell>
          <cell r="K1151" t="str">
            <v>CONTRATA</v>
          </cell>
          <cell r="L1151" t="str">
            <v>CA DOCENTE</v>
          </cell>
          <cell r="M1151" t="str">
            <v>PROFESOR ASISTENTE</v>
          </cell>
          <cell r="N1151" t="str">
            <v>GRADO C</v>
          </cell>
          <cell r="O1151" t="str">
            <v>DOCTORADO</v>
          </cell>
          <cell r="P1151" t="str">
            <v>DOCTOR EN SISTEMAS DE INGENIERIA</v>
          </cell>
          <cell r="Q1151" t="str">
            <v>TALCA</v>
          </cell>
          <cell r="R1151" t="str">
            <v>INSTITUTO DE MATEMÁTICAS</v>
          </cell>
          <cell r="S1151" t="str">
            <v>INSTITUTO DE MATEMÁTICAS</v>
          </cell>
        </row>
        <row r="1152">
          <cell r="A1152">
            <v>17361383</v>
          </cell>
          <cell r="B1152" t="str">
            <v>17361383</v>
          </cell>
          <cell r="C1152" t="str">
            <v>0</v>
          </cell>
          <cell r="D1152" t="str">
            <v>RODRIGUEZ SAAVEDRA FELIPE ALEX</v>
          </cell>
          <cell r="E1152" t="str">
            <v>VGE400050</v>
          </cell>
          <cell r="F1152">
            <v>44</v>
          </cell>
          <cell r="G1152">
            <v>30</v>
          </cell>
          <cell r="H1152" t="str">
            <v>FELIPE.RODRIGUEZS@UTALCA.CL</v>
          </cell>
          <cell r="I1152">
            <v>45505</v>
          </cell>
          <cell r="J1152">
            <v>46387</v>
          </cell>
          <cell r="K1152" t="str">
            <v>CONTRATA</v>
          </cell>
          <cell r="L1152" t="str">
            <v>PROFESIONAL</v>
          </cell>
          <cell r="M1152" t="str">
            <v>PROFESIONAL</v>
          </cell>
          <cell r="N1152" t="str">
            <v>GRADO I.17</v>
          </cell>
          <cell r="O1152" t="str">
            <v>TÍTULO PROFESIONAL</v>
          </cell>
          <cell r="P1152" t="str">
            <v>INGENIERO COMERCIAL</v>
          </cell>
          <cell r="Q1152" t="str">
            <v>TALCA</v>
          </cell>
          <cell r="R1152" t="str">
            <v>VIC. GESTIÓN ECONÓMICA Y ADMINISTRACIÓN</v>
          </cell>
          <cell r="S1152" t="str">
            <v>DEPARTAMENTO DE ADMINISTRACIÓN DE CAMPUS</v>
          </cell>
        </row>
        <row r="1153">
          <cell r="A1153">
            <v>17365582</v>
          </cell>
          <cell r="B1153" t="str">
            <v>17365582</v>
          </cell>
          <cell r="C1153" t="str">
            <v>7</v>
          </cell>
          <cell r="D1153" t="str">
            <v>PACHECO RAMIREZ SOFIA MARIA CO</v>
          </cell>
          <cell r="E1153" t="str">
            <v>ADC015001</v>
          </cell>
          <cell r="F1153">
            <v>44</v>
          </cell>
          <cell r="G1153">
            <v>30</v>
          </cell>
          <cell r="H1153" t="str">
            <v>SPACHECO@UTALCA.CL</v>
          </cell>
          <cell r="I1153">
            <v>43101</v>
          </cell>
          <cell r="J1153">
            <v>46387</v>
          </cell>
          <cell r="K1153" t="str">
            <v>CONTRATA</v>
          </cell>
          <cell r="L1153" t="str">
            <v>ADMINISTRATIVO</v>
          </cell>
          <cell r="M1153" t="str">
            <v>ADMINISTRATIVO</v>
          </cell>
          <cell r="N1153" t="str">
            <v>GRADO I.21</v>
          </cell>
          <cell r="O1153" t="str">
            <v>ESCOLARIDAD CIENT HU</v>
          </cell>
          <cell r="P1153" t="str">
            <v>LICENCIA ENSEÑANZA MEDIA</v>
          </cell>
          <cell r="Q1153" t="str">
            <v>TALCA</v>
          </cell>
          <cell r="R1153" t="str">
            <v>DIRECCIÓN DE ASUNTOS JURÍDICOS</v>
          </cell>
          <cell r="S1153" t="str">
            <v>DIRECCIÓN DE ASUNTOS JURÍDICOS</v>
          </cell>
        </row>
        <row r="1154">
          <cell r="A1154">
            <v>17395300</v>
          </cell>
          <cell r="B1154" t="str">
            <v>17395300</v>
          </cell>
          <cell r="C1154" t="str">
            <v>3</v>
          </cell>
          <cell r="D1154" t="str">
            <v>PALMA OLATE JONATHAN MATIAS</v>
          </cell>
          <cell r="E1154" t="str">
            <v>FCI320007</v>
          </cell>
          <cell r="F1154">
            <v>44</v>
          </cell>
          <cell r="G1154">
            <v>30</v>
          </cell>
          <cell r="H1154" t="str">
            <v>JONATHAN.PALMA@UTALCA.CL</v>
          </cell>
          <cell r="I1154">
            <v>44256</v>
          </cell>
          <cell r="J1154">
            <v>46151</v>
          </cell>
          <cell r="K1154" t="str">
            <v>PLANTA</v>
          </cell>
          <cell r="L1154" t="str">
            <v>CA ORDINARIA</v>
          </cell>
          <cell r="M1154" t="str">
            <v>PROFESOR ASISTENTE</v>
          </cell>
          <cell r="N1154" t="str">
            <v>GRADO C</v>
          </cell>
          <cell r="O1154" t="str">
            <v>DOCTORADO</v>
          </cell>
          <cell r="P1154" t="str">
            <v>DOUTOR EM ENGENHARIA ELÉTRICA</v>
          </cell>
          <cell r="Q1154" t="str">
            <v>CURICO</v>
          </cell>
          <cell r="R1154" t="str">
            <v>FACULTAD DE INGENIERÍA</v>
          </cell>
          <cell r="S1154" t="str">
            <v>DEPARTAMENTO DE INGENIERÍA ELÉCTRICA</v>
          </cell>
        </row>
        <row r="1155">
          <cell r="A1155">
            <v>17399987</v>
          </cell>
          <cell r="B1155" t="str">
            <v>17399987</v>
          </cell>
          <cell r="C1155" t="str">
            <v>9</v>
          </cell>
          <cell r="D1155" t="str">
            <v>HENRIQUEZ TORO IVONNE ANDREA</v>
          </cell>
          <cell r="E1155" t="str">
            <v/>
          </cell>
          <cell r="F1155">
            <v>44</v>
          </cell>
          <cell r="G1155">
            <v>30</v>
          </cell>
          <cell r="H1155" t="str">
            <v>IVONNE.HENRIQUEZ@UTALCA.CL</v>
          </cell>
          <cell r="I1155">
            <v>44927</v>
          </cell>
          <cell r="J1155">
            <v>46387</v>
          </cell>
          <cell r="K1155" t="str">
            <v>CONTRATA</v>
          </cell>
          <cell r="L1155" t="str">
            <v>TÉCNICO</v>
          </cell>
          <cell r="M1155" t="str">
            <v>TÉCNICO</v>
          </cell>
          <cell r="N1155" t="str">
            <v>GRADO I.23</v>
          </cell>
          <cell r="O1155" t="str">
            <v>TÍTULO PROFESIONAL</v>
          </cell>
          <cell r="P1155" t="str">
            <v>INGENIERO DE EJECUCION EN ADMINISTRACION</v>
          </cell>
          <cell r="Q1155" t="str">
            <v>TALCA</v>
          </cell>
          <cell r="R1155" t="str">
            <v>FACULTAD DE ECONOMÍA Y NEGOCIOS</v>
          </cell>
          <cell r="S1155" t="str">
            <v>ESCUELA DE POSTGRADO FEN.</v>
          </cell>
        </row>
        <row r="1156">
          <cell r="A1156">
            <v>17404279</v>
          </cell>
          <cell r="B1156" t="str">
            <v>17404279</v>
          </cell>
          <cell r="C1156" t="str">
            <v>9</v>
          </cell>
          <cell r="D1156" t="str">
            <v>MARTINEZ ESCUDERO NATALIA VALE</v>
          </cell>
          <cell r="E1156" t="str">
            <v>FOD200001</v>
          </cell>
          <cell r="F1156">
            <v>22</v>
          </cell>
          <cell r="G1156">
            <v>30</v>
          </cell>
          <cell r="H1156" t="str">
            <v>NATALIA.MARTINEZ@UTALCA.CL</v>
          </cell>
          <cell r="I1156">
            <v>44713</v>
          </cell>
          <cell r="J1156">
            <v>46387</v>
          </cell>
          <cell r="K1156" t="str">
            <v>CONTRATA</v>
          </cell>
          <cell r="L1156" t="str">
            <v>C ESPECIALES</v>
          </cell>
          <cell r="M1156" t="str">
            <v>TUTOR(A) PRÁCTICA</v>
          </cell>
          <cell r="N1156" t="str">
            <v>SIN GRADO</v>
          </cell>
          <cell r="O1156" t="str">
            <v>ESPECIAL. ODONTOLÓG.</v>
          </cell>
          <cell r="P1156" t="str">
            <v>ESPECIALISTA EN ODONTOPEDIATRIA</v>
          </cell>
          <cell r="Q1156" t="str">
            <v>TALCA</v>
          </cell>
          <cell r="R1156" t="str">
            <v>FACULTAD DE ODONTOLOGÍA</v>
          </cell>
          <cell r="S1156" t="str">
            <v>FACULTAD DE ODONTOLOGÍA</v>
          </cell>
        </row>
        <row r="1157">
          <cell r="A1157">
            <v>17410221</v>
          </cell>
          <cell r="B1157" t="str">
            <v>17410221</v>
          </cell>
          <cell r="C1157" t="str">
            <v>K</v>
          </cell>
          <cell r="D1157" t="str">
            <v>TORRES TORRES EDGARD ALFREDO</v>
          </cell>
          <cell r="E1157" t="str">
            <v>FAD310001</v>
          </cell>
          <cell r="F1157">
            <v>44</v>
          </cell>
          <cell r="G1157">
            <v>30</v>
          </cell>
          <cell r="H1157" t="str">
            <v>ETORRES@UTALCA.CL</v>
          </cell>
          <cell r="I1157">
            <v>45383</v>
          </cell>
          <cell r="J1157">
            <v>46446</v>
          </cell>
          <cell r="K1157" t="str">
            <v>CONTRATA</v>
          </cell>
          <cell r="L1157" t="str">
            <v>CA DOCENTE</v>
          </cell>
          <cell r="M1157" t="str">
            <v>INSTRUCTOR</v>
          </cell>
          <cell r="N1157" t="str">
            <v>GRADO D</v>
          </cell>
          <cell r="O1157" t="str">
            <v>MAGISTER</v>
          </cell>
          <cell r="P1157" t="str">
            <v>MAGISTER EN GEOGRAFIA</v>
          </cell>
          <cell r="Q1157" t="str">
            <v>TALCA</v>
          </cell>
          <cell r="R1157" t="str">
            <v>FACULTAD DE ARQUITECTUR, MÚSICA Y DISEÑO</v>
          </cell>
          <cell r="S1157" t="str">
            <v>ESCUELA DE ARQUITECTURA</v>
          </cell>
        </row>
        <row r="1158">
          <cell r="A1158">
            <v>17418463</v>
          </cell>
          <cell r="B1158" t="str">
            <v>17418463</v>
          </cell>
          <cell r="C1158" t="str">
            <v>1</v>
          </cell>
          <cell r="D1158" t="str">
            <v>GUTIERREZ MORALES ESTEBAN ELIA</v>
          </cell>
          <cell r="E1158" t="str">
            <v>VGE400056</v>
          </cell>
          <cell r="F1158">
            <v>44</v>
          </cell>
          <cell r="G1158">
            <v>30</v>
          </cell>
          <cell r="H1158" t="str">
            <v>ESTEBAN.GUTIERREZ@UTALCA.CL</v>
          </cell>
          <cell r="I1158">
            <v>44197</v>
          </cell>
          <cell r="J1158">
            <v>46387</v>
          </cell>
          <cell r="K1158" t="str">
            <v>CONTRATA</v>
          </cell>
          <cell r="L1158" t="str">
            <v>PROFESIONAL</v>
          </cell>
          <cell r="M1158" t="str">
            <v>PROFESIONAL</v>
          </cell>
          <cell r="N1158" t="str">
            <v>GRADO I.17</v>
          </cell>
          <cell r="O1158" t="str">
            <v>TÍTULO PROFESIONAL</v>
          </cell>
          <cell r="P1158" t="str">
            <v>INGENIERO CIVIL EN COMPUTACIÓN MENCIÓN INFORM</v>
          </cell>
          <cell r="Q1158" t="str">
            <v>TALCA</v>
          </cell>
          <cell r="R1158" t="str">
            <v>VIC. GESTIÓN ECONÓMICA Y ADMINISTRACIÓN</v>
          </cell>
          <cell r="S1158" t="str">
            <v>DEPARTAMENTO DE SISTEMAS</v>
          </cell>
        </row>
        <row r="1159">
          <cell r="A1159">
            <v>17431022</v>
          </cell>
          <cell r="B1159" t="str">
            <v>17431022</v>
          </cell>
          <cell r="C1159" t="str">
            <v>K</v>
          </cell>
          <cell r="D1159" t="str">
            <v>DURÁN MONTERO FRANCISCA ANDREA</v>
          </cell>
          <cell r="E1159" t="str">
            <v>FOD350001</v>
          </cell>
          <cell r="F1159">
            <v>11</v>
          </cell>
          <cell r="G1159">
            <v>30</v>
          </cell>
          <cell r="H1159" t="str">
            <v>FRANCISCA.DURAN@UTALCA.CL</v>
          </cell>
          <cell r="I1159">
            <v>45231</v>
          </cell>
          <cell r="J1159">
            <v>46387</v>
          </cell>
          <cell r="K1159" t="str">
            <v>CONTRATA</v>
          </cell>
          <cell r="L1159" t="str">
            <v>PROFESIONAL</v>
          </cell>
          <cell r="M1159" t="str">
            <v>PROFESIONAL</v>
          </cell>
          <cell r="N1159" t="str">
            <v>GRADO I.17</v>
          </cell>
          <cell r="O1159" t="str">
            <v>ESPECIAL. ODONTOLÓG.</v>
          </cell>
          <cell r="P1159" t="str">
            <v>CIRUJANO DENTISTA - ESPECIALISTA EN IMAGENOLO</v>
          </cell>
          <cell r="Q1159" t="str">
            <v>TALCA</v>
          </cell>
          <cell r="R1159" t="str">
            <v>FACULTAD DE ODONTOLOGÍA</v>
          </cell>
          <cell r="S1159" t="str">
            <v>CLÍNICAS ODONTOLÓGICAS</v>
          </cell>
        </row>
        <row r="1160">
          <cell r="A1160">
            <v>17433432</v>
          </cell>
          <cell r="B1160" t="str">
            <v>17433432</v>
          </cell>
          <cell r="C1160" t="str">
            <v>3</v>
          </cell>
          <cell r="D1160" t="str">
            <v>SARRIAS JERALDO MAURICIO ALEJA</v>
          </cell>
          <cell r="E1160" t="str">
            <v>FEN310001</v>
          </cell>
          <cell r="F1160">
            <v>44</v>
          </cell>
          <cell r="G1160">
            <v>30</v>
          </cell>
          <cell r="H1160" t="str">
            <v>MAURICIO.SARRIAS@UTALCA.CL</v>
          </cell>
          <cell r="I1160">
            <v>44075</v>
          </cell>
          <cell r="J1160">
            <v>2958465</v>
          </cell>
          <cell r="K1160" t="str">
            <v>PLANTA</v>
          </cell>
          <cell r="L1160" t="str">
            <v>CA ORDINARIA</v>
          </cell>
          <cell r="M1160" t="str">
            <v>PROFESOR ASOCIADO</v>
          </cell>
          <cell r="N1160" t="str">
            <v>GRADO B</v>
          </cell>
          <cell r="O1160" t="str">
            <v>DOCTORADO</v>
          </cell>
          <cell r="P1160" t="str">
            <v>DOCTOR OF PHILOSOPHY</v>
          </cell>
          <cell r="Q1160" t="str">
            <v>TALCA</v>
          </cell>
          <cell r="R1160" t="str">
            <v>FACULTAD DE ECONOMÍA Y NEGOCIOS</v>
          </cell>
          <cell r="S1160" t="str">
            <v>ESCUELA DE INGENIERÍA COMERCIAL DE TALCA</v>
          </cell>
        </row>
        <row r="1161">
          <cell r="A1161">
            <v>17441802</v>
          </cell>
          <cell r="B1161" t="str">
            <v>17441802</v>
          </cell>
          <cell r="C1161" t="str">
            <v>0</v>
          </cell>
          <cell r="D1161" t="str">
            <v>RAMOS VEGA VICTOR HUGO</v>
          </cell>
          <cell r="E1161" t="str">
            <v>FCS320007</v>
          </cell>
          <cell r="F1161">
            <v>44</v>
          </cell>
          <cell r="G1161">
            <v>30</v>
          </cell>
          <cell r="H1161" t="str">
            <v>VRAMOS@UTALCA.CL</v>
          </cell>
          <cell r="I1161">
            <v>43891</v>
          </cell>
          <cell r="J1161">
            <v>46446</v>
          </cell>
          <cell r="K1161" t="str">
            <v>CONTRATA</v>
          </cell>
          <cell r="L1161" t="str">
            <v>CA DOCENTE</v>
          </cell>
          <cell r="M1161" t="str">
            <v>INSTRUCTOR</v>
          </cell>
          <cell r="N1161" t="str">
            <v>GRADO D</v>
          </cell>
          <cell r="O1161" t="str">
            <v>MAGISTER</v>
          </cell>
          <cell r="P1161" t="str">
            <v>MAGISTER EN CIENCIAS BIOMEDICAS MENCIÓN: PATO</v>
          </cell>
          <cell r="Q1161" t="str">
            <v>TALCA</v>
          </cell>
          <cell r="R1161" t="str">
            <v>FACULTAD DE CIENCIAS DE LA SALUD</v>
          </cell>
          <cell r="S1161" t="str">
            <v>DPTO. DE CIENCIAS BÁSICAS BIOMÉDICAS</v>
          </cell>
        </row>
        <row r="1162">
          <cell r="A1162">
            <v>17443485</v>
          </cell>
          <cell r="B1162" t="str">
            <v>17443485</v>
          </cell>
          <cell r="C1162" t="str">
            <v>9</v>
          </cell>
          <cell r="D1162" t="str">
            <v>DIAZ RIQUELME JOSE OMAR</v>
          </cell>
          <cell r="E1162" t="str">
            <v>VRF100001</v>
          </cell>
          <cell r="F1162">
            <v>44</v>
          </cell>
          <cell r="G1162">
            <v>30</v>
          </cell>
          <cell r="H1162" t="str">
            <v>JDIAZ@UTALCA.CL</v>
          </cell>
          <cell r="I1162">
            <v>44986</v>
          </cell>
          <cell r="J1162">
            <v>46387</v>
          </cell>
          <cell r="K1162" t="str">
            <v>CONTRATA</v>
          </cell>
          <cell r="L1162" t="str">
            <v>C ESPECIALES</v>
          </cell>
          <cell r="M1162" t="str">
            <v>TUTOR(A) PRÁCTICA</v>
          </cell>
          <cell r="N1162" t="str">
            <v>SIN GRADO</v>
          </cell>
          <cell r="O1162" t="str">
            <v>MAGISTER</v>
          </cell>
          <cell r="P1162" t="str">
            <v>MAGISTER EN CIENCIAS DE LA ACTIVIDAD FISICA</v>
          </cell>
          <cell r="Q1162" t="str">
            <v>TALCA</v>
          </cell>
          <cell r="R1162" t="str">
            <v>VICERRECTORÍA DE FORMACIÓN</v>
          </cell>
          <cell r="S1162" t="str">
            <v>VICERRECTORÍA DE FORMACIÓN</v>
          </cell>
        </row>
        <row r="1163">
          <cell r="A1163">
            <v>17448904</v>
          </cell>
          <cell r="B1163" t="str">
            <v>17448904</v>
          </cell>
          <cell r="C1163" t="str">
            <v>1</v>
          </cell>
          <cell r="D1163" t="str">
            <v>FUENTES PEÑAILILLO FERNANDO PA</v>
          </cell>
          <cell r="E1163" t="str">
            <v>VAC400024</v>
          </cell>
          <cell r="F1163">
            <v>44</v>
          </cell>
          <cell r="G1163">
            <v>30</v>
          </cell>
          <cell r="H1163" t="str">
            <v>FFUENTESP@UTALCA.CL</v>
          </cell>
          <cell r="I1163">
            <v>44725</v>
          </cell>
          <cell r="J1163">
            <v>46387</v>
          </cell>
          <cell r="K1163" t="str">
            <v>CONTRATA</v>
          </cell>
          <cell r="L1163" t="str">
            <v>INVESTIGADOR ASISTENTE</v>
          </cell>
          <cell r="M1163" t="str">
            <v>INVESTIGADOR</v>
          </cell>
          <cell r="N1163" t="str">
            <v>SIN GRADO</v>
          </cell>
          <cell r="O1163" t="str">
            <v>DOCTORADO</v>
          </cell>
          <cell r="P1163" t="str">
            <v>DOCTOR EN CIENCIAS AGRARIAS</v>
          </cell>
          <cell r="Q1163" t="str">
            <v>TALCA</v>
          </cell>
          <cell r="R1163" t="str">
            <v>VICERRECTORÍA ACADÉMICA</v>
          </cell>
          <cell r="S1163" t="str">
            <v>VICERRECTORÍA ACADÉMICA</v>
          </cell>
        </row>
        <row r="1164">
          <cell r="A1164">
            <v>17449275</v>
          </cell>
          <cell r="B1164" t="str">
            <v>17449275</v>
          </cell>
          <cell r="C1164" t="str">
            <v>1</v>
          </cell>
          <cell r="D1164" t="str">
            <v>ZUÑIGA JAQUE EVA ROCIO</v>
          </cell>
          <cell r="E1164" t="str">
            <v>VGE400003</v>
          </cell>
          <cell r="F1164">
            <v>44</v>
          </cell>
          <cell r="G1164">
            <v>30</v>
          </cell>
          <cell r="H1164" t="str">
            <v>EVA.ZUNIGA@UTALCA.CL</v>
          </cell>
          <cell r="I1164">
            <v>43466</v>
          </cell>
          <cell r="J1164">
            <v>46387</v>
          </cell>
          <cell r="K1164" t="str">
            <v>CONTRATA</v>
          </cell>
          <cell r="L1164" t="str">
            <v>PROFESIONAL</v>
          </cell>
          <cell r="M1164" t="str">
            <v>PROFESIONAL</v>
          </cell>
          <cell r="N1164" t="str">
            <v>GRADO I.17</v>
          </cell>
          <cell r="O1164" t="str">
            <v>TÍTULO PROFESIONAL</v>
          </cell>
          <cell r="P1164" t="str">
            <v>INGENIERO EN ADMINISTRACIÓN DE EMPRESAS MENCI</v>
          </cell>
          <cell r="Q1164" t="str">
            <v>TALCA</v>
          </cell>
          <cell r="R1164" t="str">
            <v>VIC. GESTIÓN ECONÓMICA Y ADMINISTRACIÓN</v>
          </cell>
          <cell r="S1164" t="str">
            <v>UNIDAD DE REMUNERACIONES</v>
          </cell>
        </row>
        <row r="1165">
          <cell r="A1165">
            <v>17449416</v>
          </cell>
          <cell r="B1165" t="str">
            <v>17449416</v>
          </cell>
          <cell r="C1165" t="str">
            <v>9</v>
          </cell>
          <cell r="D1165" t="str">
            <v>MUÑOZ MUÑOZ FREDDY ALEJANDRO</v>
          </cell>
          <cell r="E1165" t="str">
            <v>VRF100001</v>
          </cell>
          <cell r="F1165">
            <v>44</v>
          </cell>
          <cell r="G1165">
            <v>30</v>
          </cell>
          <cell r="H1165" t="str">
            <v>FRMUNOZ@UTALCA.CL</v>
          </cell>
          <cell r="I1165">
            <v>44986</v>
          </cell>
          <cell r="J1165">
            <v>46387</v>
          </cell>
          <cell r="K1165" t="str">
            <v>CONTRATA</v>
          </cell>
          <cell r="L1165" t="str">
            <v>C ESPECIALES</v>
          </cell>
          <cell r="M1165" t="str">
            <v>TUTOR(A) PRÁCTICA</v>
          </cell>
          <cell r="N1165" t="str">
            <v>SIN GRADO</v>
          </cell>
          <cell r="O1165" t="str">
            <v>MAGISTER</v>
          </cell>
          <cell r="P1165" t="str">
            <v>MAGISTER EN CIENCIAS DE LA ACTIVIDAD FÍSICA M</v>
          </cell>
          <cell r="Q1165" t="str">
            <v>TALCA</v>
          </cell>
          <cell r="R1165" t="str">
            <v>VICERRECTORÍA DE FORMACIÓN</v>
          </cell>
          <cell r="S1165" t="str">
            <v>VICERRECTORÍA DE FORMACIÓN</v>
          </cell>
        </row>
        <row r="1166">
          <cell r="A1166">
            <v>17470472</v>
          </cell>
          <cell r="B1166" t="str">
            <v>17470472</v>
          </cell>
          <cell r="C1166" t="str">
            <v>4</v>
          </cell>
          <cell r="D1166" t="str">
            <v>BRICEÑO OPAZO YESENIA ISABEL</v>
          </cell>
          <cell r="E1166" t="str">
            <v/>
          </cell>
          <cell r="F1166">
            <v>44</v>
          </cell>
          <cell r="G1166">
            <v>30</v>
          </cell>
          <cell r="H1166" t="str">
            <v>YBRICENO@UTALCA.CL</v>
          </cell>
          <cell r="I1166">
            <v>44927</v>
          </cell>
          <cell r="J1166">
            <v>46387</v>
          </cell>
          <cell r="K1166" t="str">
            <v>CONTRATA</v>
          </cell>
          <cell r="L1166" t="str">
            <v>PROFESIONAL</v>
          </cell>
          <cell r="M1166" t="str">
            <v>PROFESIONAL</v>
          </cell>
          <cell r="N1166" t="str">
            <v>GRADO I.17</v>
          </cell>
          <cell r="O1166" t="str">
            <v>TÍTULO PROFESIONAL</v>
          </cell>
          <cell r="P1166" t="str">
            <v>DISEÑADOR MENCION EN DISEÑO DE PRODUCTOS</v>
          </cell>
          <cell r="Q1166" t="str">
            <v>TALCA</v>
          </cell>
          <cell r="R1166" t="str">
            <v>VICERRECTORÍA DE FORMACIÓN</v>
          </cell>
          <cell r="S1166" t="str">
            <v>DIRECCIÓN DE CICLO DE VIDA ESTUDIANTIL</v>
          </cell>
        </row>
        <row r="1167">
          <cell r="A1167">
            <v>17485048</v>
          </cell>
          <cell r="B1167" t="str">
            <v>17485048</v>
          </cell>
          <cell r="C1167" t="str">
            <v>8</v>
          </cell>
          <cell r="D1167" t="str">
            <v>VELASQUEZ RUBILAR MELANIE PAUL</v>
          </cell>
          <cell r="E1167" t="str">
            <v>FAM200001</v>
          </cell>
          <cell r="F1167">
            <v>44</v>
          </cell>
          <cell r="G1167">
            <v>30</v>
          </cell>
          <cell r="H1167" t="str">
            <v>MVELASQUEZ@UTALCA.CL</v>
          </cell>
          <cell r="I1167">
            <v>43101</v>
          </cell>
          <cell r="J1167">
            <v>46387</v>
          </cell>
          <cell r="K1167" t="str">
            <v>CONTRATA</v>
          </cell>
          <cell r="L1167" t="str">
            <v>PROFESIONAL</v>
          </cell>
          <cell r="M1167" t="str">
            <v>PROFESIONAL</v>
          </cell>
          <cell r="N1167" t="str">
            <v>GRADO I.17</v>
          </cell>
          <cell r="O1167" t="str">
            <v>TÍTULO PROFESIONAL</v>
          </cell>
          <cell r="P1167" t="str">
            <v>ENFERMERA</v>
          </cell>
          <cell r="Q1167" t="str">
            <v>TALCA</v>
          </cell>
          <cell r="R1167" t="str">
            <v>FACULTAD DE MEDICINA</v>
          </cell>
          <cell r="S1167" t="str">
            <v>FACULTAD DE MEDICINA</v>
          </cell>
        </row>
        <row r="1168">
          <cell r="A1168">
            <v>17492243</v>
          </cell>
          <cell r="B1168" t="str">
            <v>17492243</v>
          </cell>
          <cell r="C1168" t="str">
            <v>8</v>
          </cell>
          <cell r="D1168" t="str">
            <v>VIEYRA LUNA EVELYN KIMBERLYN</v>
          </cell>
          <cell r="E1168" t="str">
            <v>FCJ320001</v>
          </cell>
          <cell r="F1168">
            <v>44</v>
          </cell>
          <cell r="G1168">
            <v>30</v>
          </cell>
          <cell r="H1168" t="str">
            <v>EVELYN.VIEYRA@UTALCA.CL</v>
          </cell>
          <cell r="I1168">
            <v>45509</v>
          </cell>
          <cell r="J1168">
            <v>46446</v>
          </cell>
          <cell r="K1168" t="str">
            <v>CONTRATA</v>
          </cell>
          <cell r="L1168" t="str">
            <v>CA DOCENTE</v>
          </cell>
          <cell r="M1168" t="str">
            <v>PROFESOR ASISTENTE</v>
          </cell>
          <cell r="N1168" t="str">
            <v>GRADO C</v>
          </cell>
          <cell r="O1168" t="str">
            <v>DOCTORADO</v>
          </cell>
          <cell r="P1168" t="str">
            <v>DOCTORA EN DERECHO</v>
          </cell>
          <cell r="Q1168" t="str">
            <v>TALCA</v>
          </cell>
          <cell r="R1168" t="str">
            <v>FACULTAD CIENCIAS JURÍDICAS Y SOCIALES</v>
          </cell>
          <cell r="S1168" t="str">
            <v>DPTO. DERECHO PENAL PROCESAL Y  TRABAJO</v>
          </cell>
        </row>
        <row r="1169">
          <cell r="A1169">
            <v>17493586</v>
          </cell>
          <cell r="B1169" t="str">
            <v>17493586</v>
          </cell>
          <cell r="C1169" t="str">
            <v>6</v>
          </cell>
          <cell r="D1169" t="str">
            <v>GUTIERREZ BAHAMONDES JIMMY HEN</v>
          </cell>
          <cell r="E1169" t="str">
            <v>FCI320003</v>
          </cell>
          <cell r="F1169">
            <v>44</v>
          </cell>
          <cell r="G1169">
            <v>30</v>
          </cell>
          <cell r="H1169" t="str">
            <v>JGUTIERREZB@UTALCA.CL</v>
          </cell>
          <cell r="I1169">
            <v>43160</v>
          </cell>
          <cell r="J1169">
            <v>46446</v>
          </cell>
          <cell r="K1169" t="str">
            <v>CONTRATA</v>
          </cell>
          <cell r="L1169" t="str">
            <v>CA DOCENTE</v>
          </cell>
          <cell r="M1169" t="str">
            <v>PROFESOR ASISTENTE</v>
          </cell>
          <cell r="N1169" t="str">
            <v>GRADO C</v>
          </cell>
          <cell r="O1169" t="str">
            <v>DOCTORADO</v>
          </cell>
          <cell r="P1169" t="str">
            <v>DOCTOR EN SISTEMAS DE INGENIERIA</v>
          </cell>
          <cell r="Q1169" t="str">
            <v>CURICO</v>
          </cell>
          <cell r="R1169" t="str">
            <v>FACULTAD DE INGENIERÍA</v>
          </cell>
          <cell r="S1169" t="str">
            <v>DPTO. DE CIENCIAS DE LA COMPUTACIÓN</v>
          </cell>
        </row>
        <row r="1170">
          <cell r="A1170">
            <v>17493965</v>
          </cell>
          <cell r="B1170" t="str">
            <v>17493965</v>
          </cell>
          <cell r="C1170" t="str">
            <v>9</v>
          </cell>
          <cell r="D1170" t="str">
            <v>AUGUSTO LÓPEZ ELIZABETH DEL CA</v>
          </cell>
          <cell r="E1170" t="str">
            <v>FCS320007</v>
          </cell>
          <cell r="F1170">
            <v>44</v>
          </cell>
          <cell r="G1170">
            <v>30</v>
          </cell>
          <cell r="H1170" t="str">
            <v/>
          </cell>
          <cell r="I1170">
            <v>45566</v>
          </cell>
          <cell r="J1170">
            <v>46387</v>
          </cell>
          <cell r="K1170" t="str">
            <v>CONTRATA</v>
          </cell>
          <cell r="L1170" t="str">
            <v>TÉCNICO</v>
          </cell>
          <cell r="M1170" t="str">
            <v>TÉCNICO</v>
          </cell>
          <cell r="N1170" t="str">
            <v>GRADO I.23</v>
          </cell>
          <cell r="O1170" t="str">
            <v>TÉC. NIVEL SUPERIOR</v>
          </cell>
          <cell r="P1170" t="str">
            <v>TÉCNICO DE NIVEL SUPERIOR EN ENFERMERIA CON M</v>
          </cell>
          <cell r="Q1170" t="str">
            <v>TALCA</v>
          </cell>
          <cell r="R1170" t="str">
            <v>FACULTAD DE CIENCIAS DE LA SALUD</v>
          </cell>
          <cell r="S1170" t="str">
            <v>DPTO. DE CIENCIAS BÁSICAS BIOMÉDICAS</v>
          </cell>
        </row>
        <row r="1171">
          <cell r="A1171">
            <v>17494015</v>
          </cell>
          <cell r="B1171" t="str">
            <v>17494015</v>
          </cell>
          <cell r="C1171" t="str">
            <v>0</v>
          </cell>
          <cell r="D1171" t="str">
            <v>CONTRERAS GAJARDO CARLOS ANDRE</v>
          </cell>
          <cell r="E1171" t="str">
            <v>VRF400042</v>
          </cell>
          <cell r="F1171">
            <v>44</v>
          </cell>
          <cell r="G1171">
            <v>30</v>
          </cell>
          <cell r="H1171" t="str">
            <v>CARLCONTRERAS@UTALCA.CL</v>
          </cell>
          <cell r="I1171">
            <v>44197</v>
          </cell>
          <cell r="J1171">
            <v>46387</v>
          </cell>
          <cell r="K1171" t="str">
            <v>CONTRATA</v>
          </cell>
          <cell r="L1171" t="str">
            <v>PROFESIONAL</v>
          </cell>
          <cell r="M1171" t="str">
            <v>PROFESIONAL</v>
          </cell>
          <cell r="N1171" t="str">
            <v>GRADO I.17</v>
          </cell>
          <cell r="O1171" t="str">
            <v>MAGISTER</v>
          </cell>
          <cell r="P1171" t="str">
            <v>MAGISTER EN ADMINISTRACION DE EMPRESAS EXECUT</v>
          </cell>
          <cell r="Q1171" t="str">
            <v>TALCA</v>
          </cell>
          <cell r="R1171" t="str">
            <v>VICERRECTORÍA DE FORMACIÓN</v>
          </cell>
          <cell r="S1171" t="str">
            <v>UNIDAD DE ADMISIÓN Y ACCESO</v>
          </cell>
        </row>
        <row r="1172">
          <cell r="A1172">
            <v>17494238</v>
          </cell>
          <cell r="B1172" t="str">
            <v>17494238</v>
          </cell>
          <cell r="C1172" t="str">
            <v>2</v>
          </cell>
          <cell r="D1172" t="str">
            <v>IBARRA FLORES CRISTIAN ALEJAND</v>
          </cell>
          <cell r="E1172" t="str">
            <v>FPS200001</v>
          </cell>
          <cell r="F1172">
            <v>44</v>
          </cell>
          <cell r="G1172">
            <v>30</v>
          </cell>
          <cell r="H1172" t="str">
            <v>CRIBARRA@UTALCA.CL</v>
          </cell>
          <cell r="I1172">
            <v>43313</v>
          </cell>
          <cell r="J1172">
            <v>46387</v>
          </cell>
          <cell r="K1172" t="str">
            <v>CONTRATA</v>
          </cell>
          <cell r="L1172" t="str">
            <v>PROFESIONAL</v>
          </cell>
          <cell r="M1172" t="str">
            <v>PROFESIONAL</v>
          </cell>
          <cell r="N1172" t="str">
            <v>GRADO I.17</v>
          </cell>
          <cell r="O1172" t="str">
            <v>MAGISTER</v>
          </cell>
          <cell r="P1172" t="str">
            <v>MAGÍSTER EN GESTIÓN DE PERSONAS EN ORGANIZACI</v>
          </cell>
          <cell r="Q1172" t="str">
            <v>TALCA</v>
          </cell>
          <cell r="R1172" t="str">
            <v>FACULTAD DE PSICOLOGÍA</v>
          </cell>
          <cell r="S1172" t="str">
            <v>FACULTAD DE PSICOLOGÍA</v>
          </cell>
        </row>
        <row r="1173">
          <cell r="A1173">
            <v>17494313</v>
          </cell>
          <cell r="B1173" t="str">
            <v>17494313</v>
          </cell>
          <cell r="C1173" t="str">
            <v>3</v>
          </cell>
          <cell r="D1173" t="str">
            <v>GONZALEZ ROJAS NICOL IGNACIA</v>
          </cell>
          <cell r="E1173" t="str">
            <v/>
          </cell>
          <cell r="F1173">
            <v>44</v>
          </cell>
          <cell r="G1173">
            <v>30</v>
          </cell>
          <cell r="H1173" t="str">
            <v>NICOL.GONZALEZ@UTALCA.CL</v>
          </cell>
          <cell r="I1173">
            <v>44927</v>
          </cell>
          <cell r="J1173">
            <v>46387</v>
          </cell>
          <cell r="K1173" t="str">
            <v>CONTRATA</v>
          </cell>
          <cell r="L1173" t="str">
            <v>ADMINISTRATIVO</v>
          </cell>
          <cell r="M1173" t="str">
            <v>ADMINISTRATIVO</v>
          </cell>
          <cell r="N1173" t="str">
            <v>GRADO I.21</v>
          </cell>
          <cell r="O1173" t="str">
            <v>ESCOLARIDAD CIENT HU</v>
          </cell>
          <cell r="P1173" t="str">
            <v>LICENCIA ENSEÑANZA MEDIA</v>
          </cell>
          <cell r="Q1173" t="str">
            <v>TALCA</v>
          </cell>
          <cell r="R1173" t="str">
            <v>FACULTAD DE ODONTOLOGÍA</v>
          </cell>
          <cell r="S1173" t="str">
            <v>CLÍNICAS ODONTOLÓGICAS</v>
          </cell>
        </row>
        <row r="1174">
          <cell r="A1174">
            <v>17494388</v>
          </cell>
          <cell r="B1174" t="str">
            <v>17494388</v>
          </cell>
          <cell r="C1174" t="str">
            <v>5</v>
          </cell>
          <cell r="D1174" t="str">
            <v>DIAZ MENDEZ GRETYE AMALIA</v>
          </cell>
          <cell r="E1174" t="str">
            <v>VGE400003</v>
          </cell>
          <cell r="F1174">
            <v>44</v>
          </cell>
          <cell r="G1174">
            <v>30</v>
          </cell>
          <cell r="H1174" t="str">
            <v>GRETYE.DIAZ@UTALCA.CL</v>
          </cell>
          <cell r="I1174">
            <v>44197</v>
          </cell>
          <cell r="J1174">
            <v>46387</v>
          </cell>
          <cell r="K1174" t="str">
            <v>CONTRATA</v>
          </cell>
          <cell r="L1174" t="str">
            <v>ADMINISTRATIVO</v>
          </cell>
          <cell r="M1174" t="str">
            <v>ADMINISTRATIVO</v>
          </cell>
          <cell r="N1174" t="str">
            <v>GRADO I.21</v>
          </cell>
          <cell r="O1174" t="str">
            <v>TÍTULO PROFESIONAL</v>
          </cell>
          <cell r="P1174" t="str">
            <v>INGENIERO EN ADMINISTRACION DE RECURSOS HUMAN</v>
          </cell>
          <cell r="Q1174" t="str">
            <v>TALCA</v>
          </cell>
          <cell r="R1174" t="str">
            <v>VIC. GESTIÓN ECONÓMICA Y ADMINISTRACIÓN</v>
          </cell>
          <cell r="S1174" t="str">
            <v>DEPARTAMENTO DE GESTIÓN DE PERSONAS</v>
          </cell>
        </row>
        <row r="1175">
          <cell r="A1175">
            <v>17495429</v>
          </cell>
          <cell r="B1175" t="str">
            <v>17495429</v>
          </cell>
          <cell r="C1175" t="str">
            <v>1</v>
          </cell>
          <cell r="D1175" t="str">
            <v>GUAJARDO RAMIREZ JOSELIN VERON</v>
          </cell>
          <cell r="E1175" t="str">
            <v>ICB300001</v>
          </cell>
          <cell r="F1175">
            <v>44</v>
          </cell>
          <cell r="G1175">
            <v>30</v>
          </cell>
          <cell r="H1175" t="str">
            <v>JOGUAJARDO@UTALCA.CL</v>
          </cell>
          <cell r="I1175">
            <v>43101</v>
          </cell>
          <cell r="J1175">
            <v>46387</v>
          </cell>
          <cell r="K1175" t="str">
            <v>CONTRATA</v>
          </cell>
          <cell r="L1175" t="str">
            <v>TÉCNICO</v>
          </cell>
          <cell r="M1175" t="str">
            <v>TÉCNICO</v>
          </cell>
          <cell r="N1175" t="str">
            <v>GRADO I.21</v>
          </cell>
          <cell r="O1175" t="str">
            <v>TÉC. NIVEL MEDIO</v>
          </cell>
          <cell r="P1175" t="str">
            <v>TÉCNICO DE NIVEL MEDIO LABORATORIO CLÍNICO</v>
          </cell>
          <cell r="Q1175" t="str">
            <v>TALCA</v>
          </cell>
          <cell r="R1175" t="str">
            <v>INSTITUTO DE CIENCIAS BIOLÓGICAS</v>
          </cell>
          <cell r="S1175" t="str">
            <v>INSTITUTO DE CIENCIAS BIOLÓGICAS</v>
          </cell>
        </row>
        <row r="1176">
          <cell r="A1176">
            <v>17495516</v>
          </cell>
          <cell r="B1176" t="str">
            <v>17495516</v>
          </cell>
          <cell r="C1176" t="str">
            <v>6</v>
          </cell>
          <cell r="D1176" t="str">
            <v>ROJAS HERNANDEZ GABRIEL ANDRES</v>
          </cell>
          <cell r="E1176" t="str">
            <v>FCS200001</v>
          </cell>
          <cell r="F1176">
            <v>33</v>
          </cell>
          <cell r="G1176">
            <v>30</v>
          </cell>
          <cell r="H1176" t="str">
            <v>GABRIEL.ROJAS@UTALCA.CL</v>
          </cell>
          <cell r="I1176">
            <v>44927</v>
          </cell>
          <cell r="J1176">
            <v>46387</v>
          </cell>
          <cell r="K1176" t="str">
            <v>CONTRATA</v>
          </cell>
          <cell r="L1176" t="str">
            <v>C ESPECIALES</v>
          </cell>
          <cell r="M1176" t="str">
            <v>TUTOR(A) PRÁCTICA</v>
          </cell>
          <cell r="N1176" t="str">
            <v>SIN GRADO</v>
          </cell>
          <cell r="O1176" t="str">
            <v>MAGISTER</v>
          </cell>
          <cell r="P1176" t="str">
            <v>MAGISTER EN FISIOLOGÍA CLINICA DEL EJERCICIO</v>
          </cell>
          <cell r="Q1176" t="str">
            <v>TALCA</v>
          </cell>
          <cell r="R1176" t="str">
            <v>FACULTAD DE CIENCIAS DE LA SALUD</v>
          </cell>
          <cell r="S1176" t="str">
            <v>FACULTAD DE CIENCIAS DE LA SALUD</v>
          </cell>
        </row>
        <row r="1177">
          <cell r="A1177">
            <v>17495545</v>
          </cell>
          <cell r="B1177" t="str">
            <v>17495545</v>
          </cell>
          <cell r="C1177" t="str">
            <v>K</v>
          </cell>
          <cell r="D1177" t="str">
            <v>VELIZ OLIVOS MARIA NATALIA</v>
          </cell>
          <cell r="E1177" t="str">
            <v>FCS320001</v>
          </cell>
          <cell r="F1177">
            <v>44</v>
          </cell>
          <cell r="G1177">
            <v>30</v>
          </cell>
          <cell r="H1177" t="str">
            <v>MVELIZ@UTALCA.CL</v>
          </cell>
          <cell r="I1177">
            <v>43556</v>
          </cell>
          <cell r="J1177">
            <v>46812</v>
          </cell>
          <cell r="K1177" t="str">
            <v>CONTRATA</v>
          </cell>
          <cell r="L1177" t="str">
            <v>CA DOCENTE</v>
          </cell>
          <cell r="M1177" t="str">
            <v>PROFESOR ASISTENTE</v>
          </cell>
          <cell r="N1177" t="str">
            <v>GRADO C</v>
          </cell>
          <cell r="O1177" t="str">
            <v>MAGISTER</v>
          </cell>
          <cell r="P1177" t="str">
            <v>MAGÍSTER EN CIENCIAS BIOMÉDICAS MENCIÓN: BIOQ</v>
          </cell>
          <cell r="Q1177" t="str">
            <v>TALCA</v>
          </cell>
          <cell r="R1177" t="str">
            <v>FACULTAD DE CIENCIAS DE LA SALUD</v>
          </cell>
          <cell r="S1177" t="str">
            <v>DPTO. BIOQUÍM. CLÍN. E INMUNOHEMATOLOGÍA</v>
          </cell>
        </row>
        <row r="1178">
          <cell r="A1178">
            <v>17495663</v>
          </cell>
          <cell r="B1178" t="str">
            <v>17495663</v>
          </cell>
          <cell r="C1178" t="str">
            <v>4</v>
          </cell>
          <cell r="D1178" t="str">
            <v>MONTECINOS REBOLLEDO JAVIERA P</v>
          </cell>
          <cell r="E1178" t="str">
            <v>VDE400002</v>
          </cell>
          <cell r="F1178">
            <v>44</v>
          </cell>
          <cell r="G1178">
            <v>30</v>
          </cell>
          <cell r="H1178" t="str">
            <v>JMONTECINOS@UTALCA.CL</v>
          </cell>
          <cell r="I1178">
            <v>43101</v>
          </cell>
          <cell r="J1178">
            <v>46387</v>
          </cell>
          <cell r="K1178" t="str">
            <v>CONTRATA</v>
          </cell>
          <cell r="L1178" t="str">
            <v>PROFESIONAL</v>
          </cell>
          <cell r="M1178" t="str">
            <v>PROFESIONAL</v>
          </cell>
          <cell r="N1178" t="str">
            <v>GRADO I.17</v>
          </cell>
          <cell r="O1178" t="str">
            <v>TÍTULO PROFESIONAL</v>
          </cell>
          <cell r="P1178" t="str">
            <v>INGENIERO COMERCIAL</v>
          </cell>
          <cell r="Q1178" t="str">
            <v>TALCA</v>
          </cell>
          <cell r="R1178" t="str">
            <v>VICERRECTORÍA DE DESARROLLO ESTUDIANTIL</v>
          </cell>
          <cell r="S1178" t="str">
            <v>DRCCIÓN. APOYO A ORG. E INICIA. ESTUD.</v>
          </cell>
        </row>
        <row r="1179">
          <cell r="A1179">
            <v>17495723</v>
          </cell>
          <cell r="B1179" t="str">
            <v>17495723</v>
          </cell>
          <cell r="C1179" t="str">
            <v>1</v>
          </cell>
          <cell r="D1179" t="str">
            <v>ESPINOZA GONZALEZ JAVIERA ALEJ</v>
          </cell>
          <cell r="E1179" t="str">
            <v>FOD200001</v>
          </cell>
          <cell r="F1179">
            <v>16</v>
          </cell>
          <cell r="G1179">
            <v>30</v>
          </cell>
          <cell r="H1179" t="str">
            <v>JAVIERA.ESPINOZA@UTALCA.CL</v>
          </cell>
          <cell r="I1179">
            <v>45748</v>
          </cell>
          <cell r="J1179">
            <v>46112</v>
          </cell>
          <cell r="K1179" t="str">
            <v>CONTRATA</v>
          </cell>
          <cell r="L1179" t="str">
            <v>C ESPECIALES</v>
          </cell>
          <cell r="M1179" t="str">
            <v>TUTOR(A) PRÁCTICA</v>
          </cell>
          <cell r="N1179" t="str">
            <v>SIN GRADO</v>
          </cell>
          <cell r="O1179" t="str">
            <v>MAGISTER</v>
          </cell>
          <cell r="P1179" t="str">
            <v>MAGISTER EN ODONTOGERIATRIA</v>
          </cell>
          <cell r="Q1179" t="str">
            <v>TALCA</v>
          </cell>
          <cell r="R1179" t="str">
            <v>FACULTAD DE ODONTOLOGÍA</v>
          </cell>
          <cell r="S1179" t="str">
            <v>FACULTAD DE ODONTOLOGÍA</v>
          </cell>
        </row>
        <row r="1180">
          <cell r="A1180">
            <v>17496032</v>
          </cell>
          <cell r="B1180" t="str">
            <v>17496032</v>
          </cell>
          <cell r="C1180" t="str">
            <v>1</v>
          </cell>
          <cell r="D1180" t="str">
            <v>ITURRA ARAYA YOHANA ELIZABETH</v>
          </cell>
          <cell r="E1180" t="str">
            <v>VGE400007</v>
          </cell>
          <cell r="F1180">
            <v>44</v>
          </cell>
          <cell r="G1180">
            <v>30</v>
          </cell>
          <cell r="H1180" t="str">
            <v>YITURRA@UTALCA.CL</v>
          </cell>
          <cell r="I1180">
            <v>43466</v>
          </cell>
          <cell r="J1180">
            <v>46387</v>
          </cell>
          <cell r="K1180" t="str">
            <v>CONTRATA</v>
          </cell>
          <cell r="L1180" t="str">
            <v>ADMINISTRATIVO</v>
          </cell>
          <cell r="M1180" t="str">
            <v>ADMINISTRATIVO</v>
          </cell>
          <cell r="N1180" t="str">
            <v>GRADO I.21</v>
          </cell>
          <cell r="O1180" t="str">
            <v>TÉC. NIVEL SUPERIOR</v>
          </cell>
          <cell r="P1180" t="str">
            <v>TÉCNICO EN ADMINISTRACIÓN DE EMPRESAS</v>
          </cell>
          <cell r="Q1180" t="str">
            <v>TALCA</v>
          </cell>
          <cell r="R1180" t="str">
            <v>VIC. GESTIÓN ECONÓMICA Y ADMINISTRACIÓN</v>
          </cell>
          <cell r="S1180" t="str">
            <v>DIRECCIÓN DE FINANZAS</v>
          </cell>
        </row>
        <row r="1181">
          <cell r="A1181">
            <v>17496236</v>
          </cell>
          <cell r="B1181" t="str">
            <v>17496236</v>
          </cell>
          <cell r="C1181" t="str">
            <v>7</v>
          </cell>
          <cell r="D1181" t="str">
            <v>SILVA ARTO LINDA PAZ</v>
          </cell>
          <cell r="E1181" t="str">
            <v>VDE400002</v>
          </cell>
          <cell r="F1181">
            <v>44</v>
          </cell>
          <cell r="G1181">
            <v>30</v>
          </cell>
          <cell r="H1181" t="str">
            <v>LINDA.SILVA@UTALCA.CL</v>
          </cell>
          <cell r="I1181">
            <v>44197</v>
          </cell>
          <cell r="J1181">
            <v>46387</v>
          </cell>
          <cell r="K1181" t="str">
            <v>CONTRATA</v>
          </cell>
          <cell r="L1181" t="str">
            <v>PROFESIONAL</v>
          </cell>
          <cell r="M1181" t="str">
            <v>PROFESIONAL</v>
          </cell>
          <cell r="N1181" t="str">
            <v>GRADO I.17</v>
          </cell>
          <cell r="O1181" t="str">
            <v>TÍTULO PROFESIONAL</v>
          </cell>
          <cell r="P1181" t="str">
            <v>PSICÓLOGO</v>
          </cell>
          <cell r="Q1181" t="str">
            <v>TALCA</v>
          </cell>
          <cell r="R1181" t="str">
            <v>VICERRECTORÍA DE DESARROLLO ESTUDIANTIL</v>
          </cell>
          <cell r="S1181" t="str">
            <v>DRCCIÓN. APOYO A ORG. E INICIA. ESTUD.</v>
          </cell>
        </row>
        <row r="1182">
          <cell r="A1182">
            <v>17497503</v>
          </cell>
          <cell r="B1182" t="str">
            <v>17497503</v>
          </cell>
          <cell r="C1182" t="str">
            <v>5</v>
          </cell>
          <cell r="D1182" t="str">
            <v>MORENO RODRÍGUEZ ROBOAN ALEJAN</v>
          </cell>
          <cell r="E1182" t="str">
            <v>FCA310001</v>
          </cell>
          <cell r="F1182">
            <v>44</v>
          </cell>
          <cell r="G1182">
            <v>30</v>
          </cell>
          <cell r="H1182" t="str">
            <v>ROBOAN.MORENO@UTALCA.CL</v>
          </cell>
          <cell r="I1182">
            <v>44627</v>
          </cell>
          <cell r="J1182">
            <v>46387</v>
          </cell>
          <cell r="K1182" t="str">
            <v>CONTRATA</v>
          </cell>
          <cell r="L1182" t="str">
            <v>TÉCNICO</v>
          </cell>
          <cell r="M1182" t="str">
            <v>TÉCNICO</v>
          </cell>
          <cell r="N1182" t="str">
            <v>GRADO I.21</v>
          </cell>
          <cell r="O1182" t="str">
            <v>TÉC. NIVEL SUPERIOR</v>
          </cell>
          <cell r="P1182" t="str">
            <v>TECNICO DE NIVEL SUPERIOR EN PROGRAMACION COM</v>
          </cell>
          <cell r="Q1182" t="str">
            <v>TALCA</v>
          </cell>
          <cell r="R1182" t="str">
            <v>FACULTAD DE CIENCIAS AGRARIAS</v>
          </cell>
          <cell r="S1182" t="str">
            <v>ESCUELA DE AGRONOMÍA</v>
          </cell>
        </row>
        <row r="1183">
          <cell r="A1183">
            <v>17497539</v>
          </cell>
          <cell r="B1183" t="str">
            <v>17497539</v>
          </cell>
          <cell r="C1183" t="str">
            <v>6</v>
          </cell>
          <cell r="D1183" t="str">
            <v>VALDES ROJAS JONNATHAN ALEJAND</v>
          </cell>
          <cell r="E1183" t="str">
            <v>VGE400054</v>
          </cell>
          <cell r="F1183">
            <v>44</v>
          </cell>
          <cell r="G1183">
            <v>30</v>
          </cell>
          <cell r="H1183" t="str">
            <v>JOVALDES@UTALCA.CL</v>
          </cell>
          <cell r="I1183">
            <v>43466</v>
          </cell>
          <cell r="J1183">
            <v>46387</v>
          </cell>
          <cell r="K1183" t="str">
            <v>CONTRATA</v>
          </cell>
          <cell r="L1183" t="str">
            <v>ADMINISTRATIVO</v>
          </cell>
          <cell r="M1183" t="str">
            <v>ADMINISTRATIVO</v>
          </cell>
          <cell r="N1183" t="str">
            <v>GRADO I.21</v>
          </cell>
          <cell r="O1183" t="str">
            <v>TÉC. NIVEL SUPERIOR</v>
          </cell>
          <cell r="P1183" t="str">
            <v>TECNICO DE NIVEL SUPERIOR EN PLATAFORMAS</v>
          </cell>
          <cell r="Q1183" t="str">
            <v>TALCA</v>
          </cell>
          <cell r="R1183" t="str">
            <v>VIC. GESTIÓN ECONÓMICA Y ADMINISTRACIÓN</v>
          </cell>
          <cell r="S1183" t="str">
            <v>DEPARTAMENTO DE SERVICIOS  Y PROCESOS TI</v>
          </cell>
        </row>
        <row r="1184">
          <cell r="A1184">
            <v>17503895</v>
          </cell>
          <cell r="B1184" t="str">
            <v>17503895</v>
          </cell>
          <cell r="C1184" t="str">
            <v>7</v>
          </cell>
          <cell r="D1184" t="str">
            <v>ZAMORANO CURAQUEO MACARENA ALE</v>
          </cell>
          <cell r="E1184" t="str">
            <v>VAC400024</v>
          </cell>
          <cell r="F1184">
            <v>44</v>
          </cell>
          <cell r="G1184">
            <v>30</v>
          </cell>
          <cell r="H1184" t="str">
            <v>MZAMORANOC10@GMAIL.COM</v>
          </cell>
          <cell r="I1184">
            <v>45778</v>
          </cell>
          <cell r="J1184">
            <v>46387</v>
          </cell>
          <cell r="K1184" t="str">
            <v>CONTRATA</v>
          </cell>
          <cell r="L1184" t="str">
            <v>C ESPECIALES</v>
          </cell>
          <cell r="M1184" t="str">
            <v>INVESTIGADOR</v>
          </cell>
          <cell r="N1184" t="str">
            <v>SIN GRADO</v>
          </cell>
          <cell r="O1184" t="str">
            <v>DOCTORADO</v>
          </cell>
          <cell r="P1184" t="str">
            <v>DOCTORA EN CIENCIAS MENCIÓN INGENIERÍA GENÉTI</v>
          </cell>
          <cell r="Q1184" t="str">
            <v>TALCA</v>
          </cell>
          <cell r="R1184" t="str">
            <v>VICERRECTORÍA ACADÉMICA</v>
          </cell>
          <cell r="S1184" t="str">
            <v>VICERRECTORÍA ACADÉMICA</v>
          </cell>
        </row>
        <row r="1185">
          <cell r="A1185">
            <v>17520361</v>
          </cell>
          <cell r="B1185" t="str">
            <v>17520361</v>
          </cell>
          <cell r="C1185" t="str">
            <v>3</v>
          </cell>
          <cell r="D1185" t="str">
            <v>RIQUELME TAPIA CRISTOPHER EDUA</v>
          </cell>
          <cell r="E1185" t="str">
            <v>VGE400004</v>
          </cell>
          <cell r="F1185">
            <v>44</v>
          </cell>
          <cell r="G1185">
            <v>30</v>
          </cell>
          <cell r="H1185" t="str">
            <v>CRISTOPHER.RIQUELME@UTALCA.CL</v>
          </cell>
          <cell r="I1185">
            <v>44517</v>
          </cell>
          <cell r="J1185">
            <v>46387</v>
          </cell>
          <cell r="K1185" t="str">
            <v>CONTRATA</v>
          </cell>
          <cell r="L1185" t="str">
            <v>TÉCNICO</v>
          </cell>
          <cell r="M1185" t="str">
            <v>TÉCNICO</v>
          </cell>
          <cell r="N1185" t="str">
            <v>GRADO I.21</v>
          </cell>
          <cell r="O1185" t="str">
            <v>TÍTULO PROFESIONAL</v>
          </cell>
          <cell r="P1185" t="str">
            <v>CONTADOR PÚBLICO AUDITOR</v>
          </cell>
          <cell r="Q1185" t="str">
            <v>TALCA</v>
          </cell>
          <cell r="R1185" t="str">
            <v>VIC. GESTIÓN ECONÓMICA Y ADMINISTRACIÓN</v>
          </cell>
          <cell r="S1185" t="str">
            <v>DEPARTAMENTO DE CONTABILIDAD Y BIENES</v>
          </cell>
        </row>
        <row r="1186">
          <cell r="A1186">
            <v>17579067</v>
          </cell>
          <cell r="B1186" t="str">
            <v>17579067</v>
          </cell>
          <cell r="C1186" t="str">
            <v>5</v>
          </cell>
          <cell r="D1186" t="str">
            <v>GONZALEZ JARA HENRY ALEXIS</v>
          </cell>
          <cell r="E1186" t="str">
            <v>ADC024006</v>
          </cell>
          <cell r="F1186">
            <v>44</v>
          </cell>
          <cell r="G1186">
            <v>30</v>
          </cell>
          <cell r="H1186" t="str">
            <v>HENRY.GONZALEZ@UTALCA.CL</v>
          </cell>
          <cell r="I1186">
            <v>43831</v>
          </cell>
          <cell r="J1186">
            <v>46387</v>
          </cell>
          <cell r="K1186" t="str">
            <v>CONTRATA</v>
          </cell>
          <cell r="L1186" t="str">
            <v>AUXILIAR</v>
          </cell>
          <cell r="M1186" t="str">
            <v>AUXILIAR</v>
          </cell>
          <cell r="N1186" t="str">
            <v>GRADO I.24</v>
          </cell>
          <cell r="O1186" t="str">
            <v>ESCOLARIDAD CIENT HU</v>
          </cell>
          <cell r="P1186" t="str">
            <v>LICENCIA ENSEÑANZA MEDIA</v>
          </cell>
          <cell r="Q1186" t="str">
            <v>TALCA</v>
          </cell>
          <cell r="R1186" t="str">
            <v>DRCCIÓN. GNAL. VINCULACIÓN CON EL MEDIO</v>
          </cell>
          <cell r="S1186" t="str">
            <v>UND. JARDÍN BOTÁNICO Y ARBORETUM</v>
          </cell>
        </row>
        <row r="1187">
          <cell r="A1187">
            <v>17617630</v>
          </cell>
          <cell r="B1187" t="str">
            <v>17617630</v>
          </cell>
          <cell r="C1187" t="str">
            <v>K</v>
          </cell>
          <cell r="D1187" t="str">
            <v>GRANDON AVENDAÑO NATALIA ELENA</v>
          </cell>
          <cell r="E1187" t="str">
            <v/>
          </cell>
          <cell r="F1187">
            <v>44</v>
          </cell>
          <cell r="G1187">
            <v>30</v>
          </cell>
          <cell r="H1187" t="str">
            <v>NGRANDON@UTALCA.CL</v>
          </cell>
          <cell r="I1187">
            <v>44927</v>
          </cell>
          <cell r="J1187">
            <v>46387</v>
          </cell>
          <cell r="K1187" t="str">
            <v>CONTRATA</v>
          </cell>
          <cell r="L1187" t="str">
            <v>PROFESIONAL</v>
          </cell>
          <cell r="M1187" t="str">
            <v>PROFESIONAL</v>
          </cell>
          <cell r="N1187" t="str">
            <v>GRADO I.17</v>
          </cell>
          <cell r="O1187" t="str">
            <v>TÍTULO PROFESIONAL</v>
          </cell>
          <cell r="P1187" t="str">
            <v>INGENIERO EN BIOINFORMATICA</v>
          </cell>
          <cell r="Q1187" t="str">
            <v>TALCA</v>
          </cell>
          <cell r="R1187" t="str">
            <v>VICERRECTORÍA DE FORMACIÓN</v>
          </cell>
          <cell r="S1187" t="str">
            <v>DEPARTAMENTO DE CALIDAD DE LA FORMACIÓN</v>
          </cell>
        </row>
        <row r="1188">
          <cell r="A1188">
            <v>17627289</v>
          </cell>
          <cell r="B1188" t="str">
            <v>17627289</v>
          </cell>
          <cell r="C1188" t="str">
            <v>9</v>
          </cell>
          <cell r="D1188" t="str">
            <v>ALIAGA VERGARA CAMILA ELENA</v>
          </cell>
          <cell r="E1188" t="str">
            <v>FCI320009</v>
          </cell>
          <cell r="F1188">
            <v>44</v>
          </cell>
          <cell r="G1188">
            <v>30</v>
          </cell>
          <cell r="H1188" t="str">
            <v>CAMILA.ALIAGA@UTALCA.CL</v>
          </cell>
          <cell r="I1188">
            <v>44652</v>
          </cell>
          <cell r="J1188">
            <v>46446</v>
          </cell>
          <cell r="K1188" t="str">
            <v>CONTRATA</v>
          </cell>
          <cell r="L1188" t="str">
            <v>CA DOCENTE</v>
          </cell>
          <cell r="M1188" t="str">
            <v>PROFESOR ASISTENTE</v>
          </cell>
          <cell r="N1188" t="str">
            <v>GRADO C</v>
          </cell>
          <cell r="O1188" t="str">
            <v>MAGISTER</v>
          </cell>
          <cell r="P1188" t="str">
            <v>MAGISTER EN DISEÑO INDUSTRIAL Y DESARROLLO DE</v>
          </cell>
          <cell r="Q1188" t="str">
            <v>TALCA</v>
          </cell>
          <cell r="R1188" t="str">
            <v>FACULTAD DE INGENIERÍA</v>
          </cell>
          <cell r="S1188" t="str">
            <v>DPTO. VISUALI. INTERACTIVA Y REA.VIRTUAL</v>
          </cell>
        </row>
        <row r="1189">
          <cell r="A1189">
            <v>17670013</v>
          </cell>
          <cell r="B1189" t="str">
            <v>17670013</v>
          </cell>
          <cell r="C1189" t="str">
            <v>0</v>
          </cell>
          <cell r="D1189" t="str">
            <v>DIAZ BRAVO CAMILA ANDREA</v>
          </cell>
          <cell r="E1189" t="str">
            <v/>
          </cell>
          <cell r="F1189">
            <v>40</v>
          </cell>
          <cell r="G1189">
            <v>30</v>
          </cell>
          <cell r="H1189" t="str">
            <v>CAMILA.DIAZB@UTALCA.CL</v>
          </cell>
          <cell r="I1189">
            <v>45017</v>
          </cell>
          <cell r="J1189">
            <v>46387</v>
          </cell>
          <cell r="K1189" t="str">
            <v>CONTRATA</v>
          </cell>
          <cell r="L1189" t="str">
            <v>PROFESIONAL</v>
          </cell>
          <cell r="M1189" t="str">
            <v>PROFESIONAL</v>
          </cell>
          <cell r="N1189" t="str">
            <v>GRADO I.17</v>
          </cell>
          <cell r="O1189" t="str">
            <v>TÍTULO PROFESIONAL</v>
          </cell>
          <cell r="P1189" t="str">
            <v>PROFESOR DE EDUCACION GENERAL BASICA ESPECIAL</v>
          </cell>
          <cell r="Q1189" t="str">
            <v>TALCA</v>
          </cell>
          <cell r="R1189" t="str">
            <v>DRCCIÓN. GNAL. VINCULACIÓN CON EL MEDIO</v>
          </cell>
          <cell r="S1189" t="str">
            <v>UNIDAD DE DIVULGACIÓN</v>
          </cell>
        </row>
        <row r="1190">
          <cell r="A1190">
            <v>17670910</v>
          </cell>
          <cell r="B1190" t="str">
            <v>17670910</v>
          </cell>
          <cell r="C1190" t="str">
            <v>3</v>
          </cell>
          <cell r="D1190" t="str">
            <v>CATALAN ARAYA CARLOS MAURICIO</v>
          </cell>
          <cell r="E1190" t="str">
            <v>VGE400019</v>
          </cell>
          <cell r="F1190">
            <v>44</v>
          </cell>
          <cell r="G1190">
            <v>30</v>
          </cell>
          <cell r="H1190" t="str">
            <v>CARLOS.CATALAN@UTALCA.CL</v>
          </cell>
          <cell r="I1190">
            <v>44423</v>
          </cell>
          <cell r="J1190">
            <v>46387</v>
          </cell>
          <cell r="K1190" t="str">
            <v>CONTRATA</v>
          </cell>
          <cell r="L1190" t="str">
            <v>PROFESIONAL</v>
          </cell>
          <cell r="M1190" t="str">
            <v>PROFESIONAL</v>
          </cell>
          <cell r="N1190" t="str">
            <v>GRADO I.17</v>
          </cell>
          <cell r="O1190" t="str">
            <v>TÍTULO PROFESIONAL</v>
          </cell>
          <cell r="P1190" t="str">
            <v>INGENIERO EN BIOINFORMATICA</v>
          </cell>
          <cell r="Q1190" t="str">
            <v>TALCA</v>
          </cell>
          <cell r="R1190" t="str">
            <v>VIC. GESTIÓN ECONÓMICA Y ADMINISTRACIÓN</v>
          </cell>
          <cell r="S1190" t="str">
            <v>DPTO. DE GESTIÓN DE PAGO A PROVEEDORES</v>
          </cell>
        </row>
        <row r="1191">
          <cell r="A1191">
            <v>17684565</v>
          </cell>
          <cell r="B1191" t="str">
            <v>17684565</v>
          </cell>
          <cell r="C1191" t="str">
            <v>1</v>
          </cell>
          <cell r="D1191" t="str">
            <v>CANTERO HERNANDEZ BELGICA ALEJ</v>
          </cell>
          <cell r="E1191" t="str">
            <v>FCJ340001</v>
          </cell>
          <cell r="F1191">
            <v>44</v>
          </cell>
          <cell r="G1191">
            <v>30</v>
          </cell>
          <cell r="H1191" t="str">
            <v>BELGICA.CANTERO@UTALCA.CL</v>
          </cell>
          <cell r="I1191">
            <v>44837</v>
          </cell>
          <cell r="J1191">
            <v>46387</v>
          </cell>
          <cell r="K1191" t="str">
            <v>CONTRATA</v>
          </cell>
          <cell r="L1191" t="str">
            <v>PROFESIONAL</v>
          </cell>
          <cell r="M1191" t="str">
            <v>PROFESIONAL</v>
          </cell>
          <cell r="N1191" t="str">
            <v>GRADO I.17</v>
          </cell>
          <cell r="O1191" t="str">
            <v>TÍTULO PROFESIONAL</v>
          </cell>
          <cell r="P1191" t="str">
            <v>ABOGADA</v>
          </cell>
          <cell r="Q1191" t="str">
            <v>TALCA</v>
          </cell>
          <cell r="R1191" t="str">
            <v>FACULTAD CIENCIAS JURÍDICAS Y SOCIALES</v>
          </cell>
          <cell r="S1191" t="str">
            <v>CLÍNICA JURÍDICA DE TALCA</v>
          </cell>
        </row>
        <row r="1192">
          <cell r="A1192">
            <v>17684875</v>
          </cell>
          <cell r="B1192" t="str">
            <v>17684875</v>
          </cell>
          <cell r="C1192" t="str">
            <v>8</v>
          </cell>
          <cell r="D1192" t="str">
            <v>REBOLLEDO MADARIAGA ILIAN CONS</v>
          </cell>
          <cell r="E1192" t="str">
            <v>ADC030190</v>
          </cell>
          <cell r="F1192">
            <v>44</v>
          </cell>
          <cell r="G1192">
            <v>30</v>
          </cell>
          <cell r="H1192" t="str">
            <v>ILIAN.REBOLLEDO@UTALCA.CL</v>
          </cell>
          <cell r="I1192">
            <v>45017</v>
          </cell>
          <cell r="J1192">
            <v>46387</v>
          </cell>
          <cell r="K1192" t="str">
            <v>CONTRATA</v>
          </cell>
          <cell r="L1192" t="str">
            <v>PROFESIONAL</v>
          </cell>
          <cell r="M1192" t="str">
            <v>PROFESIONAL</v>
          </cell>
          <cell r="N1192" t="str">
            <v>GRADO I.17</v>
          </cell>
          <cell r="O1192" t="str">
            <v>TÍTULO PROFESIONAL</v>
          </cell>
          <cell r="P1192" t="str">
            <v>PSICOLOGA</v>
          </cell>
          <cell r="Q1192" t="str">
            <v>TALCA</v>
          </cell>
          <cell r="R1192" t="str">
            <v>SECRETARÍA GENERAL</v>
          </cell>
          <cell r="S1192" t="str">
            <v>DIRECCIÓN DE GÉNERO</v>
          </cell>
        </row>
        <row r="1193">
          <cell r="A1193">
            <v>17685183</v>
          </cell>
          <cell r="B1193" t="str">
            <v>17685183</v>
          </cell>
          <cell r="C1193" t="str">
            <v>K</v>
          </cell>
          <cell r="D1193" t="str">
            <v>TOBAR ALCANTAR DAVID ESTEBAN</v>
          </cell>
          <cell r="E1193" t="str">
            <v>ADC017001</v>
          </cell>
          <cell r="F1193">
            <v>44</v>
          </cell>
          <cell r="G1193">
            <v>30</v>
          </cell>
          <cell r="H1193" t="str">
            <v>DAVID.TOBAR@UTALCA.CL</v>
          </cell>
          <cell r="I1193">
            <v>44941</v>
          </cell>
          <cell r="J1193">
            <v>2958465</v>
          </cell>
          <cell r="K1193" t="str">
            <v>PLANTA</v>
          </cell>
          <cell r="L1193" t="str">
            <v>PROFESIONAL</v>
          </cell>
          <cell r="M1193" t="str">
            <v>DIR EXCLU. CONFIANZA</v>
          </cell>
          <cell r="N1193" t="str">
            <v>GRADO I.5</v>
          </cell>
          <cell r="O1193" t="str">
            <v>TÍTULO PROFESIONAL</v>
          </cell>
          <cell r="P1193" t="str">
            <v>ABOGADO</v>
          </cell>
          <cell r="Q1193" t="str">
            <v>TALCA</v>
          </cell>
          <cell r="R1193" t="str">
            <v>FISCALÍA UNIVERSITARIA</v>
          </cell>
          <cell r="S1193" t="str">
            <v>FISCALÍA UNIVERSITARIA</v>
          </cell>
        </row>
        <row r="1194">
          <cell r="A1194">
            <v>17685371</v>
          </cell>
          <cell r="B1194" t="str">
            <v>17685371</v>
          </cell>
          <cell r="C1194" t="str">
            <v>9</v>
          </cell>
          <cell r="D1194" t="str">
            <v>BARRIOS MUÑOZ CLAUDIO IGNACIO</v>
          </cell>
          <cell r="E1194" t="str">
            <v/>
          </cell>
          <cell r="F1194">
            <v>44</v>
          </cell>
          <cell r="G1194">
            <v>30</v>
          </cell>
          <cell r="H1194" t="str">
            <v>C.BARRIOS@UTALCA.CL</v>
          </cell>
          <cell r="I1194">
            <v>43922</v>
          </cell>
          <cell r="J1194">
            <v>46387</v>
          </cell>
          <cell r="K1194" t="str">
            <v>CONTRATA</v>
          </cell>
          <cell r="L1194" t="str">
            <v>PROFESIONAL</v>
          </cell>
          <cell r="M1194" t="str">
            <v>PROFESIONAL</v>
          </cell>
          <cell r="N1194" t="str">
            <v>GRADO I.17</v>
          </cell>
          <cell r="O1194" t="str">
            <v>TÍTULO PROFESIONAL</v>
          </cell>
          <cell r="P1194" t="str">
            <v>INGENIERO COMERCIAL</v>
          </cell>
          <cell r="Q1194" t="str">
            <v>TALCA</v>
          </cell>
          <cell r="R1194" t="str">
            <v>VIC. GESTIÓN ECONÓMICA Y ADMINISTRACIÓN</v>
          </cell>
          <cell r="S1194" t="str">
            <v>VIC. GESTIÓN ECONÓMICA Y ADMINISTRACIÓN</v>
          </cell>
        </row>
        <row r="1195">
          <cell r="A1195">
            <v>17685437</v>
          </cell>
          <cell r="B1195" t="str">
            <v>17685437</v>
          </cell>
          <cell r="C1195" t="str">
            <v>5</v>
          </cell>
          <cell r="D1195" t="str">
            <v>GONZALEZ MORALES MANUEL JESUS</v>
          </cell>
          <cell r="E1195" t="str">
            <v>VGE400056</v>
          </cell>
          <cell r="F1195">
            <v>44</v>
          </cell>
          <cell r="G1195">
            <v>30</v>
          </cell>
          <cell r="H1195" t="str">
            <v/>
          </cell>
          <cell r="I1195">
            <v>45870</v>
          </cell>
          <cell r="J1195">
            <v>46387</v>
          </cell>
          <cell r="K1195" t="str">
            <v>CONTRATA</v>
          </cell>
          <cell r="L1195" t="str">
            <v>TÉCNICO</v>
          </cell>
          <cell r="M1195" t="str">
            <v>TÉCNICO</v>
          </cell>
          <cell r="N1195" t="str">
            <v>GRADO I.23</v>
          </cell>
          <cell r="O1195" t="str">
            <v>TÍTULO PROFESIONAL</v>
          </cell>
          <cell r="P1195" t="str">
            <v>INGENIERO EN INFORMATICA</v>
          </cell>
          <cell r="Q1195" t="str">
            <v>TALCA</v>
          </cell>
          <cell r="R1195" t="str">
            <v>VIC. GESTIÓN ECONÓMICA Y ADMINISTRACIÓN</v>
          </cell>
          <cell r="S1195" t="str">
            <v>DEPARTAMENTO DE SISTEMAS</v>
          </cell>
        </row>
        <row r="1196">
          <cell r="A1196">
            <v>17685538</v>
          </cell>
          <cell r="B1196" t="str">
            <v>17685538</v>
          </cell>
          <cell r="C1196" t="str">
            <v>K</v>
          </cell>
          <cell r="D1196" t="str">
            <v>LARA SALGADO ANA MARIA</v>
          </cell>
          <cell r="E1196" t="str">
            <v>VGE400054</v>
          </cell>
          <cell r="F1196">
            <v>44</v>
          </cell>
          <cell r="G1196">
            <v>30</v>
          </cell>
          <cell r="H1196" t="str">
            <v>ANAMARIA.LARA@UTALCA.CL</v>
          </cell>
          <cell r="I1196">
            <v>43466</v>
          </cell>
          <cell r="J1196">
            <v>46387</v>
          </cell>
          <cell r="K1196" t="str">
            <v>CONTRATA</v>
          </cell>
          <cell r="L1196" t="str">
            <v>PROFESIONAL</v>
          </cell>
          <cell r="M1196" t="str">
            <v>PROFESIONAL</v>
          </cell>
          <cell r="N1196" t="str">
            <v>GRADO I.17</v>
          </cell>
          <cell r="O1196" t="str">
            <v>MAGISTER</v>
          </cell>
          <cell r="P1196" t="str">
            <v>MAGÍSTER EN ADMINISTRACIÓN DE EMPRESAS-EXECUT</v>
          </cell>
          <cell r="Q1196" t="str">
            <v>TALCA</v>
          </cell>
          <cell r="R1196" t="str">
            <v>VIC. GESTIÓN ECONÓMICA Y ADMINISTRACIÓN</v>
          </cell>
          <cell r="S1196" t="str">
            <v>DEPARTAMENTO DE SERVICIOS  Y PROCESOS TI</v>
          </cell>
        </row>
        <row r="1197">
          <cell r="A1197">
            <v>17685604</v>
          </cell>
          <cell r="B1197" t="str">
            <v>17685604</v>
          </cell>
          <cell r="C1197" t="str">
            <v>1</v>
          </cell>
          <cell r="D1197" t="str">
            <v>BRUGGINK OSORIO KAREN ALMENDRA</v>
          </cell>
          <cell r="E1197" t="str">
            <v/>
          </cell>
          <cell r="F1197">
            <v>44</v>
          </cell>
          <cell r="G1197">
            <v>30</v>
          </cell>
          <cell r="H1197" t="str">
            <v>KAREN.BRUGGINK@UTALCA.CL</v>
          </cell>
          <cell r="I1197">
            <v>45092</v>
          </cell>
          <cell r="J1197">
            <v>46387</v>
          </cell>
          <cell r="K1197" t="str">
            <v>CONTRATA</v>
          </cell>
          <cell r="L1197" t="str">
            <v>PROFESIONAL</v>
          </cell>
          <cell r="M1197" t="str">
            <v>PROFESIONAL</v>
          </cell>
          <cell r="N1197" t="str">
            <v>GRADO I.17</v>
          </cell>
          <cell r="O1197" t="str">
            <v>TÍTULO PROFESIONAL</v>
          </cell>
          <cell r="P1197" t="str">
            <v>DISEÑADORA DE PRODUCTOS</v>
          </cell>
          <cell r="Q1197" t="str">
            <v>TALCA</v>
          </cell>
          <cell r="R1197" t="str">
            <v>VICERRECTORÍA ACADÉMICA</v>
          </cell>
          <cell r="S1197" t="str">
            <v>UNIDAD DE PROYECTOS DE INNOVACIÓN Y TT</v>
          </cell>
        </row>
        <row r="1198">
          <cell r="A1198">
            <v>17685709</v>
          </cell>
          <cell r="B1198" t="str">
            <v>17685709</v>
          </cell>
          <cell r="C1198" t="str">
            <v>9</v>
          </cell>
          <cell r="D1198" t="str">
            <v>GOMEZ BARRIOS CATALINA</v>
          </cell>
          <cell r="E1198" t="str">
            <v/>
          </cell>
          <cell r="F1198">
            <v>44</v>
          </cell>
          <cell r="G1198">
            <v>30</v>
          </cell>
          <cell r="H1198" t="str">
            <v>CATGOMEZ@UTALCA.CL</v>
          </cell>
          <cell r="I1198">
            <v>44927</v>
          </cell>
          <cell r="J1198">
            <v>46387</v>
          </cell>
          <cell r="K1198" t="str">
            <v>CONTRATA</v>
          </cell>
          <cell r="L1198" t="str">
            <v>PROFESIONAL</v>
          </cell>
          <cell r="M1198" t="str">
            <v>PROFESIONAL</v>
          </cell>
          <cell r="N1198" t="str">
            <v>GRADO I.17</v>
          </cell>
          <cell r="O1198" t="str">
            <v>TÍTULO PROFESIONAL</v>
          </cell>
          <cell r="P1198" t="str">
            <v>INGENIERO CIVIL INDUSTRIAL</v>
          </cell>
          <cell r="Q1198" t="str">
            <v>CURICO</v>
          </cell>
          <cell r="R1198" t="str">
            <v>FACULTAD DE INGENIERÍA</v>
          </cell>
          <cell r="S1198" t="str">
            <v>FACULTAD DE INGENIERÍA</v>
          </cell>
        </row>
        <row r="1199">
          <cell r="A1199">
            <v>17686147</v>
          </cell>
          <cell r="B1199" t="str">
            <v>17686147</v>
          </cell>
          <cell r="C1199" t="str">
            <v>9</v>
          </cell>
          <cell r="D1199" t="str">
            <v>GUZMAN ZEPEDA OSCAR GUILLERMO</v>
          </cell>
          <cell r="E1199" t="str">
            <v>FCJ320003</v>
          </cell>
          <cell r="F1199">
            <v>44</v>
          </cell>
          <cell r="G1199">
            <v>30</v>
          </cell>
          <cell r="H1199" t="str">
            <v>OGUZMAN@UTALCA.CL</v>
          </cell>
          <cell r="I1199">
            <v>44986</v>
          </cell>
          <cell r="J1199">
            <v>46234</v>
          </cell>
          <cell r="K1199" t="str">
            <v>CONTRATA</v>
          </cell>
          <cell r="L1199" t="str">
            <v>INVESTIGADOR ASISTENTE</v>
          </cell>
          <cell r="M1199" t="str">
            <v>INVESTIGADOR</v>
          </cell>
          <cell r="N1199" t="str">
            <v>SIN GRADO</v>
          </cell>
          <cell r="O1199" t="str">
            <v>DOCTORADO</v>
          </cell>
          <cell r="P1199" t="str">
            <v>DOCTOR EN DERECHO</v>
          </cell>
          <cell r="Q1199" t="str">
            <v>TALCA</v>
          </cell>
          <cell r="R1199" t="str">
            <v>VICERRECTORÍA ACADÉMICA</v>
          </cell>
          <cell r="S1199" t="str">
            <v>VICERRECTORÍA ACADÉMICA</v>
          </cell>
        </row>
        <row r="1200">
          <cell r="A1200">
            <v>17698945</v>
          </cell>
          <cell r="B1200" t="str">
            <v>17698945</v>
          </cell>
          <cell r="C1200" t="str">
            <v>9</v>
          </cell>
          <cell r="D1200" t="str">
            <v>TRONCOSO MATAMALA CAMILA ROXAN</v>
          </cell>
          <cell r="E1200" t="str">
            <v>FOD350001</v>
          </cell>
          <cell r="F1200">
            <v>44</v>
          </cell>
          <cell r="G1200">
            <v>30</v>
          </cell>
          <cell r="H1200" t="str">
            <v>CAMILA.TRONCOSO@UTALCA.CL</v>
          </cell>
          <cell r="I1200">
            <v>45397</v>
          </cell>
          <cell r="J1200">
            <v>46387</v>
          </cell>
          <cell r="K1200" t="str">
            <v>CONTRATA</v>
          </cell>
          <cell r="L1200" t="str">
            <v>PROFESIONAL</v>
          </cell>
          <cell r="M1200" t="str">
            <v>PROFESIONAL</v>
          </cell>
          <cell r="N1200" t="str">
            <v>GRADO I.17</v>
          </cell>
          <cell r="O1200" t="str">
            <v>MAGISTER</v>
          </cell>
          <cell r="P1200" t="str">
            <v>MAGISTER EN GESTION DE SEGURIDAD DE PACIENTES</v>
          </cell>
          <cell r="Q1200" t="str">
            <v>TALCA</v>
          </cell>
          <cell r="R1200" t="str">
            <v>FACULTAD DE ODONTOLOGÍA</v>
          </cell>
          <cell r="S1200" t="str">
            <v>CLÍNICAS ODONTOLÓGICAS</v>
          </cell>
        </row>
        <row r="1201">
          <cell r="A1201">
            <v>17699777</v>
          </cell>
          <cell r="B1201" t="str">
            <v>17699777</v>
          </cell>
          <cell r="C1201" t="str">
            <v>K</v>
          </cell>
          <cell r="D1201" t="str">
            <v>HERRERA MUÑOZ MARIO EDUARDO</v>
          </cell>
          <cell r="E1201" t="str">
            <v>FCJ320004</v>
          </cell>
          <cell r="F1201">
            <v>44</v>
          </cell>
          <cell r="G1201">
            <v>30</v>
          </cell>
          <cell r="H1201" t="str">
            <v>MHERRERAM@UTALCA.CL</v>
          </cell>
          <cell r="I1201">
            <v>43101</v>
          </cell>
          <cell r="J1201">
            <v>46446</v>
          </cell>
          <cell r="K1201" t="str">
            <v>CONTRATA</v>
          </cell>
          <cell r="L1201" t="str">
            <v>CA DOCENTE</v>
          </cell>
          <cell r="M1201" t="str">
            <v>PROFESOR ASISTENTE</v>
          </cell>
          <cell r="N1201" t="str">
            <v>GRADO C</v>
          </cell>
          <cell r="O1201" t="str">
            <v>DOCTORADO</v>
          </cell>
          <cell r="P1201" t="str">
            <v>DOCTOR EN ESTUDIOS AMERICANOS</v>
          </cell>
          <cell r="Q1201" t="str">
            <v>SANTIAGO</v>
          </cell>
          <cell r="R1201" t="str">
            <v>FACULTAD CIENCIAS JURÍDICAS Y SOCIALES</v>
          </cell>
          <cell r="S1201" t="str">
            <v>DPTO. CNCIA. POLÍTICA Y ADMÓN. PÚBLICA</v>
          </cell>
        </row>
        <row r="1202">
          <cell r="A1202">
            <v>17749878</v>
          </cell>
          <cell r="B1202" t="str">
            <v>17749878</v>
          </cell>
          <cell r="C1202" t="str">
            <v>5</v>
          </cell>
          <cell r="D1202" t="str">
            <v>CIFUENTES JIMENEZ DANIELA ALEJ</v>
          </cell>
          <cell r="E1202" t="str">
            <v>ADC021005</v>
          </cell>
          <cell r="F1202">
            <v>44</v>
          </cell>
          <cell r="G1202">
            <v>30</v>
          </cell>
          <cell r="H1202" t="str">
            <v>DANIELACIFUENTES@UTALCA.CL</v>
          </cell>
          <cell r="I1202">
            <v>44197</v>
          </cell>
          <cell r="J1202">
            <v>46387</v>
          </cell>
          <cell r="K1202" t="str">
            <v>CONTRATA</v>
          </cell>
          <cell r="L1202" t="str">
            <v>PROFESIONAL</v>
          </cell>
          <cell r="M1202" t="str">
            <v>PROFESIONAL</v>
          </cell>
          <cell r="N1202" t="str">
            <v>GRADO I.17</v>
          </cell>
          <cell r="O1202" t="str">
            <v>TÍTULO PROFESIONAL</v>
          </cell>
          <cell r="P1202" t="str">
            <v>PERIODISTA LICENCIADA EN COMUNICACION SO</v>
          </cell>
          <cell r="Q1202" t="str">
            <v>TALCA</v>
          </cell>
          <cell r="R1202" t="str">
            <v>DIRECCIÓN DE COMUNICACIONES CORPORATIVAS</v>
          </cell>
          <cell r="S1202" t="str">
            <v>DPTO. DE COMUNICACIÓN EXTERNA Y MEDIOS</v>
          </cell>
        </row>
        <row r="1203">
          <cell r="A1203">
            <v>17758704</v>
          </cell>
          <cell r="B1203" t="str">
            <v>17758704</v>
          </cell>
          <cell r="C1203" t="str">
            <v>4</v>
          </cell>
          <cell r="D1203" t="str">
            <v>CAMPOS VERDUGO CARLA NIKOL</v>
          </cell>
          <cell r="E1203" t="str">
            <v>FED310010</v>
          </cell>
          <cell r="F1203">
            <v>22</v>
          </cell>
          <cell r="G1203">
            <v>28</v>
          </cell>
          <cell r="H1203" t="str">
            <v/>
          </cell>
          <cell r="I1203">
            <v>46085</v>
          </cell>
          <cell r="J1203">
            <v>46387</v>
          </cell>
          <cell r="K1203" t="str">
            <v>CONTRATA</v>
          </cell>
          <cell r="L1203" t="str">
            <v>ADMINISTRATIVO</v>
          </cell>
          <cell r="M1203" t="str">
            <v>ADMINISTRATIVO</v>
          </cell>
          <cell r="N1203" t="str">
            <v>GRADO I.21</v>
          </cell>
          <cell r="O1203" t="str">
            <v>TÉC. NIVEL SUPERIOR</v>
          </cell>
          <cell r="P1203" t="str">
            <v>TÉCNICO NIVEL SUPERIOR EN ADMINISTRACIÓN DE R</v>
          </cell>
          <cell r="Q1203" t="str">
            <v>LINARES</v>
          </cell>
          <cell r="R1203" t="str">
            <v>FACULTAD DE CIENCIAS DE LA EDUCACIÓN</v>
          </cell>
          <cell r="S1203" t="str">
            <v>ESCUELA DE PEDAGOGÍAS</v>
          </cell>
        </row>
        <row r="1204">
          <cell r="A1204">
            <v>17759312</v>
          </cell>
          <cell r="B1204" t="str">
            <v>17759312</v>
          </cell>
          <cell r="C1204" t="str">
            <v>5</v>
          </cell>
          <cell r="D1204" t="str">
            <v>POBLETE TAPIA PATRICIA MAKAREN</v>
          </cell>
          <cell r="E1204" t="str">
            <v>FCS320002</v>
          </cell>
          <cell r="F1204">
            <v>44</v>
          </cell>
          <cell r="G1204">
            <v>30</v>
          </cell>
          <cell r="H1204" t="str">
            <v>PATRPOBLETE@UTALCA.CL</v>
          </cell>
          <cell r="I1204">
            <v>43466</v>
          </cell>
          <cell r="J1204">
            <v>46446</v>
          </cell>
          <cell r="K1204" t="str">
            <v>CONTRATA</v>
          </cell>
          <cell r="L1204" t="str">
            <v>CA DOCENTE</v>
          </cell>
          <cell r="M1204" t="str">
            <v>INSTRUCTOR</v>
          </cell>
          <cell r="N1204" t="str">
            <v>GRADO D</v>
          </cell>
          <cell r="O1204" t="str">
            <v>MAGISTER</v>
          </cell>
          <cell r="P1204" t="str">
            <v>MAGISTER EN EDUCACION BASADA EN COMPETENCIAS</v>
          </cell>
          <cell r="Q1204" t="str">
            <v>TALCA</v>
          </cell>
          <cell r="R1204" t="str">
            <v>FACULTAD DE CIENCIAS DE LA SALUD</v>
          </cell>
          <cell r="S1204" t="str">
            <v>DEPARTAMENTO DE MICROBIOLOGÍA</v>
          </cell>
        </row>
        <row r="1205">
          <cell r="A1205">
            <v>17759748</v>
          </cell>
          <cell r="B1205" t="str">
            <v>17759748</v>
          </cell>
          <cell r="C1205" t="str">
            <v>1</v>
          </cell>
          <cell r="D1205" t="str">
            <v>CASTILLO CASTRO JOSE LEONARDO</v>
          </cell>
          <cell r="E1205" t="str">
            <v>FEN200001</v>
          </cell>
          <cell r="F1205">
            <v>44</v>
          </cell>
          <cell r="G1205">
            <v>30</v>
          </cell>
          <cell r="H1205" t="str">
            <v>JOSECASTILLO@UTALCA.CL</v>
          </cell>
          <cell r="I1205">
            <v>43466</v>
          </cell>
          <cell r="J1205">
            <v>46387</v>
          </cell>
          <cell r="K1205" t="str">
            <v>CONTRATA</v>
          </cell>
          <cell r="L1205" t="str">
            <v>PROFESIONAL</v>
          </cell>
          <cell r="M1205" t="str">
            <v>PROFESIONAL</v>
          </cell>
          <cell r="N1205" t="str">
            <v>GRADO I.17</v>
          </cell>
          <cell r="O1205" t="str">
            <v>MAGISTER</v>
          </cell>
          <cell r="P1205" t="str">
            <v>MAGISTER EN AGRONEGOCIOS INTERNACIONALES</v>
          </cell>
          <cell r="Q1205" t="str">
            <v>TALCA</v>
          </cell>
          <cell r="R1205" t="str">
            <v>FACULTAD DE ECONOMÍA Y NEGOCIOS</v>
          </cell>
          <cell r="S1205" t="str">
            <v>FACULTAD DE ECONOMÍA Y NEGOCIOS</v>
          </cell>
        </row>
        <row r="1206">
          <cell r="A1206">
            <v>17794679</v>
          </cell>
          <cell r="B1206" t="str">
            <v>17794679</v>
          </cell>
          <cell r="C1206" t="str">
            <v>6</v>
          </cell>
          <cell r="D1206" t="str">
            <v>MORALES TORRES VIVIANA DEL CAR</v>
          </cell>
          <cell r="E1206" t="str">
            <v>VGE400019</v>
          </cell>
          <cell r="F1206">
            <v>44</v>
          </cell>
          <cell r="G1206">
            <v>30</v>
          </cell>
          <cell r="H1206" t="str">
            <v>VIVIANA.MORALES@UTALCA.CL</v>
          </cell>
          <cell r="I1206">
            <v>44502</v>
          </cell>
          <cell r="J1206">
            <v>46387</v>
          </cell>
          <cell r="K1206" t="str">
            <v>CONTRATA</v>
          </cell>
          <cell r="L1206" t="str">
            <v>PROFESIONAL</v>
          </cell>
          <cell r="M1206" t="str">
            <v>PROFESIONAL</v>
          </cell>
          <cell r="N1206" t="str">
            <v>GRADO I.17</v>
          </cell>
          <cell r="O1206" t="str">
            <v>TÍTULO PROFESIONAL</v>
          </cell>
          <cell r="P1206" t="str">
            <v>INGENIERO CIVIL INDUSTRIAL</v>
          </cell>
          <cell r="Q1206" t="str">
            <v>TALCA</v>
          </cell>
          <cell r="R1206" t="str">
            <v>VIC. GESTIÓN ECONÓMICA Y ADMINISTRACIÓN</v>
          </cell>
          <cell r="S1206" t="str">
            <v>DPTO. DE GESTIÓN DE PAGO A PROVEEDORES</v>
          </cell>
        </row>
        <row r="1207">
          <cell r="A1207">
            <v>17795079</v>
          </cell>
          <cell r="B1207" t="str">
            <v>17795079</v>
          </cell>
          <cell r="C1207" t="str">
            <v>3</v>
          </cell>
          <cell r="D1207" t="str">
            <v>HERRERA TELLO ALEJANDRA BELEN</v>
          </cell>
          <cell r="E1207" t="str">
            <v>FPS340002</v>
          </cell>
          <cell r="F1207">
            <v>44</v>
          </cell>
          <cell r="G1207">
            <v>30</v>
          </cell>
          <cell r="H1207" t="str">
            <v>AHERRERA@UTALCA.CL</v>
          </cell>
          <cell r="I1207">
            <v>43466</v>
          </cell>
          <cell r="J1207">
            <v>46387</v>
          </cell>
          <cell r="K1207" t="str">
            <v>CONTRATA</v>
          </cell>
          <cell r="L1207" t="str">
            <v>PROFESIONAL</v>
          </cell>
          <cell r="M1207" t="str">
            <v>PROFESIONAL</v>
          </cell>
          <cell r="N1207" t="str">
            <v>GRADO I.17</v>
          </cell>
          <cell r="O1207" t="str">
            <v>MAGISTER</v>
          </cell>
          <cell r="P1207" t="str">
            <v>ALTA DIRECCION INTERNACIONAL</v>
          </cell>
          <cell r="Q1207" t="str">
            <v>TALCA</v>
          </cell>
          <cell r="R1207" t="str">
            <v>FACULTAD DE PSICOLOGÍA</v>
          </cell>
          <cell r="S1207" t="str">
            <v>CENTRO DE PSICOLOGÍA APLICADA</v>
          </cell>
        </row>
        <row r="1208">
          <cell r="A1208">
            <v>17815968</v>
          </cell>
          <cell r="B1208" t="str">
            <v>17815968</v>
          </cell>
          <cell r="C1208" t="str">
            <v>2</v>
          </cell>
          <cell r="D1208" t="str">
            <v>BELLEI TOBAR NICOLE ESTEFANIA</v>
          </cell>
          <cell r="E1208" t="str">
            <v>VAC400062</v>
          </cell>
          <cell r="F1208">
            <v>44</v>
          </cell>
          <cell r="G1208">
            <v>30</v>
          </cell>
          <cell r="H1208" t="str">
            <v>NBELLEI@UTALCA.CL</v>
          </cell>
          <cell r="I1208">
            <v>45017</v>
          </cell>
          <cell r="J1208">
            <v>46387</v>
          </cell>
          <cell r="K1208" t="str">
            <v>CONTRATA</v>
          </cell>
          <cell r="L1208" t="str">
            <v>PROFESIONAL</v>
          </cell>
          <cell r="M1208" t="str">
            <v>PROFESIONAL</v>
          </cell>
          <cell r="N1208" t="str">
            <v>GRADO I.17</v>
          </cell>
          <cell r="O1208" t="str">
            <v>TÍTULO PROFESIONAL</v>
          </cell>
          <cell r="P1208" t="str">
            <v>INGENIERA COMERCIAL EN ADMINISTRACION DE EMPR</v>
          </cell>
          <cell r="Q1208" t="str">
            <v>SANTIAGO</v>
          </cell>
          <cell r="R1208" t="str">
            <v>VICERRECTORÍA ACADÉMICA</v>
          </cell>
          <cell r="S1208" t="str">
            <v>UNIDAD DE COOPERACIÓN INTERNACIONAL</v>
          </cell>
        </row>
        <row r="1209">
          <cell r="A1209">
            <v>17820117</v>
          </cell>
          <cell r="B1209" t="str">
            <v>17820117</v>
          </cell>
          <cell r="C1209" t="str">
            <v>4</v>
          </cell>
          <cell r="D1209" t="str">
            <v>VERGARA MIGUELES NINETT DENNIS</v>
          </cell>
          <cell r="E1209" t="str">
            <v>FCI310005</v>
          </cell>
          <cell r="F1209">
            <v>44</v>
          </cell>
          <cell r="G1209">
            <v>30</v>
          </cell>
          <cell r="H1209" t="str">
            <v>NVERGARA@UTALCA.CL</v>
          </cell>
          <cell r="I1209">
            <v>43466</v>
          </cell>
          <cell r="J1209">
            <v>46387</v>
          </cell>
          <cell r="K1209" t="str">
            <v>CONTRATA</v>
          </cell>
          <cell r="L1209" t="str">
            <v>ADMINISTRATIVO</v>
          </cell>
          <cell r="M1209" t="str">
            <v>ADMINISTRATIVO</v>
          </cell>
          <cell r="N1209" t="str">
            <v>GRADO I.21</v>
          </cell>
          <cell r="O1209" t="str">
            <v>TÉC. NIVEL SUPERIOR</v>
          </cell>
          <cell r="P1209" t="str">
            <v>TÉCNICO DE NIVEL SUPERIOR EN ADMINISTRACIÓN D</v>
          </cell>
          <cell r="Q1209" t="str">
            <v>CURICO</v>
          </cell>
          <cell r="R1209" t="str">
            <v>FACULTAD DE INGENIERÍA</v>
          </cell>
          <cell r="S1209" t="str">
            <v>ESCUELA DE INGENIERÍA CIVIL ELÉCTRICA</v>
          </cell>
        </row>
        <row r="1210">
          <cell r="A1210">
            <v>17820612</v>
          </cell>
          <cell r="B1210" t="str">
            <v>17820612</v>
          </cell>
          <cell r="C1210" t="str">
            <v>5</v>
          </cell>
          <cell r="D1210" t="str">
            <v>SAZO AVILA JOSE ANTONIO</v>
          </cell>
          <cell r="E1210" t="str">
            <v>FCS320010</v>
          </cell>
          <cell r="F1210">
            <v>44</v>
          </cell>
          <cell r="G1210">
            <v>30</v>
          </cell>
          <cell r="H1210" t="str">
            <v>JSAZO@UTALCA.CL</v>
          </cell>
          <cell r="I1210">
            <v>43831</v>
          </cell>
          <cell r="J1210">
            <v>46446</v>
          </cell>
          <cell r="K1210" t="str">
            <v>CONTRATA</v>
          </cell>
          <cell r="L1210" t="str">
            <v>CA DOCENTE</v>
          </cell>
          <cell r="M1210" t="str">
            <v>PROFESOR ASISTENTE</v>
          </cell>
          <cell r="N1210" t="str">
            <v>GRADO C</v>
          </cell>
          <cell r="O1210" t="str">
            <v>DOCTORADO</v>
          </cell>
          <cell r="P1210" t="str">
            <v>DOCTOR EN FONOAUDIOLOGIA</v>
          </cell>
          <cell r="Q1210" t="str">
            <v>TALCA</v>
          </cell>
          <cell r="R1210" t="str">
            <v>FACULTAD DE CIENCIAS DE LA SALUD</v>
          </cell>
          <cell r="S1210" t="str">
            <v>DPTO. DE CIENCIAS DE FONOAUDIOLOGÍA</v>
          </cell>
        </row>
        <row r="1211">
          <cell r="A1211">
            <v>17822021</v>
          </cell>
          <cell r="B1211" t="str">
            <v>17822021</v>
          </cell>
          <cell r="C1211" t="str">
            <v>7</v>
          </cell>
          <cell r="D1211" t="str">
            <v>MUÑOZ MUÑOZ PATRICIA ANDREA</v>
          </cell>
          <cell r="E1211" t="str">
            <v>FAD310001</v>
          </cell>
          <cell r="F1211">
            <v>44</v>
          </cell>
          <cell r="G1211">
            <v>30</v>
          </cell>
          <cell r="H1211" t="str">
            <v>PATRICIA.MUNOZM@UTALCA.CL</v>
          </cell>
          <cell r="I1211">
            <v>45078</v>
          </cell>
          <cell r="J1211">
            <v>46387</v>
          </cell>
          <cell r="K1211" t="str">
            <v>CONTRATA</v>
          </cell>
          <cell r="L1211" t="str">
            <v>ADMINISTRATIVO</v>
          </cell>
          <cell r="M1211" t="str">
            <v>ADMINISTRATIVO</v>
          </cell>
          <cell r="N1211" t="str">
            <v>GRADO I.21</v>
          </cell>
          <cell r="O1211" t="str">
            <v>TÉC. NIVEL MEDIO</v>
          </cell>
          <cell r="P1211" t="str">
            <v>SECRETARIADO TÉCNICO NIVEL MEDIO</v>
          </cell>
          <cell r="Q1211" t="str">
            <v>TALCA</v>
          </cell>
          <cell r="R1211" t="str">
            <v>FACULTAD DE ARQUITECTUR, MÚSICA Y DISEÑO</v>
          </cell>
          <cell r="S1211" t="str">
            <v>ESCUELA DE ARQUITECTURA</v>
          </cell>
        </row>
        <row r="1212">
          <cell r="A1212">
            <v>17822075</v>
          </cell>
          <cell r="B1212" t="str">
            <v>17822075</v>
          </cell>
          <cell r="C1212" t="str">
            <v>6</v>
          </cell>
          <cell r="D1212" t="str">
            <v>SEPULVEDA MUÑOZ CARLOS ALEJAND</v>
          </cell>
          <cell r="E1212" t="str">
            <v/>
          </cell>
          <cell r="F1212">
            <v>40</v>
          </cell>
          <cell r="G1212">
            <v>30</v>
          </cell>
          <cell r="H1212" t="str">
            <v>CARSEPULVEDA@UTALCA.CL</v>
          </cell>
          <cell r="I1212">
            <v>44927</v>
          </cell>
          <cell r="J1212">
            <v>46387</v>
          </cell>
          <cell r="K1212" t="str">
            <v>CONTRATA</v>
          </cell>
          <cell r="L1212" t="str">
            <v>TÉCNICO</v>
          </cell>
          <cell r="M1212" t="str">
            <v>TÉCNICO</v>
          </cell>
          <cell r="N1212" t="str">
            <v>GRADO I.23</v>
          </cell>
          <cell r="O1212" t="str">
            <v>ESPECIAL. ODONTOLÓG.</v>
          </cell>
          <cell r="P1212" t="str">
            <v>LICEO TÉCNICO PROFESIONAL EL SAUCE</v>
          </cell>
          <cell r="Q1212" t="str">
            <v>TALCA</v>
          </cell>
          <cell r="R1212" t="str">
            <v>FACULTAD DE CIENCIAS AGRARÍAS</v>
          </cell>
          <cell r="S1212" t="str">
            <v>CENTRO TECNOLÓGICO DE SUELOS Y CULTIVOS</v>
          </cell>
        </row>
        <row r="1213">
          <cell r="A1213">
            <v>17822183</v>
          </cell>
          <cell r="B1213" t="str">
            <v>17822183</v>
          </cell>
          <cell r="C1213" t="str">
            <v>3</v>
          </cell>
          <cell r="D1213" t="str">
            <v>ACEVEDO CAMPOS ROSE MARY</v>
          </cell>
          <cell r="E1213" t="str">
            <v>FPS310002</v>
          </cell>
          <cell r="F1213">
            <v>44</v>
          </cell>
          <cell r="G1213">
            <v>30</v>
          </cell>
          <cell r="H1213" t="str">
            <v>ROSE.ACEVEDO@UTALCA.CL</v>
          </cell>
          <cell r="I1213">
            <v>44562</v>
          </cell>
          <cell r="J1213">
            <v>46387</v>
          </cell>
          <cell r="K1213" t="str">
            <v>CONTRATA</v>
          </cell>
          <cell r="L1213" t="str">
            <v>TÉCNICO</v>
          </cell>
          <cell r="M1213" t="str">
            <v>TÉCNICO</v>
          </cell>
          <cell r="N1213" t="str">
            <v>GRADO I.21</v>
          </cell>
          <cell r="O1213" t="str">
            <v>TÉC. NIVEL SUPERIOR</v>
          </cell>
          <cell r="P1213" t="str">
            <v>TECNICO EN ENFERMERIA DE NIVEL SUPERIOR</v>
          </cell>
          <cell r="Q1213" t="str">
            <v>TALCA</v>
          </cell>
          <cell r="R1213" t="str">
            <v>FACULTAD DE PSICOLOGÍA</v>
          </cell>
          <cell r="S1213" t="str">
            <v>ESCUELA DE TERAPIA OCUPACIONAL</v>
          </cell>
        </row>
        <row r="1214">
          <cell r="A1214">
            <v>17823008</v>
          </cell>
          <cell r="B1214" t="str">
            <v>17823008</v>
          </cell>
          <cell r="C1214" t="str">
            <v>5</v>
          </cell>
          <cell r="D1214" t="str">
            <v>MATEO RODRIGUEZ MARIA JOSE</v>
          </cell>
          <cell r="E1214" t="str">
            <v>VRF400043</v>
          </cell>
          <cell r="F1214">
            <v>44</v>
          </cell>
          <cell r="G1214">
            <v>30</v>
          </cell>
          <cell r="H1214" t="str">
            <v>MARIA.MATEO@UTALCA.CL</v>
          </cell>
          <cell r="I1214">
            <v>44197</v>
          </cell>
          <cell r="J1214">
            <v>46387</v>
          </cell>
          <cell r="K1214" t="str">
            <v>CONTRATA</v>
          </cell>
          <cell r="L1214" t="str">
            <v>PROFESIONAL</v>
          </cell>
          <cell r="M1214" t="str">
            <v>PROFESIONAL</v>
          </cell>
          <cell r="N1214" t="str">
            <v>GRADO I.17</v>
          </cell>
          <cell r="O1214" t="str">
            <v>TÍTULO PROFESIONAL</v>
          </cell>
          <cell r="P1214" t="str">
            <v>INGENIERO COMERCIAL</v>
          </cell>
          <cell r="Q1214" t="str">
            <v>TALCA</v>
          </cell>
          <cell r="R1214" t="str">
            <v>VICERRECTORÍA DE FORMACIÓN</v>
          </cell>
          <cell r="S1214" t="str">
            <v>DPTO. DE GESTIÓN DE INFORM. ESTUDIANTIL</v>
          </cell>
        </row>
        <row r="1215">
          <cell r="A1215">
            <v>17823612</v>
          </cell>
          <cell r="B1215" t="str">
            <v>17823612</v>
          </cell>
          <cell r="C1215" t="str">
            <v>1</v>
          </cell>
          <cell r="D1215" t="str">
            <v>ABURTO MUÑOZ VICTORIA TAMAR</v>
          </cell>
          <cell r="E1215" t="str">
            <v>FCS200001</v>
          </cell>
          <cell r="F1215">
            <v>22</v>
          </cell>
          <cell r="G1215">
            <v>30</v>
          </cell>
          <cell r="H1215" t="str">
            <v/>
          </cell>
          <cell r="I1215">
            <v>45762</v>
          </cell>
          <cell r="J1215">
            <v>46387</v>
          </cell>
          <cell r="K1215" t="str">
            <v>CONTRATA</v>
          </cell>
          <cell r="L1215" t="str">
            <v>TÉCNICO</v>
          </cell>
          <cell r="M1215" t="str">
            <v>TÉCNICO</v>
          </cell>
          <cell r="N1215" t="str">
            <v>GRADO I.23</v>
          </cell>
          <cell r="O1215" t="str">
            <v>TÉC. NIVEL SUPERIOR</v>
          </cell>
          <cell r="P1215" t="str">
            <v>TECNICO DE NIVEL SUPERIOR EN ENFERMERIA</v>
          </cell>
          <cell r="Q1215" t="str">
            <v>TALCA</v>
          </cell>
          <cell r="R1215" t="str">
            <v>FACULTAD DE CIENCIAS DE LA SALUD</v>
          </cell>
          <cell r="S1215" t="str">
            <v>FACULTAD DE CIENCIAS DE LA SALUD</v>
          </cell>
        </row>
        <row r="1216">
          <cell r="A1216">
            <v>17823980</v>
          </cell>
          <cell r="B1216" t="str">
            <v>17823980</v>
          </cell>
          <cell r="C1216" t="str">
            <v>5</v>
          </cell>
          <cell r="D1216" t="str">
            <v>SEPULVEDA NAVARRETE LUISA DEL</v>
          </cell>
          <cell r="E1216" t="str">
            <v>VGE400003</v>
          </cell>
          <cell r="F1216">
            <v>44</v>
          </cell>
          <cell r="G1216">
            <v>30</v>
          </cell>
          <cell r="H1216" t="str">
            <v>L.SEPULVEDA@UTALCA.CL</v>
          </cell>
          <cell r="I1216">
            <v>43101</v>
          </cell>
          <cell r="J1216">
            <v>46387</v>
          </cell>
          <cell r="K1216" t="str">
            <v>CONTRATA</v>
          </cell>
          <cell r="L1216" t="str">
            <v>ADMINISTRATIVO</v>
          </cell>
          <cell r="M1216" t="str">
            <v>ADMINISTRATIVO</v>
          </cell>
          <cell r="N1216" t="str">
            <v>GRADO I.21</v>
          </cell>
          <cell r="O1216" t="str">
            <v>TÉC. NIVEL MEDIO</v>
          </cell>
          <cell r="P1216" t="str">
            <v>CONTADOR TÉCNICO DE NIVEL MEDIO</v>
          </cell>
          <cell r="Q1216" t="str">
            <v>TALCA</v>
          </cell>
          <cell r="R1216" t="str">
            <v>VIC. GESTIÓN ECONÓMICA Y ADMINISTRACIÓN</v>
          </cell>
          <cell r="S1216" t="str">
            <v>DEPARTAMENTO DE GESTIÓN DE PERSONAS</v>
          </cell>
        </row>
        <row r="1217">
          <cell r="A1217">
            <v>17823987</v>
          </cell>
          <cell r="B1217" t="str">
            <v>17823987</v>
          </cell>
          <cell r="C1217" t="str">
            <v>2</v>
          </cell>
          <cell r="D1217" t="str">
            <v>ESPINA ANDRADE BARBARA FRANCIS</v>
          </cell>
          <cell r="E1217" t="str">
            <v>FOD350001</v>
          </cell>
          <cell r="F1217">
            <v>44</v>
          </cell>
          <cell r="G1217">
            <v>30</v>
          </cell>
          <cell r="H1217" t="str">
            <v>BARBARA.ESPINA@UTALCA.CL</v>
          </cell>
          <cell r="I1217">
            <v>45261</v>
          </cell>
          <cell r="J1217">
            <v>46387</v>
          </cell>
          <cell r="K1217" t="str">
            <v>CONTRATA</v>
          </cell>
          <cell r="L1217" t="str">
            <v>TÉCNICO</v>
          </cell>
          <cell r="M1217" t="str">
            <v>TÉCNICO</v>
          </cell>
          <cell r="N1217" t="str">
            <v>GRADO I.23</v>
          </cell>
          <cell r="O1217" t="str">
            <v>TÉC. NIVEL SUPERIOR</v>
          </cell>
          <cell r="P1217" t="str">
            <v>TECNICO DE NIVEL SUPERIOR EN ENFERMERIA</v>
          </cell>
          <cell r="Q1217" t="str">
            <v>TALCA</v>
          </cell>
          <cell r="R1217" t="str">
            <v>FACULTAD DE ODONTOLOGÍA</v>
          </cell>
          <cell r="S1217" t="str">
            <v>CLÍNICAS ODONTOLÓGICAS</v>
          </cell>
        </row>
        <row r="1218">
          <cell r="A1218">
            <v>17824253</v>
          </cell>
          <cell r="B1218" t="str">
            <v>17824253</v>
          </cell>
          <cell r="C1218" t="str">
            <v>9</v>
          </cell>
          <cell r="D1218" t="str">
            <v>ARNAOU PARADA FRANCISCO JAVIER</v>
          </cell>
          <cell r="E1218" t="str">
            <v>ADC014003</v>
          </cell>
          <cell r="F1218">
            <v>44</v>
          </cell>
          <cell r="G1218">
            <v>30</v>
          </cell>
          <cell r="H1218" t="str">
            <v>FRANCISCO.ARNAOU@UTALCA.CL</v>
          </cell>
          <cell r="I1218">
            <v>44562</v>
          </cell>
          <cell r="J1218">
            <v>46387</v>
          </cell>
          <cell r="K1218" t="str">
            <v>CONTRATA</v>
          </cell>
          <cell r="L1218" t="str">
            <v>AUXILIAR</v>
          </cell>
          <cell r="M1218" t="str">
            <v>AUXILIAR</v>
          </cell>
          <cell r="N1218" t="str">
            <v>GRADO I.24</v>
          </cell>
          <cell r="O1218" t="str">
            <v>TÉC. NIVEL SUPERIOR</v>
          </cell>
          <cell r="P1218" t="str">
            <v>TECNICO DE NIVEL SUPERIOR</v>
          </cell>
          <cell r="Q1218" t="str">
            <v>TALCA</v>
          </cell>
          <cell r="R1218" t="str">
            <v>SECRETARÍA GENERAL</v>
          </cell>
          <cell r="S1218" t="str">
            <v>OFICINA DE PARTES</v>
          </cell>
        </row>
        <row r="1219">
          <cell r="A1219">
            <v>17824299</v>
          </cell>
          <cell r="B1219" t="str">
            <v>17824299</v>
          </cell>
          <cell r="C1219" t="str">
            <v>7</v>
          </cell>
          <cell r="D1219" t="str">
            <v>MIRANDA SALAS ROBINSON NICOLAS</v>
          </cell>
          <cell r="E1219" t="str">
            <v>VGE400054</v>
          </cell>
          <cell r="F1219">
            <v>44</v>
          </cell>
          <cell r="G1219">
            <v>30</v>
          </cell>
          <cell r="H1219" t="str">
            <v>NICOLAS.MIRANDA@UTALCA.CL</v>
          </cell>
          <cell r="I1219">
            <v>44562</v>
          </cell>
          <cell r="J1219">
            <v>46387</v>
          </cell>
          <cell r="K1219" t="str">
            <v>CONTRATA</v>
          </cell>
          <cell r="L1219" t="str">
            <v>TÉCNICO</v>
          </cell>
          <cell r="M1219" t="str">
            <v>TÉCNICO</v>
          </cell>
          <cell r="N1219" t="str">
            <v>GRADO I.21</v>
          </cell>
          <cell r="O1219" t="str">
            <v>TÉC. NIVEL SUPERIOR</v>
          </cell>
          <cell r="P1219" t="str">
            <v>TÉCNICO NIVEL SUPERIOR EN PROGRAMACIÓN C</v>
          </cell>
          <cell r="Q1219" t="str">
            <v>TALCA</v>
          </cell>
          <cell r="R1219" t="str">
            <v>VIC. GESTIÓN ECONÓMICA Y ADMINISTRACIÓN</v>
          </cell>
          <cell r="S1219" t="str">
            <v>DEPARTAMENTO DE SERVICIOS  Y PROCESOS TI</v>
          </cell>
        </row>
        <row r="1220">
          <cell r="A1220">
            <v>17825018</v>
          </cell>
          <cell r="B1220" t="str">
            <v>17825018</v>
          </cell>
          <cell r="C1220" t="str">
            <v>3</v>
          </cell>
          <cell r="D1220" t="str">
            <v>ASTORGA BRAVO DIEGO MAXIMILIAN</v>
          </cell>
          <cell r="E1220" t="str">
            <v>VGE400006</v>
          </cell>
          <cell r="F1220">
            <v>44</v>
          </cell>
          <cell r="G1220">
            <v>30</v>
          </cell>
          <cell r="H1220" t="str">
            <v>DIEGO.ASTORGA@UTALCA.CL</v>
          </cell>
          <cell r="I1220">
            <v>45418</v>
          </cell>
          <cell r="J1220">
            <v>46387</v>
          </cell>
          <cell r="K1220" t="str">
            <v>CONTRATA</v>
          </cell>
          <cell r="L1220" t="str">
            <v>PROFESIONAL</v>
          </cell>
          <cell r="M1220" t="str">
            <v>PROFESIONAL</v>
          </cell>
          <cell r="N1220" t="str">
            <v>GRADO I.17</v>
          </cell>
          <cell r="O1220" t="str">
            <v>TÍTULO PROFESIONAL</v>
          </cell>
          <cell r="P1220" t="str">
            <v>INGENIERO EN EJECUCION DE ADMINISTRACIÓN DE E</v>
          </cell>
          <cell r="Q1220" t="str">
            <v>TALCA</v>
          </cell>
          <cell r="R1220" t="str">
            <v>VIC. GESTIÓN ECONÓMICA Y ADMINISTRACIÓN</v>
          </cell>
          <cell r="S1220" t="str">
            <v>BIENESTAR DEL PERSONAL</v>
          </cell>
        </row>
        <row r="1221">
          <cell r="A1221">
            <v>17825068</v>
          </cell>
          <cell r="B1221" t="str">
            <v>17825068</v>
          </cell>
          <cell r="C1221" t="str">
            <v>K</v>
          </cell>
          <cell r="D1221" t="str">
            <v>HENRIQUEZ FIGUEROA ELIZABET RO</v>
          </cell>
          <cell r="E1221" t="str">
            <v>VDE400009</v>
          </cell>
          <cell r="F1221">
            <v>40</v>
          </cell>
          <cell r="G1221">
            <v>30</v>
          </cell>
          <cell r="H1221" t="str">
            <v>EHENRIQUEZ@UTALCA.CL</v>
          </cell>
          <cell r="I1221">
            <v>43101</v>
          </cell>
          <cell r="J1221">
            <v>46387</v>
          </cell>
          <cell r="K1221" t="str">
            <v>CONTRATA</v>
          </cell>
          <cell r="L1221" t="str">
            <v>ADMINISTRATIVO</v>
          </cell>
          <cell r="M1221" t="str">
            <v>ADMINISTRATIVO</v>
          </cell>
          <cell r="N1221" t="str">
            <v>GRADO I.21</v>
          </cell>
          <cell r="O1221" t="str">
            <v>TÉC. NIVEL SUPERIOR</v>
          </cell>
          <cell r="P1221" t="str">
            <v>TÉCNICO DE NIVEL SUPERIOR EN ENFERMERÍA</v>
          </cell>
          <cell r="Q1221" t="str">
            <v>TALCA</v>
          </cell>
          <cell r="R1221" t="str">
            <v>VICERRECTORÍA DE DESARROLLO ESTUDIANTIL</v>
          </cell>
          <cell r="S1221" t="str">
            <v>DIRECCIÓN DE SALUD ESTUDIANTIL</v>
          </cell>
        </row>
        <row r="1222">
          <cell r="A1222">
            <v>17825457</v>
          </cell>
          <cell r="B1222" t="str">
            <v>17825457</v>
          </cell>
          <cell r="C1222" t="str">
            <v>K</v>
          </cell>
          <cell r="D1222" t="str">
            <v>ROJAS OPAZO JORGE IGNACIO</v>
          </cell>
          <cell r="E1222" t="str">
            <v>FCJ200001</v>
          </cell>
          <cell r="F1222">
            <v>44</v>
          </cell>
          <cell r="G1222">
            <v>30</v>
          </cell>
          <cell r="H1222" t="str">
            <v>JORGEROJAS@UTALCA.CL</v>
          </cell>
          <cell r="I1222">
            <v>43466</v>
          </cell>
          <cell r="J1222">
            <v>46387</v>
          </cell>
          <cell r="K1222" t="str">
            <v>CONTRATA</v>
          </cell>
          <cell r="L1222" t="str">
            <v>PROFESIONAL</v>
          </cell>
          <cell r="M1222" t="str">
            <v>PROFESIONAL</v>
          </cell>
          <cell r="N1222" t="str">
            <v>GRADO I.17</v>
          </cell>
          <cell r="O1222" t="str">
            <v>MAGISTER</v>
          </cell>
          <cell r="P1222" t="str">
            <v>MAGÍSTER EN ADMINSTRACIÓN DE EMPRESAS-EXECUTI</v>
          </cell>
          <cell r="Q1222" t="str">
            <v>TALCA</v>
          </cell>
          <cell r="R1222" t="str">
            <v>FACULTAD CIENCIAS JURÍDICAS Y SOCIALES</v>
          </cell>
          <cell r="S1222" t="str">
            <v>FACULTAD CIENCIAS JURÍDICAS Y SOCIALES</v>
          </cell>
        </row>
        <row r="1223">
          <cell r="A1223">
            <v>17840394</v>
          </cell>
          <cell r="B1223" t="str">
            <v>17840394</v>
          </cell>
          <cell r="C1223" t="str">
            <v>K</v>
          </cell>
          <cell r="D1223" t="str">
            <v>CASTILLO OLIVARES FRANCISCA VI</v>
          </cell>
          <cell r="E1223" t="str">
            <v>VRF400004</v>
          </cell>
          <cell r="F1223">
            <v>44</v>
          </cell>
          <cell r="G1223">
            <v>30</v>
          </cell>
          <cell r="H1223" t="str">
            <v>FRANCISCA.CASTILLO@UTALCA.CL</v>
          </cell>
          <cell r="I1223">
            <v>45580</v>
          </cell>
          <cell r="J1223">
            <v>46387</v>
          </cell>
          <cell r="K1223" t="str">
            <v>CONTRATA</v>
          </cell>
          <cell r="L1223" t="str">
            <v>PROFESIONAL</v>
          </cell>
          <cell r="M1223" t="str">
            <v>PROFESIONAL</v>
          </cell>
          <cell r="N1223" t="str">
            <v>GRADO I.17</v>
          </cell>
          <cell r="O1223" t="str">
            <v>TÍTULO PROFESIONAL</v>
          </cell>
          <cell r="P1223" t="str">
            <v>PROFESORA DE EDUCACIÓN FISICA</v>
          </cell>
          <cell r="Q1223" t="str">
            <v>TALCA</v>
          </cell>
          <cell r="R1223" t="str">
            <v>VICERRECTORÍA DE FORMACIÓN</v>
          </cell>
          <cell r="S1223" t="str">
            <v>PROGRAMA DE DEPORTES</v>
          </cell>
        </row>
        <row r="1224">
          <cell r="A1224">
            <v>17853797</v>
          </cell>
          <cell r="B1224" t="str">
            <v>17853797</v>
          </cell>
          <cell r="C1224" t="str">
            <v>0</v>
          </cell>
          <cell r="D1224" t="str">
            <v>GUERRERO CASTRO PABLO ENRIQUE</v>
          </cell>
          <cell r="E1224" t="str">
            <v>VRF400022</v>
          </cell>
          <cell r="F1224">
            <v>44</v>
          </cell>
          <cell r="G1224">
            <v>30</v>
          </cell>
          <cell r="H1224" t="str">
            <v>PGUERRERO@UTALCA.CL</v>
          </cell>
          <cell r="I1224">
            <v>44197</v>
          </cell>
          <cell r="J1224">
            <v>46387</v>
          </cell>
          <cell r="K1224" t="str">
            <v>CONTRATA</v>
          </cell>
          <cell r="L1224" t="str">
            <v>PROFESIONAL</v>
          </cell>
          <cell r="M1224" t="str">
            <v>PROFESIONAL</v>
          </cell>
          <cell r="N1224" t="str">
            <v>GRADO I.17</v>
          </cell>
          <cell r="O1224" t="str">
            <v>MAGISTER</v>
          </cell>
          <cell r="P1224" t="str">
            <v>MASTER EN INNOVACION Y EMPRENDIMIENTO</v>
          </cell>
          <cell r="Q1224" t="str">
            <v>TALCA</v>
          </cell>
          <cell r="R1224" t="str">
            <v>VICERRECTORÍA DE FORMACIÓN</v>
          </cell>
          <cell r="S1224" t="str">
            <v>UNIDAD DE PROMOCIÓN Y ACOMPAÑAMIENTO</v>
          </cell>
        </row>
        <row r="1225">
          <cell r="A1225">
            <v>17854680</v>
          </cell>
          <cell r="B1225" t="str">
            <v>17854680</v>
          </cell>
          <cell r="C1225" t="str">
            <v>5</v>
          </cell>
          <cell r="D1225" t="str">
            <v>PALAVECINOS ALARCON MATIAS IGN</v>
          </cell>
          <cell r="E1225" t="str">
            <v>VDE400009</v>
          </cell>
          <cell r="F1225">
            <v>44</v>
          </cell>
          <cell r="G1225">
            <v>30</v>
          </cell>
          <cell r="H1225" t="str">
            <v>MPALAVECINOS@UTALCA.CL</v>
          </cell>
          <cell r="I1225">
            <v>43101</v>
          </cell>
          <cell r="J1225">
            <v>46387</v>
          </cell>
          <cell r="K1225" t="str">
            <v>CONTRATA</v>
          </cell>
          <cell r="L1225" t="str">
            <v>ADMINISTRATIVO</v>
          </cell>
          <cell r="M1225" t="str">
            <v>ADMINISTRATIVO</v>
          </cell>
          <cell r="N1225" t="str">
            <v>GRADO I.21</v>
          </cell>
          <cell r="O1225" t="str">
            <v>TÉC. NIVEL SUPERIOR</v>
          </cell>
          <cell r="P1225" t="str">
            <v>TÉCNICO DE NIVEL SUPERIOR EN ENFERMERIA</v>
          </cell>
          <cell r="Q1225" t="str">
            <v>LINARES</v>
          </cell>
          <cell r="R1225" t="str">
            <v>VICERRECTORÍA DE DESARROLLO ESTUDIANTIL</v>
          </cell>
          <cell r="S1225" t="str">
            <v>DIRECCIÓN DE SALUD ESTUDIANTIL</v>
          </cell>
        </row>
        <row r="1226">
          <cell r="A1226">
            <v>17854685</v>
          </cell>
          <cell r="B1226" t="str">
            <v>17854685</v>
          </cell>
          <cell r="C1226" t="str">
            <v>6</v>
          </cell>
          <cell r="D1226" t="str">
            <v>OSSES VALDERRAMA GUISELA IVONN</v>
          </cell>
          <cell r="E1226" t="str">
            <v>FEN310004</v>
          </cell>
          <cell r="F1226">
            <v>44</v>
          </cell>
          <cell r="G1226">
            <v>30</v>
          </cell>
          <cell r="H1226" t="str">
            <v>GUISELA.OSSES@UTALCA.CL</v>
          </cell>
          <cell r="I1226">
            <v>44835</v>
          </cell>
          <cell r="J1226">
            <v>46446</v>
          </cell>
          <cell r="K1226" t="str">
            <v>CONTRATA</v>
          </cell>
          <cell r="L1226" t="str">
            <v>CA DOCENTE</v>
          </cell>
          <cell r="M1226" t="str">
            <v>INSTRUCTOR</v>
          </cell>
          <cell r="N1226" t="str">
            <v>GRADO D</v>
          </cell>
          <cell r="O1226" t="str">
            <v>MAGISTER</v>
          </cell>
          <cell r="P1226" t="str">
            <v>MAGISTER EN DIRECCIÓN Y PLANIFICACIÓN TRIBUTA</v>
          </cell>
          <cell r="Q1226" t="str">
            <v>TALCA</v>
          </cell>
          <cell r="R1226" t="str">
            <v>FACULTAD DE ECONOMÍA Y NEGOCIOS</v>
          </cell>
          <cell r="S1226" t="str">
            <v>ESC. AUDITORIA Y CONTROL DE GESTIÓN TLCA</v>
          </cell>
        </row>
        <row r="1227">
          <cell r="A1227">
            <v>17854755</v>
          </cell>
          <cell r="B1227" t="str">
            <v>17854755</v>
          </cell>
          <cell r="C1227" t="str">
            <v>0</v>
          </cell>
          <cell r="D1227" t="str">
            <v>RODRIGUEZ INOSTROZA ELIZABETH</v>
          </cell>
          <cell r="E1227" t="str">
            <v>VGE400031</v>
          </cell>
          <cell r="F1227">
            <v>44</v>
          </cell>
          <cell r="G1227">
            <v>30</v>
          </cell>
          <cell r="H1227" t="str">
            <v>ELIZABETH.RODRIGUEZ@UTALCA.CL</v>
          </cell>
          <cell r="I1227">
            <v>44409</v>
          </cell>
          <cell r="J1227">
            <v>46387</v>
          </cell>
          <cell r="K1227" t="str">
            <v>CONTRATA</v>
          </cell>
          <cell r="L1227" t="str">
            <v>PROFESIONAL</v>
          </cell>
          <cell r="M1227" t="str">
            <v>PROFESIONAL</v>
          </cell>
          <cell r="N1227" t="str">
            <v>GRADO I.17</v>
          </cell>
          <cell r="O1227" t="str">
            <v>TÍTULO PROFESIONAL</v>
          </cell>
          <cell r="P1227" t="str">
            <v>INGENIERA EN INFORMÁTICA</v>
          </cell>
          <cell r="Q1227" t="str">
            <v>TALCA</v>
          </cell>
          <cell r="R1227" t="str">
            <v>VIC. GESTIÓN ECONÓMICA Y ADMINISTRACIÓN</v>
          </cell>
          <cell r="S1227" t="str">
            <v>DPTO. DE APOYO FINANCIERO AL ESTUDIANTE</v>
          </cell>
        </row>
        <row r="1228">
          <cell r="A1228">
            <v>17855013</v>
          </cell>
          <cell r="B1228" t="str">
            <v>17855013</v>
          </cell>
          <cell r="C1228" t="str">
            <v>6</v>
          </cell>
          <cell r="D1228" t="str">
            <v>FUENTEALBA JORQUERA ANA VICTOR</v>
          </cell>
          <cell r="E1228" t="str">
            <v>FCI340001</v>
          </cell>
          <cell r="F1228">
            <v>44</v>
          </cell>
          <cell r="G1228">
            <v>30</v>
          </cell>
          <cell r="H1228" t="str">
            <v>ANA.FUENTEALBA@UTALCA.CL</v>
          </cell>
          <cell r="I1228">
            <v>45078</v>
          </cell>
          <cell r="J1228">
            <v>46387</v>
          </cell>
          <cell r="K1228" t="str">
            <v>CONTRATA</v>
          </cell>
          <cell r="L1228" t="str">
            <v>PROFESIONAL</v>
          </cell>
          <cell r="M1228" t="str">
            <v>PROFESIONAL</v>
          </cell>
          <cell r="N1228" t="str">
            <v>GRADO I.17</v>
          </cell>
          <cell r="O1228" t="str">
            <v>TÍTULO PROFESIONAL</v>
          </cell>
          <cell r="P1228" t="str">
            <v>INGENIERO CIVIL EN BIOINFORMATICA</v>
          </cell>
          <cell r="Q1228" t="str">
            <v>CURICO</v>
          </cell>
          <cell r="R1228" t="str">
            <v>FACULTAD DE INGENIERÍA</v>
          </cell>
          <cell r="S1228" t="str">
            <v>FACULTAD DE INGENIERÍA</v>
          </cell>
        </row>
        <row r="1229">
          <cell r="A1229">
            <v>17855014</v>
          </cell>
          <cell r="B1229" t="str">
            <v>17855014</v>
          </cell>
          <cell r="C1229" t="str">
            <v>4</v>
          </cell>
          <cell r="D1229" t="str">
            <v>GONZALEZ DIAZ JAIME JOSE</v>
          </cell>
          <cell r="E1229" t="str">
            <v>FAM200001</v>
          </cell>
          <cell r="F1229">
            <v>44</v>
          </cell>
          <cell r="G1229">
            <v>30</v>
          </cell>
          <cell r="H1229" t="str">
            <v>JAIME.GONZALEZDIAZ@UTALCA.CL</v>
          </cell>
          <cell r="I1229">
            <v>43466</v>
          </cell>
          <cell r="J1229">
            <v>46387</v>
          </cell>
          <cell r="K1229" t="str">
            <v>CONTRATA</v>
          </cell>
          <cell r="L1229" t="str">
            <v>PROFESIONAL</v>
          </cell>
          <cell r="M1229" t="str">
            <v>PROFESIONAL</v>
          </cell>
          <cell r="N1229" t="str">
            <v>GRADO I.17</v>
          </cell>
          <cell r="O1229" t="str">
            <v>TÍTULO PROFESIONAL</v>
          </cell>
          <cell r="P1229" t="str">
            <v>INGENIERO EN BIOINFORMÁTICA</v>
          </cell>
          <cell r="Q1229" t="str">
            <v>TALCA</v>
          </cell>
          <cell r="R1229" t="str">
            <v>FACULTAD DE MEDICINA</v>
          </cell>
          <cell r="S1229" t="str">
            <v>LAB. DE SIMULACIÓN E INFORMÁTICA BIOMÉD.</v>
          </cell>
        </row>
        <row r="1230">
          <cell r="A1230">
            <v>17883054</v>
          </cell>
          <cell r="B1230" t="str">
            <v>17883054</v>
          </cell>
          <cell r="C1230" t="str">
            <v>6</v>
          </cell>
          <cell r="D1230" t="str">
            <v>GONZALEZ PALMA FELIPE ADOLFO</v>
          </cell>
          <cell r="E1230" t="str">
            <v>FCI310008</v>
          </cell>
          <cell r="F1230">
            <v>44</v>
          </cell>
          <cell r="G1230">
            <v>30</v>
          </cell>
          <cell r="H1230" t="str">
            <v>FELIPE.GONZALEZ@UTALCA.CL</v>
          </cell>
          <cell r="I1230">
            <v>44197</v>
          </cell>
          <cell r="J1230">
            <v>46387</v>
          </cell>
          <cell r="K1230" t="str">
            <v>CONTRATA</v>
          </cell>
          <cell r="L1230" t="str">
            <v>PROFESIONAL</v>
          </cell>
          <cell r="M1230" t="str">
            <v>PROFESIONAL</v>
          </cell>
          <cell r="N1230" t="str">
            <v>GRADO I.17</v>
          </cell>
          <cell r="O1230" t="str">
            <v>TÍTULO PROFESIONAL</v>
          </cell>
          <cell r="P1230" t="str">
            <v>INGENIERO CIVIL MECATRÓNICO</v>
          </cell>
          <cell r="Q1230" t="str">
            <v>CURICO</v>
          </cell>
          <cell r="R1230" t="str">
            <v>FACULTAD DE INGENIERÍA</v>
          </cell>
          <cell r="S1230" t="str">
            <v>ESC. DE INGENIERÍA CIVIL EN MECATRÓNICA</v>
          </cell>
        </row>
        <row r="1231">
          <cell r="A1231">
            <v>17883209</v>
          </cell>
          <cell r="B1231" t="str">
            <v>17883209</v>
          </cell>
          <cell r="C1231" t="str">
            <v>3</v>
          </cell>
          <cell r="D1231" t="str">
            <v>HERNANDEZ OLIVOS ROMINA PAZ</v>
          </cell>
          <cell r="E1231" t="str">
            <v>FOD200001</v>
          </cell>
          <cell r="F1231">
            <v>11</v>
          </cell>
          <cell r="G1231">
            <v>30</v>
          </cell>
          <cell r="H1231" t="str">
            <v>ROMHERNANDEZ@UTALCA.CL</v>
          </cell>
          <cell r="I1231">
            <v>45047</v>
          </cell>
          <cell r="J1231">
            <v>46387</v>
          </cell>
          <cell r="K1231" t="str">
            <v>CONTRATA</v>
          </cell>
          <cell r="L1231" t="str">
            <v>C ESPECIALES</v>
          </cell>
          <cell r="M1231" t="str">
            <v>TUTOR(A) PRÁCTICA</v>
          </cell>
          <cell r="N1231" t="str">
            <v>SIN GRADO</v>
          </cell>
          <cell r="O1231" t="str">
            <v>MAGISTER</v>
          </cell>
          <cell r="P1231" t="str">
            <v>MAGISTER EN CIENCIAS BIOMEDICAS</v>
          </cell>
          <cell r="Q1231" t="str">
            <v>TALCA</v>
          </cell>
          <cell r="R1231" t="str">
            <v>FACULTAD DE ODONTOLOGÍA</v>
          </cell>
          <cell r="S1231" t="str">
            <v>FACULTAD DE ODONTOLOGÍA</v>
          </cell>
        </row>
        <row r="1232">
          <cell r="A1232">
            <v>17883314</v>
          </cell>
          <cell r="B1232" t="str">
            <v>17883314</v>
          </cell>
          <cell r="C1232" t="str">
            <v>6</v>
          </cell>
          <cell r="D1232" t="str">
            <v>GUTIÉRREZ AGUILERA BARBARA DAN</v>
          </cell>
          <cell r="E1232" t="str">
            <v>VRF100001</v>
          </cell>
          <cell r="F1232">
            <v>44</v>
          </cell>
          <cell r="G1232">
            <v>30</v>
          </cell>
          <cell r="H1232" t="str">
            <v>BARBARA.GUTIERREZ@UTALCA.CL</v>
          </cell>
          <cell r="I1232">
            <v>44986</v>
          </cell>
          <cell r="J1232">
            <v>46387</v>
          </cell>
          <cell r="K1232" t="str">
            <v>CONTRATA</v>
          </cell>
          <cell r="L1232" t="str">
            <v>C ESPECIALES</v>
          </cell>
          <cell r="M1232" t="str">
            <v>TUTOR(A) PRÁCTICA</v>
          </cell>
          <cell r="N1232" t="str">
            <v>SIN GRADO</v>
          </cell>
          <cell r="O1232" t="str">
            <v>TÍTULO PROFESIONAL</v>
          </cell>
          <cell r="P1232" t="str">
            <v>PROFESOR DE EDUCACION FISICA</v>
          </cell>
          <cell r="Q1232" t="str">
            <v>CURICO</v>
          </cell>
          <cell r="R1232" t="str">
            <v>VICERRECTORÍA DE FORMACIÓN</v>
          </cell>
          <cell r="S1232" t="str">
            <v>VICERRECTORÍA DE FORMACIÓN</v>
          </cell>
        </row>
        <row r="1233">
          <cell r="A1233">
            <v>17883593</v>
          </cell>
          <cell r="B1233" t="str">
            <v>17883593</v>
          </cell>
          <cell r="C1233" t="str">
            <v>9</v>
          </cell>
          <cell r="D1233" t="str">
            <v>DIAZ BRICEÑO VALERIA VALENTINA</v>
          </cell>
          <cell r="E1233" t="str">
            <v/>
          </cell>
          <cell r="F1233">
            <v>44</v>
          </cell>
          <cell r="G1233">
            <v>30</v>
          </cell>
          <cell r="H1233" t="str">
            <v>VDIAZ@UTALCA.CL</v>
          </cell>
          <cell r="I1233">
            <v>44927</v>
          </cell>
          <cell r="J1233">
            <v>46387</v>
          </cell>
          <cell r="K1233" t="str">
            <v>CONTRATA</v>
          </cell>
          <cell r="L1233" t="str">
            <v>PROFESIONAL</v>
          </cell>
          <cell r="M1233" t="str">
            <v>PROFESIONAL</v>
          </cell>
          <cell r="N1233" t="str">
            <v>GRADO I.17</v>
          </cell>
          <cell r="O1233" t="str">
            <v>TÍTULO PROFESIONAL</v>
          </cell>
          <cell r="P1233" t="str">
            <v>ASISTENTE SOCIAL</v>
          </cell>
          <cell r="Q1233" t="str">
            <v>TALCA</v>
          </cell>
          <cell r="R1233" t="str">
            <v>VICERRECTORÍA DE FORMACIÓN</v>
          </cell>
          <cell r="S1233" t="str">
            <v>UN. DE ACOMPAÑAMIENTO ESTUDIANTIL (CIMA)</v>
          </cell>
        </row>
        <row r="1234">
          <cell r="A1234">
            <v>17884681</v>
          </cell>
          <cell r="B1234" t="str">
            <v>17884681</v>
          </cell>
          <cell r="C1234" t="str">
            <v>7</v>
          </cell>
          <cell r="D1234" t="str">
            <v>VIVANCO GARRIDO DENISSE</v>
          </cell>
          <cell r="E1234" t="str">
            <v>FED310009</v>
          </cell>
          <cell r="F1234">
            <v>44</v>
          </cell>
          <cell r="G1234">
            <v>30</v>
          </cell>
          <cell r="H1234" t="str">
            <v>DENISSE.VIVANCO@UTALCA.CL</v>
          </cell>
          <cell r="I1234">
            <v>44256</v>
          </cell>
          <cell r="J1234">
            <v>46387</v>
          </cell>
          <cell r="K1234" t="str">
            <v>CONTRATA</v>
          </cell>
          <cell r="L1234" t="str">
            <v>TÉCNICO</v>
          </cell>
          <cell r="M1234" t="str">
            <v>TÉCNICO</v>
          </cell>
          <cell r="N1234" t="str">
            <v>GRADO I.21</v>
          </cell>
          <cell r="O1234" t="str">
            <v>TÉC. NIVEL MEDIO</v>
          </cell>
          <cell r="P1234" t="str">
            <v>TECNICO NIVEL MEDIO EN LABORATORIO QUIMICO</v>
          </cell>
          <cell r="Q1234" t="str">
            <v>LINARES</v>
          </cell>
          <cell r="R1234" t="str">
            <v>FACULTAD DE CIENCIAS DE LA EDUCACIÓN</v>
          </cell>
          <cell r="S1234" t="str">
            <v>ESC. PDG.CIENCIAS NATURALES Y EXACTAS</v>
          </cell>
        </row>
        <row r="1235">
          <cell r="A1235">
            <v>17884886</v>
          </cell>
          <cell r="B1235" t="str">
            <v>17884886</v>
          </cell>
          <cell r="C1235" t="str">
            <v>0</v>
          </cell>
          <cell r="D1235" t="str">
            <v>RECABARREN LEIVA DANIELA ROCIO</v>
          </cell>
          <cell r="E1235" t="str">
            <v>FCS320003</v>
          </cell>
          <cell r="F1235">
            <v>44</v>
          </cell>
          <cell r="G1235">
            <v>30</v>
          </cell>
          <cell r="H1235" t="str">
            <v>DRECABARREN@UTALCA.CL</v>
          </cell>
          <cell r="I1235">
            <v>45139</v>
          </cell>
          <cell r="J1235">
            <v>46446</v>
          </cell>
          <cell r="K1235" t="str">
            <v>CONTRATA</v>
          </cell>
          <cell r="L1235" t="str">
            <v>CA DOCENTE</v>
          </cell>
          <cell r="M1235" t="str">
            <v>INSTRUCTOR</v>
          </cell>
          <cell r="N1235" t="str">
            <v>GRADO D</v>
          </cell>
          <cell r="O1235" t="str">
            <v>DOCTORADO</v>
          </cell>
          <cell r="P1235" t="str">
            <v>DOCTORADO EN CIENCIAS BIOMEDICAS</v>
          </cell>
          <cell r="Q1235" t="str">
            <v>TALCA</v>
          </cell>
          <cell r="R1235" t="str">
            <v>FACULTAD DE CIENCIAS DE LA SALUD</v>
          </cell>
          <cell r="S1235" t="str">
            <v>DPTO. DE CIENCIAS BÁSICAS BIOMÉDICAS</v>
          </cell>
        </row>
        <row r="1236">
          <cell r="A1236">
            <v>17891442</v>
          </cell>
          <cell r="B1236" t="str">
            <v>17891442</v>
          </cell>
          <cell r="C1236" t="str">
            <v>1</v>
          </cell>
          <cell r="D1236" t="str">
            <v>SOTO CARDENAS JAVIER ALEJANDRO</v>
          </cell>
          <cell r="E1236" t="str">
            <v>FAD310004</v>
          </cell>
          <cell r="F1236">
            <v>11</v>
          </cell>
          <cell r="G1236">
            <v>30</v>
          </cell>
          <cell r="H1236" t="str">
            <v>JASOTO@UTALCA.CL</v>
          </cell>
          <cell r="I1236">
            <v>44927</v>
          </cell>
          <cell r="J1236">
            <v>46387</v>
          </cell>
          <cell r="K1236" t="str">
            <v>CONTRATA</v>
          </cell>
          <cell r="L1236" t="str">
            <v>PROFESIONAL</v>
          </cell>
          <cell r="M1236" t="str">
            <v>PROFESIONAL</v>
          </cell>
          <cell r="N1236" t="str">
            <v>GRADO I.17</v>
          </cell>
          <cell r="O1236" t="str">
            <v>DOCTORADO</v>
          </cell>
          <cell r="P1236" t="str">
            <v>DOCTOR EN CIENCIAS HUMANAS MENCION DISCURSO Y</v>
          </cell>
          <cell r="Q1236" t="str">
            <v>TALCA</v>
          </cell>
          <cell r="R1236" t="str">
            <v>FACULTAD DE ARQUITECTUR, MÚSICA Y DISEÑO</v>
          </cell>
          <cell r="S1236" t="str">
            <v>ESCUELA DE MÚSICA</v>
          </cell>
        </row>
        <row r="1237">
          <cell r="A1237">
            <v>17901002</v>
          </cell>
          <cell r="B1237" t="str">
            <v>17901002</v>
          </cell>
          <cell r="C1237" t="str">
            <v>K</v>
          </cell>
          <cell r="D1237" t="str">
            <v>ROCHA ROJAS SUSAN EDITH</v>
          </cell>
          <cell r="E1237" t="str">
            <v>VDE400001</v>
          </cell>
          <cell r="F1237">
            <v>44</v>
          </cell>
          <cell r="G1237">
            <v>30</v>
          </cell>
          <cell r="H1237" t="str">
            <v>SROCHA@UTALCA.CL</v>
          </cell>
          <cell r="I1237">
            <v>43466</v>
          </cell>
          <cell r="J1237">
            <v>46387</v>
          </cell>
          <cell r="K1237" t="str">
            <v>CONTRATA</v>
          </cell>
          <cell r="L1237" t="str">
            <v>ADMINISTRATIVO</v>
          </cell>
          <cell r="M1237" t="str">
            <v>ADMINISTRATIVO</v>
          </cell>
          <cell r="N1237" t="str">
            <v>GRADO I.21</v>
          </cell>
          <cell r="O1237" t="str">
            <v>TÍTULO PROFESIONAL</v>
          </cell>
          <cell r="P1237" t="str">
            <v>ASISTENTE SOCIAL</v>
          </cell>
          <cell r="Q1237" t="str">
            <v>TALCA</v>
          </cell>
          <cell r="R1237" t="str">
            <v>VICERRECTORÍA DE DESARROLLO ESTUDIANTIL</v>
          </cell>
          <cell r="S1237" t="str">
            <v>DIRECCIÓN DE BIENESTAR ESTUDIANTIL</v>
          </cell>
        </row>
        <row r="1238">
          <cell r="A1238">
            <v>17913292</v>
          </cell>
          <cell r="B1238" t="str">
            <v>17913292</v>
          </cell>
          <cell r="C1238" t="str">
            <v>3</v>
          </cell>
          <cell r="D1238" t="str">
            <v>RIVERA JARA MIGUEL ALEXI</v>
          </cell>
          <cell r="E1238" t="str">
            <v>FOD200001</v>
          </cell>
          <cell r="F1238">
            <v>22</v>
          </cell>
          <cell r="G1238">
            <v>30</v>
          </cell>
          <cell r="H1238" t="str">
            <v>MIGUEL.RIVERA@UTALCA.CL</v>
          </cell>
          <cell r="I1238">
            <v>45047</v>
          </cell>
          <cell r="J1238">
            <v>46387</v>
          </cell>
          <cell r="K1238" t="str">
            <v>CONTRATA</v>
          </cell>
          <cell r="L1238" t="str">
            <v>C ESPECIALES</v>
          </cell>
          <cell r="M1238" t="str">
            <v>TUTOR(A) PRÁCTICA</v>
          </cell>
          <cell r="N1238" t="str">
            <v>SIN GRADO</v>
          </cell>
          <cell r="O1238" t="str">
            <v>MAGISTER</v>
          </cell>
          <cell r="P1238" t="str">
            <v>MAGISTER EN ODONTOGERIATRIA</v>
          </cell>
          <cell r="Q1238" t="str">
            <v>TALCA</v>
          </cell>
          <cell r="R1238" t="str">
            <v>FACULTAD DE ODONTOLOGÍA</v>
          </cell>
          <cell r="S1238" t="str">
            <v>FACULTAD DE ODONTOLOGÍA</v>
          </cell>
        </row>
        <row r="1239">
          <cell r="A1239">
            <v>17930915</v>
          </cell>
          <cell r="B1239" t="str">
            <v>17930915</v>
          </cell>
          <cell r="C1239" t="str">
            <v>7</v>
          </cell>
          <cell r="D1239" t="str">
            <v>PEREZ BENAVIDES CESAR ANDRES</v>
          </cell>
          <cell r="E1239" t="str">
            <v>VRF100001</v>
          </cell>
          <cell r="F1239">
            <v>44</v>
          </cell>
          <cell r="G1239">
            <v>30</v>
          </cell>
          <cell r="H1239" t="str">
            <v>CEPEREZ@UTALCA.CL</v>
          </cell>
          <cell r="I1239">
            <v>44986</v>
          </cell>
          <cell r="J1239">
            <v>46387</v>
          </cell>
          <cell r="K1239" t="str">
            <v>CONTRATA</v>
          </cell>
          <cell r="L1239" t="str">
            <v>C ESPECIALES</v>
          </cell>
          <cell r="M1239" t="str">
            <v>TUTOR(A) PRÁCTICA</v>
          </cell>
          <cell r="N1239" t="str">
            <v>SIN GRADO</v>
          </cell>
          <cell r="O1239" t="str">
            <v>MAGISTER</v>
          </cell>
          <cell r="P1239" t="str">
            <v>MAGISTER EN DEPORTES Y ACTIVIDAD FÍSICA</v>
          </cell>
          <cell r="Q1239" t="str">
            <v>TALCA</v>
          </cell>
          <cell r="R1239" t="str">
            <v>VICERRECTORÍA DE FORMACIÓN</v>
          </cell>
          <cell r="S1239" t="str">
            <v>VICERRECTORÍA DE FORMACIÓN</v>
          </cell>
        </row>
        <row r="1240">
          <cell r="A1240">
            <v>17931139</v>
          </cell>
          <cell r="B1240" t="str">
            <v>17931139</v>
          </cell>
          <cell r="C1240" t="str">
            <v>9</v>
          </cell>
          <cell r="D1240" t="str">
            <v>ARAYA CANCINO JAEL ABIGAIL</v>
          </cell>
          <cell r="E1240" t="str">
            <v>FOD350001</v>
          </cell>
          <cell r="F1240">
            <v>44</v>
          </cell>
          <cell r="G1240">
            <v>30</v>
          </cell>
          <cell r="H1240" t="str">
            <v>JAEL.ARAYA@UTALCA.CL</v>
          </cell>
          <cell r="I1240">
            <v>44927</v>
          </cell>
          <cell r="J1240">
            <v>46387</v>
          </cell>
          <cell r="K1240" t="str">
            <v>CONTRATA</v>
          </cell>
          <cell r="L1240" t="str">
            <v>TÉCNICO</v>
          </cell>
          <cell r="M1240" t="str">
            <v>TÉCNICO</v>
          </cell>
          <cell r="N1240" t="str">
            <v>GRADO I.23</v>
          </cell>
          <cell r="O1240" t="str">
            <v>TÉC. NIVEL SUPERIOR</v>
          </cell>
          <cell r="P1240" t="str">
            <v>TECNICO DE NIVEL SUPERIOR EN ENFERMERIA</v>
          </cell>
          <cell r="Q1240" t="str">
            <v>TALCA</v>
          </cell>
          <cell r="R1240" t="str">
            <v>FACULTAD DE ODONTOLOGÍA</v>
          </cell>
          <cell r="S1240" t="str">
            <v>CLÍNICAS ODONTOLÓGICAS</v>
          </cell>
        </row>
        <row r="1241">
          <cell r="A1241">
            <v>17931355</v>
          </cell>
          <cell r="B1241" t="str">
            <v>17931355</v>
          </cell>
          <cell r="C1241" t="str">
            <v>3</v>
          </cell>
          <cell r="D1241" t="str">
            <v>POBLETE AVILA VALERIA DEL CARM</v>
          </cell>
          <cell r="E1241" t="str">
            <v>FCS320012</v>
          </cell>
          <cell r="F1241">
            <v>44</v>
          </cell>
          <cell r="G1241">
            <v>30</v>
          </cell>
          <cell r="H1241" t="str">
            <v>VALERIA.POBLETE@UTALCA.CL</v>
          </cell>
          <cell r="I1241">
            <v>44409</v>
          </cell>
          <cell r="J1241">
            <v>46446</v>
          </cell>
          <cell r="K1241" t="str">
            <v>CONTRATA</v>
          </cell>
          <cell r="L1241" t="str">
            <v>CA DOCENTE</v>
          </cell>
          <cell r="M1241" t="str">
            <v>INSTRUCTOR</v>
          </cell>
          <cell r="N1241" t="str">
            <v>GRADO D</v>
          </cell>
          <cell r="O1241" t="str">
            <v>MAGISTER</v>
          </cell>
          <cell r="P1241" t="str">
            <v>MAGISTER EN GESTION DE SISTEMAS DE SALUD</v>
          </cell>
          <cell r="Q1241" t="str">
            <v>TALCA</v>
          </cell>
          <cell r="R1241" t="str">
            <v>FACULTAD DE CIENCIAS DE LA SALUD</v>
          </cell>
          <cell r="S1241" t="str">
            <v>DEPTO. CIENCIAS DEL CUIDADO EN ENFERM.</v>
          </cell>
        </row>
        <row r="1242">
          <cell r="A1242">
            <v>17932075</v>
          </cell>
          <cell r="B1242" t="str">
            <v>17932075</v>
          </cell>
          <cell r="C1242" t="str">
            <v>4</v>
          </cell>
          <cell r="D1242" t="str">
            <v>MUÑOZ HENRIQUEZ CAMILA ESTEFAN</v>
          </cell>
          <cell r="E1242" t="str">
            <v>FCI310003</v>
          </cell>
          <cell r="F1242">
            <v>22</v>
          </cell>
          <cell r="G1242">
            <v>30</v>
          </cell>
          <cell r="H1242" t="str">
            <v>CAMILA.MUNOZ@UTALCA.CL</v>
          </cell>
          <cell r="I1242">
            <v>45444</v>
          </cell>
          <cell r="J1242">
            <v>46387</v>
          </cell>
          <cell r="K1242" t="str">
            <v>CONTRATA</v>
          </cell>
          <cell r="L1242" t="str">
            <v>PROFESIONAL</v>
          </cell>
          <cell r="M1242" t="str">
            <v>PROFESIONAL</v>
          </cell>
          <cell r="N1242" t="str">
            <v>GRADO I.17</v>
          </cell>
          <cell r="O1242" t="str">
            <v>TÍTULO PROFESIONAL</v>
          </cell>
          <cell r="P1242" t="str">
            <v>GEOLOGA</v>
          </cell>
          <cell r="Q1242" t="str">
            <v>CURICO</v>
          </cell>
          <cell r="R1242" t="str">
            <v>FACULTAD DE INGENIERÍA</v>
          </cell>
          <cell r="S1242" t="str">
            <v>ESCUELA DE INGENIERÍA CIVIL DE MINAS</v>
          </cell>
        </row>
        <row r="1243">
          <cell r="A1243">
            <v>17932187</v>
          </cell>
          <cell r="B1243" t="str">
            <v>17932187</v>
          </cell>
          <cell r="C1243" t="str">
            <v>4</v>
          </cell>
          <cell r="D1243" t="str">
            <v>ESPINOZA ROJAS DANIELA ANDREA</v>
          </cell>
          <cell r="E1243" t="str">
            <v>VRF400002</v>
          </cell>
          <cell r="F1243">
            <v>44</v>
          </cell>
          <cell r="G1243">
            <v>30</v>
          </cell>
          <cell r="H1243" t="str">
            <v>DANESPINOZA@UTALCA.CL</v>
          </cell>
          <cell r="I1243">
            <v>43466</v>
          </cell>
          <cell r="J1243">
            <v>46387</v>
          </cell>
          <cell r="K1243" t="str">
            <v>CONTRATA</v>
          </cell>
          <cell r="L1243" t="str">
            <v>PROFESIONAL</v>
          </cell>
          <cell r="M1243" t="str">
            <v>PROFESIONAL</v>
          </cell>
          <cell r="N1243" t="str">
            <v>GRADO I.17</v>
          </cell>
          <cell r="O1243" t="str">
            <v>MAGISTER</v>
          </cell>
          <cell r="P1243" t="str">
            <v>MAGISTER EN INNOVACIÓN CURRICULAR Y EVALUACIÓ</v>
          </cell>
          <cell r="Q1243" t="str">
            <v>TALCA</v>
          </cell>
          <cell r="R1243" t="str">
            <v>VICERRECTORÍA DE FORMACIÓN</v>
          </cell>
          <cell r="S1243" t="str">
            <v>UN. DE DESARROLLO CURRICULAR DE PREGRADO</v>
          </cell>
        </row>
        <row r="1244">
          <cell r="A1244">
            <v>17932907</v>
          </cell>
          <cell r="B1244" t="str">
            <v>17932907</v>
          </cell>
          <cell r="C1244" t="str">
            <v>7</v>
          </cell>
          <cell r="D1244" t="str">
            <v>LETELIER LOYOLA CATALINA BEATR</v>
          </cell>
          <cell r="E1244" t="str">
            <v/>
          </cell>
          <cell r="F1244">
            <v>44</v>
          </cell>
          <cell r="G1244">
            <v>30</v>
          </cell>
          <cell r="H1244" t="str">
            <v>CATALINA.LETELIER@UTALCA.CL</v>
          </cell>
          <cell r="I1244">
            <v>44927</v>
          </cell>
          <cell r="J1244">
            <v>46387</v>
          </cell>
          <cell r="K1244" t="str">
            <v>CONTRATA</v>
          </cell>
          <cell r="L1244" t="str">
            <v>PROFESIONAL</v>
          </cell>
          <cell r="M1244" t="str">
            <v>PROFESIONAL</v>
          </cell>
          <cell r="N1244" t="str">
            <v>GRADO I.17</v>
          </cell>
          <cell r="O1244" t="str">
            <v>TÍTULO PROFESIONAL</v>
          </cell>
          <cell r="P1244" t="str">
            <v>PSICOLOGO</v>
          </cell>
          <cell r="Q1244" t="str">
            <v>TALCA</v>
          </cell>
          <cell r="R1244" t="str">
            <v>VICERRECTORÍA DE FORMACIÓN</v>
          </cell>
          <cell r="S1244" t="str">
            <v>VICERRECTORÍA DE FORMACIÓN</v>
          </cell>
        </row>
        <row r="1245">
          <cell r="A1245">
            <v>17932909</v>
          </cell>
          <cell r="B1245" t="str">
            <v>17932909</v>
          </cell>
          <cell r="C1245" t="str">
            <v>3</v>
          </cell>
          <cell r="D1245" t="str">
            <v>VERGARA TORRES CELENA IGNACIA</v>
          </cell>
          <cell r="E1245" t="str">
            <v>VGE400004</v>
          </cell>
          <cell r="F1245">
            <v>44</v>
          </cell>
          <cell r="G1245">
            <v>30</v>
          </cell>
          <cell r="H1245" t="str">
            <v>CELENA.VERGARA@UTALCA.CL</v>
          </cell>
          <cell r="I1245">
            <v>44197</v>
          </cell>
          <cell r="J1245">
            <v>46387</v>
          </cell>
          <cell r="K1245" t="str">
            <v>CONTRATA</v>
          </cell>
          <cell r="L1245" t="str">
            <v>ADMINISTRATIVO</v>
          </cell>
          <cell r="M1245" t="str">
            <v>ADMINISTRATIVO</v>
          </cell>
          <cell r="N1245" t="str">
            <v>GRADO I.21</v>
          </cell>
          <cell r="O1245" t="str">
            <v>ESCOLARIDAD CIENT HU</v>
          </cell>
          <cell r="P1245" t="str">
            <v>LICENCIA ENSEÑANZA MEDIA</v>
          </cell>
          <cell r="Q1245" t="str">
            <v>TALCA</v>
          </cell>
          <cell r="R1245" t="str">
            <v>VIC. GESTIÓN ECONÓMICA Y ADMINISTRACIÓN</v>
          </cell>
          <cell r="S1245" t="str">
            <v>DEPARTAMENTO DE CONTABILIDAD Y BIENES</v>
          </cell>
        </row>
        <row r="1246">
          <cell r="A1246">
            <v>17932991</v>
          </cell>
          <cell r="B1246" t="str">
            <v>17932991</v>
          </cell>
          <cell r="C1246" t="str">
            <v>3</v>
          </cell>
          <cell r="D1246" t="str">
            <v>MOYA GONZALEZ KAROLAYN YISSELA</v>
          </cell>
          <cell r="E1246" t="str">
            <v>VAC400003</v>
          </cell>
          <cell r="F1246">
            <v>44</v>
          </cell>
          <cell r="G1246">
            <v>30</v>
          </cell>
          <cell r="H1246" t="str">
            <v>KMOYA@UTALCA.CL</v>
          </cell>
          <cell r="I1246">
            <v>43466</v>
          </cell>
          <cell r="J1246">
            <v>46387</v>
          </cell>
          <cell r="K1246" t="str">
            <v>CONTRATA</v>
          </cell>
          <cell r="L1246" t="str">
            <v>ADMINISTRATIVO</v>
          </cell>
          <cell r="M1246" t="str">
            <v>ADMINISTRATIVO</v>
          </cell>
          <cell r="N1246" t="str">
            <v>GRADO I.21</v>
          </cell>
          <cell r="O1246" t="str">
            <v>TÍTULO PROFESIONAL</v>
          </cell>
          <cell r="P1246" t="str">
            <v>INGENIERO DE EJECUCION EN ADMINISTRACION</v>
          </cell>
          <cell r="Q1246" t="str">
            <v>TALCA</v>
          </cell>
          <cell r="R1246" t="str">
            <v>VICERRECTORÍA ACADÉMICA</v>
          </cell>
          <cell r="S1246" t="str">
            <v>DIRECCIÓN DE INVESTIGACIÓN</v>
          </cell>
        </row>
        <row r="1247">
          <cell r="A1247">
            <v>17960849</v>
          </cell>
          <cell r="B1247" t="str">
            <v>17960849</v>
          </cell>
          <cell r="C1247" t="str">
            <v>9</v>
          </cell>
          <cell r="D1247" t="str">
            <v>ENCINA ESTRADA GABRIELA ADRIAN</v>
          </cell>
          <cell r="E1247" t="str">
            <v>VDE400001</v>
          </cell>
          <cell r="F1247">
            <v>44</v>
          </cell>
          <cell r="G1247">
            <v>30</v>
          </cell>
          <cell r="H1247" t="str">
            <v>GABRIELA.ENCINA@UTALCA.CL</v>
          </cell>
          <cell r="I1247">
            <v>44197</v>
          </cell>
          <cell r="J1247">
            <v>46387</v>
          </cell>
          <cell r="K1247" t="str">
            <v>CONTRATA</v>
          </cell>
          <cell r="L1247" t="str">
            <v>PROFESIONAL</v>
          </cell>
          <cell r="M1247" t="str">
            <v>PROFESIONAL</v>
          </cell>
          <cell r="N1247" t="str">
            <v>GRADO I.17</v>
          </cell>
          <cell r="O1247" t="str">
            <v>TÍTULO PROFESIONAL</v>
          </cell>
          <cell r="P1247" t="str">
            <v>TRABAJADORA SOCIAL</v>
          </cell>
          <cell r="Q1247" t="str">
            <v>TALCA</v>
          </cell>
          <cell r="R1247" t="str">
            <v>VICERRECTORÍA DE DESARROLLO ESTUDIANTIL</v>
          </cell>
          <cell r="S1247" t="str">
            <v>DIRECCIÓN DE BIENESTAR ESTUDIANTIL</v>
          </cell>
        </row>
        <row r="1248">
          <cell r="A1248">
            <v>17967955</v>
          </cell>
          <cell r="B1248" t="str">
            <v>17967955</v>
          </cell>
          <cell r="C1248" t="str">
            <v>8</v>
          </cell>
          <cell r="D1248" t="str">
            <v>LETELIER PÉREZ ERIC ROBERTO</v>
          </cell>
          <cell r="E1248" t="str">
            <v>VGE400058</v>
          </cell>
          <cell r="F1248">
            <v>44</v>
          </cell>
          <cell r="G1248">
            <v>30</v>
          </cell>
          <cell r="H1248" t="str">
            <v>ERIC.LETELIER@UTALCA.CL</v>
          </cell>
          <cell r="I1248">
            <v>44927</v>
          </cell>
          <cell r="J1248">
            <v>46387</v>
          </cell>
          <cell r="K1248" t="str">
            <v>CONTRATA</v>
          </cell>
          <cell r="L1248" t="str">
            <v>PROFESIONAL</v>
          </cell>
          <cell r="M1248" t="str">
            <v>PROFESIONAL</v>
          </cell>
          <cell r="N1248" t="str">
            <v>GRADO I.17</v>
          </cell>
          <cell r="O1248" t="str">
            <v>TÍTULO PROFESIONAL</v>
          </cell>
          <cell r="P1248" t="str">
            <v>INGENIERO EN PREVENCION DE RIESGOS</v>
          </cell>
          <cell r="Q1248" t="str">
            <v>TALCA</v>
          </cell>
          <cell r="R1248" t="str">
            <v>VIC. GESTIÓN ECONÓMICA Y ADMINISTRACIÓN</v>
          </cell>
          <cell r="S1248" t="str">
            <v>UND. PREVENCIÓN RIESGOS Y MEDIO AMBIENTE</v>
          </cell>
        </row>
        <row r="1249">
          <cell r="A1249">
            <v>17997378</v>
          </cell>
          <cell r="B1249" t="str">
            <v>17997378</v>
          </cell>
          <cell r="C1249" t="str">
            <v>2</v>
          </cell>
          <cell r="D1249" t="str">
            <v>RUPERTHUS VERDUGO JAVIERA CATA</v>
          </cell>
          <cell r="E1249" t="str">
            <v>FED310002</v>
          </cell>
          <cell r="F1249">
            <v>44</v>
          </cell>
          <cell r="G1249">
            <v>30</v>
          </cell>
          <cell r="H1249" t="str">
            <v>JAVIERA.RUPERTHUS@UTALCA.CL</v>
          </cell>
          <cell r="I1249">
            <v>45139</v>
          </cell>
          <cell r="J1249">
            <v>46446</v>
          </cell>
          <cell r="K1249" t="str">
            <v>CONTRATA</v>
          </cell>
          <cell r="L1249" t="str">
            <v>CA DOCENTE</v>
          </cell>
          <cell r="M1249" t="str">
            <v>INSTRUCTOR</v>
          </cell>
          <cell r="N1249" t="str">
            <v>GRADO D</v>
          </cell>
          <cell r="O1249" t="str">
            <v>MAGISTER</v>
          </cell>
          <cell r="P1249" t="str">
            <v>MAGISTER EN EDUCACION MENCION CURRICULAR Y AD</v>
          </cell>
          <cell r="Q1249" t="str">
            <v>LINARES</v>
          </cell>
          <cell r="R1249" t="str">
            <v>FACULTAD DE CIENCIAS DE LA EDUCACIÓN</v>
          </cell>
          <cell r="S1249" t="str">
            <v>ESCUELA DE PEDAGOGÍA EN INGLÉS</v>
          </cell>
        </row>
        <row r="1250">
          <cell r="A1250">
            <v>18000621</v>
          </cell>
          <cell r="B1250" t="str">
            <v>18000621</v>
          </cell>
          <cell r="C1250" t="str">
            <v>4</v>
          </cell>
          <cell r="D1250" t="str">
            <v>CARVAJAL VARGAS LEONARDO ESTEB</v>
          </cell>
          <cell r="E1250" t="str">
            <v>FAD320004</v>
          </cell>
          <cell r="F1250">
            <v>22</v>
          </cell>
          <cell r="G1250">
            <v>30</v>
          </cell>
          <cell r="H1250" t="str">
            <v>LCARVAJAL@UTALCA.CL</v>
          </cell>
          <cell r="I1250">
            <v>43344</v>
          </cell>
          <cell r="J1250">
            <v>46446</v>
          </cell>
          <cell r="K1250" t="str">
            <v>CONTRATA</v>
          </cell>
          <cell r="L1250" t="str">
            <v>CA DOCENTE</v>
          </cell>
          <cell r="M1250" t="str">
            <v>INSTRUCTOR</v>
          </cell>
          <cell r="N1250" t="str">
            <v>GRADO D</v>
          </cell>
          <cell r="O1250" t="str">
            <v>MAGISTER</v>
          </cell>
          <cell r="P1250" t="str">
            <v>MAGÍSTER EN DIRECCIÓN DE ORQUESTAS JUVENILES</v>
          </cell>
          <cell r="Q1250" t="str">
            <v>TALCA</v>
          </cell>
          <cell r="R1250" t="str">
            <v>FACULTAD DE ARQUITECTUR, MÚSICA Y DISEÑO</v>
          </cell>
          <cell r="S1250" t="str">
            <v>DEPARTAMENTO DE TEORÍA MUSICAL</v>
          </cell>
        </row>
        <row r="1251">
          <cell r="A1251">
            <v>18046356</v>
          </cell>
          <cell r="B1251" t="str">
            <v>18046356</v>
          </cell>
          <cell r="C1251" t="str">
            <v>9</v>
          </cell>
          <cell r="D1251" t="str">
            <v>GARCIA MANRIQUEZ NATALIA LOREE</v>
          </cell>
          <cell r="E1251" t="str">
            <v>FOD200001</v>
          </cell>
          <cell r="F1251">
            <v>44</v>
          </cell>
          <cell r="G1251">
            <v>30</v>
          </cell>
          <cell r="H1251" t="str">
            <v>NAGARCIA@UTALCA.CL</v>
          </cell>
          <cell r="I1251">
            <v>43466</v>
          </cell>
          <cell r="J1251">
            <v>46387</v>
          </cell>
          <cell r="K1251" t="str">
            <v>CONTRATA</v>
          </cell>
          <cell r="L1251" t="str">
            <v>PROFESIONAL</v>
          </cell>
          <cell r="M1251" t="str">
            <v>PROFESIONAL</v>
          </cell>
          <cell r="N1251" t="str">
            <v>GRADO I.17</v>
          </cell>
          <cell r="O1251" t="str">
            <v>MAGISTER</v>
          </cell>
          <cell r="P1251" t="str">
            <v>MAGISTER EN CIENCIAS BIOMEDICAS, MENCION BIOQ</v>
          </cell>
          <cell r="Q1251" t="str">
            <v>TALCA</v>
          </cell>
          <cell r="R1251" t="str">
            <v>FACULTAD DE ODONTOLOGÍA</v>
          </cell>
          <cell r="S1251" t="str">
            <v>FACULTAD DE ODONTOLOGÍA</v>
          </cell>
        </row>
        <row r="1252">
          <cell r="A1252">
            <v>18047996</v>
          </cell>
          <cell r="B1252" t="str">
            <v>18047996</v>
          </cell>
          <cell r="C1252" t="str">
            <v>1</v>
          </cell>
          <cell r="D1252" t="str">
            <v>HERNÁNDEZ FLORES KATHERINE ALE</v>
          </cell>
          <cell r="E1252" t="str">
            <v>FCS200001</v>
          </cell>
          <cell r="F1252">
            <v>44</v>
          </cell>
          <cell r="G1252">
            <v>30</v>
          </cell>
          <cell r="H1252" t="str">
            <v/>
          </cell>
          <cell r="I1252">
            <v>45978</v>
          </cell>
          <cell r="J1252">
            <v>46387</v>
          </cell>
          <cell r="K1252" t="str">
            <v>CONTRATA</v>
          </cell>
          <cell r="L1252" t="str">
            <v>TÉCNICO</v>
          </cell>
          <cell r="M1252" t="str">
            <v>TÉCNICO</v>
          </cell>
          <cell r="N1252" t="str">
            <v>GRADO I.23</v>
          </cell>
          <cell r="O1252" t="str">
            <v>TÉC. NIVEL SUPERIOR</v>
          </cell>
          <cell r="P1252" t="str">
            <v>TÉCNICO DE NIVEL SUPERIOR EN ADMINISTRACIÓN D</v>
          </cell>
          <cell r="Q1252" t="str">
            <v>TALCA</v>
          </cell>
          <cell r="R1252" t="str">
            <v>FACULTAD DE CIENCIAS DE LA SALUD</v>
          </cell>
          <cell r="S1252" t="str">
            <v>FACULTAD DE CIENCIAS DE LA SALUD</v>
          </cell>
        </row>
        <row r="1253">
          <cell r="A1253">
            <v>18060542</v>
          </cell>
          <cell r="B1253" t="str">
            <v>18060542</v>
          </cell>
          <cell r="C1253" t="str">
            <v>8</v>
          </cell>
          <cell r="D1253" t="str">
            <v>MIRANDA SANDOVAL GONZALO DAVID</v>
          </cell>
          <cell r="E1253" t="str">
            <v>FOD350001</v>
          </cell>
          <cell r="F1253">
            <v>44</v>
          </cell>
          <cell r="G1253">
            <v>30</v>
          </cell>
          <cell r="H1253" t="str">
            <v>GONZALO.MIRANDA@UTALCA.CL</v>
          </cell>
          <cell r="I1253">
            <v>45383</v>
          </cell>
          <cell r="J1253">
            <v>46387</v>
          </cell>
          <cell r="K1253" t="str">
            <v>CONTRATA</v>
          </cell>
          <cell r="L1253" t="str">
            <v>TÉCNICO</v>
          </cell>
          <cell r="M1253" t="str">
            <v>TÉCNICO</v>
          </cell>
          <cell r="N1253" t="str">
            <v>GRADO I.23</v>
          </cell>
          <cell r="O1253" t="str">
            <v>TÉC. NIVEL SUPERIOR</v>
          </cell>
          <cell r="P1253" t="str">
            <v>TECNICO EN ENFERMERIA</v>
          </cell>
          <cell r="Q1253" t="str">
            <v>TALCA</v>
          </cell>
          <cell r="R1253" t="str">
            <v>FACULTAD DE ODONTOLOGÍA</v>
          </cell>
          <cell r="S1253" t="str">
            <v>CLÍNICAS ODONTOLÓGICAS</v>
          </cell>
        </row>
        <row r="1254">
          <cell r="A1254">
            <v>18071483</v>
          </cell>
          <cell r="B1254" t="str">
            <v>18071483</v>
          </cell>
          <cell r="C1254" t="str">
            <v>9</v>
          </cell>
          <cell r="D1254" t="str">
            <v>GAJARDO CANCINO JORGE ANDRES</v>
          </cell>
          <cell r="E1254" t="str">
            <v>VDE100001</v>
          </cell>
          <cell r="F1254">
            <v>44</v>
          </cell>
          <cell r="G1254">
            <v>30</v>
          </cell>
          <cell r="H1254" t="str">
            <v>JORGE.GAJARDO@UTALCA.CL</v>
          </cell>
          <cell r="I1254">
            <v>44197</v>
          </cell>
          <cell r="J1254">
            <v>46387</v>
          </cell>
          <cell r="K1254" t="str">
            <v>CONTRATA</v>
          </cell>
          <cell r="L1254" t="str">
            <v>PROFESIONAL</v>
          </cell>
          <cell r="M1254" t="str">
            <v>PROFESIONAL</v>
          </cell>
          <cell r="N1254" t="str">
            <v>GRADO I.17</v>
          </cell>
          <cell r="O1254" t="str">
            <v>TÍTULO PROFESIONAL</v>
          </cell>
          <cell r="P1254" t="str">
            <v>INGENIERO EN INFORMATICA EMPRESARIAL</v>
          </cell>
          <cell r="Q1254" t="str">
            <v>TALCA</v>
          </cell>
          <cell r="R1254" t="str">
            <v>VICERRECTORÍA DE DESARROLLO ESTUDIANTIL</v>
          </cell>
          <cell r="S1254" t="str">
            <v>VICERRECTORÍA DE DESARROLLO ESTUDIANTIL</v>
          </cell>
        </row>
        <row r="1255">
          <cell r="A1255">
            <v>18097924</v>
          </cell>
          <cell r="B1255" t="str">
            <v>18097924</v>
          </cell>
          <cell r="C1255" t="str">
            <v>7</v>
          </cell>
          <cell r="D1255" t="str">
            <v>VERA BARRERA BORIS WILLIAM</v>
          </cell>
          <cell r="E1255" t="str">
            <v>FCS200001</v>
          </cell>
          <cell r="F1255">
            <v>44</v>
          </cell>
          <cell r="G1255">
            <v>30</v>
          </cell>
          <cell r="H1255" t="str">
            <v>BORIS.VERA@UTALCA.CL</v>
          </cell>
          <cell r="I1255">
            <v>44835</v>
          </cell>
          <cell r="J1255">
            <v>46387</v>
          </cell>
          <cell r="K1255" t="str">
            <v>CONTRATA</v>
          </cell>
          <cell r="L1255" t="str">
            <v>C ESPECIALES</v>
          </cell>
          <cell r="M1255" t="str">
            <v>TUTOR(A) PRÁCTICA</v>
          </cell>
          <cell r="N1255" t="str">
            <v>SIN GRADO</v>
          </cell>
          <cell r="O1255" t="str">
            <v>MAGISTER</v>
          </cell>
          <cell r="P1255" t="str">
            <v>MAGISTER EN GESTIÓN DE SISTEMAS DE SALUD</v>
          </cell>
          <cell r="Q1255" t="str">
            <v>TALCA</v>
          </cell>
          <cell r="R1255" t="str">
            <v>FACULTAD DE CIENCIAS DE LA SALUD</v>
          </cell>
          <cell r="S1255" t="str">
            <v>FACULTAD DE CIENCIAS DE LA SALUD</v>
          </cell>
        </row>
        <row r="1256">
          <cell r="A1256">
            <v>18111746</v>
          </cell>
          <cell r="B1256" t="str">
            <v>18111746</v>
          </cell>
          <cell r="C1256" t="str">
            <v>K</v>
          </cell>
          <cell r="D1256" t="str">
            <v>MOSQUERA VEGA CAMILA SOLEDAD</v>
          </cell>
          <cell r="E1256" t="str">
            <v>FPS310002</v>
          </cell>
          <cell r="F1256">
            <v>44</v>
          </cell>
          <cell r="G1256">
            <v>30</v>
          </cell>
          <cell r="H1256" t="str">
            <v>CAMILA.MOSQUERA@UTALCA.CL</v>
          </cell>
          <cell r="I1256">
            <v>45383</v>
          </cell>
          <cell r="J1256">
            <v>46446</v>
          </cell>
          <cell r="K1256" t="str">
            <v>CONTRATA</v>
          </cell>
          <cell r="L1256" t="str">
            <v>CA DOCENTE</v>
          </cell>
          <cell r="M1256" t="str">
            <v>INSTRUCTOR</v>
          </cell>
          <cell r="N1256" t="str">
            <v>GRADO D</v>
          </cell>
          <cell r="O1256" t="str">
            <v>MAGISTER</v>
          </cell>
          <cell r="P1256" t="str">
            <v>MAGISTER EN PSICOLOGÍA COMUNITARIA</v>
          </cell>
          <cell r="Q1256" t="str">
            <v>TALCA</v>
          </cell>
          <cell r="R1256" t="str">
            <v>FACULTAD DE PSICOLOGÍA</v>
          </cell>
          <cell r="S1256" t="str">
            <v>ESCUELA DE TERAPIA OCUPACIONAL</v>
          </cell>
        </row>
        <row r="1257">
          <cell r="A1257">
            <v>18112592</v>
          </cell>
          <cell r="B1257" t="str">
            <v>18112592</v>
          </cell>
          <cell r="C1257" t="str">
            <v>6</v>
          </cell>
          <cell r="D1257" t="str">
            <v>MUÑOZ CASTRO CARLOS ALFREDO</v>
          </cell>
          <cell r="E1257" t="str">
            <v>FCI320007</v>
          </cell>
          <cell r="F1257">
            <v>44</v>
          </cell>
          <cell r="G1257">
            <v>30</v>
          </cell>
          <cell r="H1257" t="str">
            <v>CARLOSMUNOZ@UTALCA.CL</v>
          </cell>
          <cell r="I1257">
            <v>43160</v>
          </cell>
          <cell r="J1257">
            <v>46446</v>
          </cell>
          <cell r="K1257" t="str">
            <v>CONTRATA</v>
          </cell>
          <cell r="L1257" t="str">
            <v>CA DOCENTE</v>
          </cell>
          <cell r="M1257" t="str">
            <v>INSTRUCTOR</v>
          </cell>
          <cell r="N1257" t="str">
            <v>GRADO D</v>
          </cell>
          <cell r="O1257" t="str">
            <v>MAGISTER</v>
          </cell>
          <cell r="P1257" t="str">
            <v>MAGISTER EN CIENCIAS DE LA INGENIERIA CON MEN</v>
          </cell>
          <cell r="Q1257" t="str">
            <v>CURICO</v>
          </cell>
          <cell r="R1257" t="str">
            <v>FACULTAD DE INGENIERÍA</v>
          </cell>
          <cell r="S1257" t="str">
            <v>DEPARTAMENTO DE INGENIERÍA ELÉCTRICA</v>
          </cell>
        </row>
        <row r="1258">
          <cell r="A1258">
            <v>18112781</v>
          </cell>
          <cell r="B1258" t="str">
            <v>18112781</v>
          </cell>
          <cell r="C1258" t="str">
            <v>3</v>
          </cell>
          <cell r="D1258" t="str">
            <v>DOMINGUEZ OSORES CLAUDIA FRANC</v>
          </cell>
          <cell r="E1258" t="str">
            <v/>
          </cell>
          <cell r="F1258">
            <v>44</v>
          </cell>
          <cell r="G1258">
            <v>30</v>
          </cell>
          <cell r="H1258" t="str">
            <v>CDOMINGUEZ@UTALCA.CL</v>
          </cell>
          <cell r="I1258">
            <v>44927</v>
          </cell>
          <cell r="J1258">
            <v>46387</v>
          </cell>
          <cell r="K1258" t="str">
            <v>CONTRATA</v>
          </cell>
          <cell r="L1258" t="str">
            <v>PROFESIONAL</v>
          </cell>
          <cell r="M1258" t="str">
            <v>PROFESIONAL</v>
          </cell>
          <cell r="N1258" t="str">
            <v>GRADO I.17</v>
          </cell>
          <cell r="O1258" t="str">
            <v>TÍTULO PROFESIONAL</v>
          </cell>
          <cell r="P1258" t="str">
            <v>PSICOLOGA</v>
          </cell>
          <cell r="Q1258" t="str">
            <v>TALCA</v>
          </cell>
          <cell r="R1258" t="str">
            <v>VICERRECTORÍA DE FORMACIÓN</v>
          </cell>
          <cell r="S1258" t="str">
            <v>UN. DE ACOMPAÑAMIENTO ESTUDIANTIL (CIMA)</v>
          </cell>
        </row>
        <row r="1259">
          <cell r="A1259">
            <v>18165774</v>
          </cell>
          <cell r="B1259" t="str">
            <v>18165774</v>
          </cell>
          <cell r="C1259" t="str">
            <v>K</v>
          </cell>
          <cell r="D1259" t="str">
            <v>ACEITON SANTIBAÑEZ AARON ADOLF</v>
          </cell>
          <cell r="E1259" t="str">
            <v>ICB300001</v>
          </cell>
          <cell r="F1259">
            <v>44</v>
          </cell>
          <cell r="G1259">
            <v>30</v>
          </cell>
          <cell r="H1259" t="str">
            <v>ARON.ACEITON@UTALCA.CL</v>
          </cell>
          <cell r="I1259">
            <v>45047</v>
          </cell>
          <cell r="J1259">
            <v>46387</v>
          </cell>
          <cell r="K1259" t="str">
            <v>CONTRATA</v>
          </cell>
          <cell r="L1259" t="str">
            <v>AUXILIAR</v>
          </cell>
          <cell r="M1259" t="str">
            <v>AUXILIAR</v>
          </cell>
          <cell r="N1259" t="str">
            <v>GRADO I.24</v>
          </cell>
          <cell r="O1259" t="str">
            <v>ESCOLARIDAD CIENT HU</v>
          </cell>
          <cell r="P1259" t="str">
            <v>ENSEÑANZA MEDIA</v>
          </cell>
          <cell r="Q1259" t="str">
            <v>TALCA</v>
          </cell>
          <cell r="R1259" t="str">
            <v>INSTITUTO DE CIENCIAS BIOLÓGICAS</v>
          </cell>
          <cell r="S1259" t="str">
            <v>INSTITUTO DE CIENCIAS BIOLÓGICAS</v>
          </cell>
        </row>
        <row r="1260">
          <cell r="A1260">
            <v>18169064</v>
          </cell>
          <cell r="B1260" t="str">
            <v>18169064</v>
          </cell>
          <cell r="C1260" t="str">
            <v>K</v>
          </cell>
          <cell r="D1260" t="str">
            <v>ASENJO FUENZALIDA MARIA INES</v>
          </cell>
          <cell r="E1260" t="str">
            <v>VGE400050</v>
          </cell>
          <cell r="F1260">
            <v>44</v>
          </cell>
          <cell r="G1260">
            <v>30</v>
          </cell>
          <cell r="H1260" t="str">
            <v>MARIA.ASENJO@UTALCA.CL</v>
          </cell>
          <cell r="I1260">
            <v>45097</v>
          </cell>
          <cell r="J1260">
            <v>46387</v>
          </cell>
          <cell r="K1260" t="str">
            <v>CONTRATA</v>
          </cell>
          <cell r="L1260" t="str">
            <v>PROFESIONAL</v>
          </cell>
          <cell r="M1260" t="str">
            <v>PROFESIONAL</v>
          </cell>
          <cell r="N1260" t="str">
            <v>GRADO I.17</v>
          </cell>
          <cell r="O1260" t="str">
            <v>TÍTULO PROFESIONAL</v>
          </cell>
          <cell r="P1260" t="str">
            <v>INGENIERO CONSTRUCTOR</v>
          </cell>
          <cell r="Q1260" t="str">
            <v>CURICO</v>
          </cell>
          <cell r="R1260" t="str">
            <v>VIC. GESTIÓN ECONÓMICA Y ADMINISTRACIÓN</v>
          </cell>
          <cell r="S1260" t="str">
            <v>DEPARTAMENTO DE ADMINISTRACIÓN DE CAMPUS</v>
          </cell>
        </row>
        <row r="1261">
          <cell r="A1261">
            <v>18175526</v>
          </cell>
          <cell r="B1261" t="str">
            <v>18175526</v>
          </cell>
          <cell r="C1261" t="str">
            <v>1</v>
          </cell>
          <cell r="D1261" t="str">
            <v>CANCINO SALAZAR IVÁN ELÍAS</v>
          </cell>
          <cell r="E1261" t="str">
            <v>FOD350001</v>
          </cell>
          <cell r="F1261">
            <v>44</v>
          </cell>
          <cell r="G1261">
            <v>30</v>
          </cell>
          <cell r="H1261" t="str">
            <v>IVAN.CANCINO@UTALCA.CL</v>
          </cell>
          <cell r="I1261">
            <v>45474</v>
          </cell>
          <cell r="J1261">
            <v>46387</v>
          </cell>
          <cell r="K1261" t="str">
            <v>CONTRATA</v>
          </cell>
          <cell r="L1261" t="str">
            <v>TÉCNICO</v>
          </cell>
          <cell r="M1261" t="str">
            <v>TÉCNICO</v>
          </cell>
          <cell r="N1261" t="str">
            <v>GRADO I.23</v>
          </cell>
          <cell r="O1261" t="str">
            <v>TÉC. NIVEL SUPERIOR</v>
          </cell>
          <cell r="P1261" t="str">
            <v>TÉCNICO DE NIVEL SUPERIOR EN MANTENIMIENTO IN</v>
          </cell>
          <cell r="Q1261" t="str">
            <v>TALCA</v>
          </cell>
          <cell r="R1261" t="str">
            <v>FACULTAD DE ODONTOLOGÍA</v>
          </cell>
          <cell r="S1261" t="str">
            <v>CLÍNICAS ODONTOLÓGICAS</v>
          </cell>
        </row>
        <row r="1262">
          <cell r="A1262">
            <v>18175957</v>
          </cell>
          <cell r="B1262" t="str">
            <v>18175957</v>
          </cell>
          <cell r="C1262" t="str">
            <v>7</v>
          </cell>
          <cell r="D1262" t="str">
            <v>ORTIZ CHANDIA ESTEBAN PATRICIO</v>
          </cell>
          <cell r="E1262" t="str">
            <v>FCS200001</v>
          </cell>
          <cell r="F1262">
            <v>33</v>
          </cell>
          <cell r="G1262">
            <v>30</v>
          </cell>
          <cell r="H1262" t="str">
            <v>ESTEBAN.ORTIZ@UTALCA.CL</v>
          </cell>
          <cell r="I1262">
            <v>45474</v>
          </cell>
          <cell r="J1262">
            <v>46387</v>
          </cell>
          <cell r="K1262" t="str">
            <v>CONTRATA</v>
          </cell>
          <cell r="L1262" t="str">
            <v>C ESPECIALES</v>
          </cell>
          <cell r="M1262" t="str">
            <v>TUTOR(A) PRÁCTICA</v>
          </cell>
          <cell r="N1262" t="str">
            <v>SIN GRADO</v>
          </cell>
          <cell r="O1262" t="str">
            <v>MAGISTER</v>
          </cell>
          <cell r="P1262" t="str">
            <v>MAGÍSTER EN DOCENCIA PARA LA EDUCACIÓN SUPERI</v>
          </cell>
          <cell r="Q1262" t="str">
            <v>TALCA</v>
          </cell>
          <cell r="R1262" t="str">
            <v>FACULTAD DE CIENCIAS DE LA SALUD</v>
          </cell>
          <cell r="S1262" t="str">
            <v>FACULTAD DE CIENCIAS DE LA SALUD</v>
          </cell>
        </row>
        <row r="1263">
          <cell r="A1263">
            <v>18176209</v>
          </cell>
          <cell r="B1263" t="str">
            <v>18176209</v>
          </cell>
          <cell r="C1263" t="str">
            <v>8</v>
          </cell>
          <cell r="D1263" t="str">
            <v>CAMPOS SOTO SUSANA VERONICA</v>
          </cell>
          <cell r="E1263" t="str">
            <v>FPS340002</v>
          </cell>
          <cell r="F1263">
            <v>44</v>
          </cell>
          <cell r="G1263">
            <v>30</v>
          </cell>
          <cell r="H1263" t="str">
            <v>SUSANA.CAMPOS@UTALCA.CL</v>
          </cell>
          <cell r="I1263">
            <v>45017</v>
          </cell>
          <cell r="J1263">
            <v>46387</v>
          </cell>
          <cell r="K1263" t="str">
            <v>CONTRATA</v>
          </cell>
          <cell r="L1263" t="str">
            <v>PROFESIONAL</v>
          </cell>
          <cell r="M1263" t="str">
            <v>PROFESIONAL</v>
          </cell>
          <cell r="N1263" t="str">
            <v>GRADO I.17</v>
          </cell>
          <cell r="O1263" t="str">
            <v>MAGISTER</v>
          </cell>
          <cell r="P1263" t="str">
            <v>MAGISTER EN SALUD MENTAL INFANTO JUVENIL Y PR</v>
          </cell>
          <cell r="Q1263" t="str">
            <v>TALCA</v>
          </cell>
          <cell r="R1263" t="str">
            <v>FACULTAD DE PSICOLOGÍA</v>
          </cell>
          <cell r="S1263" t="str">
            <v>CENTRO DE PSICOLOGÍA APLICADA</v>
          </cell>
        </row>
        <row r="1264">
          <cell r="A1264">
            <v>18176479</v>
          </cell>
          <cell r="B1264" t="str">
            <v>18176479</v>
          </cell>
          <cell r="C1264" t="str">
            <v>1</v>
          </cell>
          <cell r="D1264" t="str">
            <v>LABRA LABRA VALERIA ANDREA</v>
          </cell>
          <cell r="E1264" t="str">
            <v>VGE400003</v>
          </cell>
          <cell r="F1264">
            <v>44</v>
          </cell>
          <cell r="G1264">
            <v>30</v>
          </cell>
          <cell r="H1264" t="str">
            <v>VLABRA@UTALCA.CL</v>
          </cell>
          <cell r="I1264">
            <v>44197</v>
          </cell>
          <cell r="J1264">
            <v>46387</v>
          </cell>
          <cell r="K1264" t="str">
            <v>CONTRATA</v>
          </cell>
          <cell r="L1264" t="str">
            <v>TÉCNICO</v>
          </cell>
          <cell r="M1264" t="str">
            <v>TÉCNICO</v>
          </cell>
          <cell r="N1264" t="str">
            <v>GRADO I.21</v>
          </cell>
          <cell r="O1264" t="str">
            <v>TÉC. NIVEL MEDIO</v>
          </cell>
          <cell r="P1264" t="str">
            <v>MEDIA TÉCNICO PROFESIONAL COMPLETA</v>
          </cell>
          <cell r="Q1264" t="str">
            <v>TALCA</v>
          </cell>
          <cell r="R1264" t="str">
            <v>VIC. GESTIÓN ECONÓMICA Y ADMINISTRACIÓN</v>
          </cell>
          <cell r="S1264" t="str">
            <v>DEPARTAMENTO DE GESTIÓN DE PERSONAS</v>
          </cell>
        </row>
        <row r="1265">
          <cell r="A1265">
            <v>18176747</v>
          </cell>
          <cell r="B1265" t="str">
            <v>18176747</v>
          </cell>
          <cell r="C1265" t="str">
            <v>2</v>
          </cell>
          <cell r="D1265" t="str">
            <v>BENAVIDES ROJAS NICOLAS IGNACI</v>
          </cell>
          <cell r="E1265" t="str">
            <v>ADC014004</v>
          </cell>
          <cell r="F1265">
            <v>44</v>
          </cell>
          <cell r="G1265">
            <v>30</v>
          </cell>
          <cell r="H1265" t="str">
            <v>NIBENAVIDES@UTALCA.CL</v>
          </cell>
          <cell r="I1265">
            <v>44141</v>
          </cell>
          <cell r="J1265">
            <v>46387</v>
          </cell>
          <cell r="K1265" t="str">
            <v>CONTRATA</v>
          </cell>
          <cell r="L1265" t="str">
            <v>PROFESIONAL</v>
          </cell>
          <cell r="M1265" t="str">
            <v>PROFESIONAL</v>
          </cell>
          <cell r="N1265" t="str">
            <v>GRADO I.17</v>
          </cell>
          <cell r="O1265" t="str">
            <v>TÍTULO PROFESIONAL</v>
          </cell>
          <cell r="P1265" t="str">
            <v>INGENIERO COMERCIAL</v>
          </cell>
          <cell r="Q1265" t="str">
            <v>TALCA</v>
          </cell>
          <cell r="R1265" t="str">
            <v>SECRETARÍA GENERAL</v>
          </cell>
          <cell r="S1265" t="str">
            <v>OFICINA DE GOBIERNO TRASPARENTE</v>
          </cell>
        </row>
        <row r="1266">
          <cell r="A1266">
            <v>18177162</v>
          </cell>
          <cell r="B1266" t="str">
            <v>18177162</v>
          </cell>
          <cell r="C1266" t="str">
            <v>3</v>
          </cell>
          <cell r="D1266" t="str">
            <v>BASOALTO CONCHA RAUL ADOLFO</v>
          </cell>
          <cell r="E1266" t="str">
            <v>FAD310001</v>
          </cell>
          <cell r="F1266">
            <v>44</v>
          </cell>
          <cell r="G1266">
            <v>30</v>
          </cell>
          <cell r="H1266" t="str">
            <v>RAUL.BASOALTO@UTALCA.CL</v>
          </cell>
          <cell r="I1266">
            <v>45824</v>
          </cell>
          <cell r="J1266">
            <v>46387</v>
          </cell>
          <cell r="K1266" t="str">
            <v>CONTRATA</v>
          </cell>
          <cell r="L1266" t="str">
            <v>TÉCNICO</v>
          </cell>
          <cell r="M1266" t="str">
            <v>TÉCNICO</v>
          </cell>
          <cell r="N1266" t="str">
            <v>GRADO I.23</v>
          </cell>
          <cell r="O1266" t="str">
            <v>TÉC. NIVEL SUPERIOR</v>
          </cell>
          <cell r="P1266" t="str">
            <v>TECNICO DE NIVEL SUPERIOR EN CONSTRUCCION</v>
          </cell>
          <cell r="Q1266" t="str">
            <v>TALCA</v>
          </cell>
          <cell r="R1266" t="str">
            <v>FACULTAD DE ARQUITECTUR, MÚSICA Y DISEÑO</v>
          </cell>
          <cell r="S1266" t="str">
            <v>ESCUELA DE ARQUITECTURA</v>
          </cell>
        </row>
        <row r="1267">
          <cell r="A1267">
            <v>18181317</v>
          </cell>
          <cell r="B1267" t="str">
            <v>18181317</v>
          </cell>
          <cell r="C1267" t="str">
            <v>2</v>
          </cell>
          <cell r="D1267" t="str">
            <v>ZAMORANO ALLEN NICOLAS RODRIGO</v>
          </cell>
          <cell r="E1267" t="str">
            <v>ADC021006</v>
          </cell>
          <cell r="F1267">
            <v>44</v>
          </cell>
          <cell r="G1267">
            <v>30</v>
          </cell>
          <cell r="H1267" t="str">
            <v>NICOLAS.ZAMORANO@UTALCA.CL</v>
          </cell>
          <cell r="I1267">
            <v>45427</v>
          </cell>
          <cell r="J1267">
            <v>46387</v>
          </cell>
          <cell r="K1267" t="str">
            <v>CONTRATA</v>
          </cell>
          <cell r="L1267" t="str">
            <v>PROFESIONAL</v>
          </cell>
          <cell r="M1267" t="str">
            <v>PROFESIONAL</v>
          </cell>
          <cell r="N1267" t="str">
            <v>GRADO I.17</v>
          </cell>
          <cell r="O1267" t="str">
            <v>TÍTULO PROFESIONAL</v>
          </cell>
          <cell r="P1267" t="str">
            <v>PERIODISTA</v>
          </cell>
          <cell r="Q1267" t="str">
            <v>TALCA</v>
          </cell>
          <cell r="R1267" t="str">
            <v>DIRECCIÓN DE COMUNICACIONES CORPORATIVAS</v>
          </cell>
          <cell r="S1267" t="str">
            <v>DEPARTAMENTO DE COMUNICACIÓN INTERNA</v>
          </cell>
        </row>
        <row r="1268">
          <cell r="A1268">
            <v>18182095</v>
          </cell>
          <cell r="B1268" t="str">
            <v>18182095</v>
          </cell>
          <cell r="C1268" t="str">
            <v>0</v>
          </cell>
          <cell r="D1268" t="str">
            <v>GARCES RIVEROS MIGUEL ANGEL</v>
          </cell>
          <cell r="E1268" t="str">
            <v>FCJ340009</v>
          </cell>
          <cell r="F1268">
            <v>33</v>
          </cell>
          <cell r="G1268">
            <v>30</v>
          </cell>
          <cell r="H1268" t="str">
            <v>M.GARCES.R@HOTMAIL.COM</v>
          </cell>
          <cell r="I1268">
            <v>45200</v>
          </cell>
          <cell r="J1268">
            <v>46387</v>
          </cell>
          <cell r="K1268" t="str">
            <v>CONTRATA</v>
          </cell>
          <cell r="L1268" t="str">
            <v>PROFESIONAL</v>
          </cell>
          <cell r="M1268" t="str">
            <v>PROFESIONAL</v>
          </cell>
          <cell r="N1268" t="str">
            <v>GRADO I.17</v>
          </cell>
          <cell r="O1268" t="str">
            <v>TÍTULO PROFESIONAL</v>
          </cell>
          <cell r="P1268" t="str">
            <v>ABOGADO</v>
          </cell>
          <cell r="Q1268" t="str">
            <v>SANTIAGO</v>
          </cell>
          <cell r="R1268" t="str">
            <v>FACULTAD CIENCIAS JURÍDICAS Y SOCIALES</v>
          </cell>
          <cell r="S1268" t="str">
            <v>CLÍNICA JURÍDICA DE SANTIAGO</v>
          </cell>
        </row>
        <row r="1269">
          <cell r="A1269">
            <v>18197791</v>
          </cell>
          <cell r="B1269" t="str">
            <v>18197791</v>
          </cell>
          <cell r="C1269" t="str">
            <v>4</v>
          </cell>
          <cell r="D1269" t="str">
            <v>VASQUEZ CARRASCO EDGAR MAXIMIL</v>
          </cell>
          <cell r="E1269" t="str">
            <v>FPS310002</v>
          </cell>
          <cell r="F1269">
            <v>44</v>
          </cell>
          <cell r="G1269">
            <v>30</v>
          </cell>
          <cell r="H1269" t="str">
            <v>EDGAR.VASQUEZ@UTALCA.CL</v>
          </cell>
          <cell r="I1269">
            <v>44270</v>
          </cell>
          <cell r="J1269">
            <v>46446</v>
          </cell>
          <cell r="K1269" t="str">
            <v>CONTRATA</v>
          </cell>
          <cell r="L1269" t="str">
            <v>CA DOCENTE</v>
          </cell>
          <cell r="M1269" t="str">
            <v>PROFESOR ASISTENTE</v>
          </cell>
          <cell r="N1269" t="str">
            <v>GRADO C</v>
          </cell>
          <cell r="O1269" t="str">
            <v>DOCTORADO</v>
          </cell>
          <cell r="P1269" t="str">
            <v>DOCTOR</v>
          </cell>
          <cell r="Q1269" t="str">
            <v>TALCA</v>
          </cell>
          <cell r="R1269" t="str">
            <v>FACULTAD DE PSICOLOGÍA</v>
          </cell>
          <cell r="S1269" t="str">
            <v>ESCUELA DE TERAPIA OCUPACIONAL</v>
          </cell>
        </row>
        <row r="1270">
          <cell r="A1270">
            <v>18223253</v>
          </cell>
          <cell r="B1270" t="str">
            <v>18223253</v>
          </cell>
          <cell r="C1270" t="str">
            <v>K</v>
          </cell>
          <cell r="D1270" t="str">
            <v>VALENZUELA JARA GODOLTIER ALEX</v>
          </cell>
          <cell r="E1270" t="str">
            <v>VGE400020</v>
          </cell>
          <cell r="F1270">
            <v>44</v>
          </cell>
          <cell r="G1270">
            <v>30</v>
          </cell>
          <cell r="H1270" t="str">
            <v>GODOLTIER.VALENZUELA@UTALCA.CL</v>
          </cell>
          <cell r="I1270">
            <v>44197</v>
          </cell>
          <cell r="J1270">
            <v>46387</v>
          </cell>
          <cell r="K1270" t="str">
            <v>CONTRATA</v>
          </cell>
          <cell r="L1270" t="str">
            <v>TÉCNICO</v>
          </cell>
          <cell r="M1270" t="str">
            <v>PROFESIONAL</v>
          </cell>
          <cell r="N1270" t="str">
            <v>GRADO I.17</v>
          </cell>
          <cell r="O1270" t="str">
            <v>TÉC. NIVEL SUPERIOR</v>
          </cell>
          <cell r="P1270" t="str">
            <v>CONTADOR AUDITOR</v>
          </cell>
          <cell r="Q1270" t="str">
            <v>TALCA</v>
          </cell>
          <cell r="R1270" t="str">
            <v>VIC. GESTIÓN ECONÓMICA Y ADMINISTRACIÓN</v>
          </cell>
          <cell r="S1270" t="str">
            <v>DEPARTAMENTO DE TESORERÍA</v>
          </cell>
        </row>
        <row r="1271">
          <cell r="A1271">
            <v>18225300</v>
          </cell>
          <cell r="B1271" t="str">
            <v>18225300</v>
          </cell>
          <cell r="C1271" t="str">
            <v>6</v>
          </cell>
          <cell r="D1271" t="str">
            <v>GAETE PAREDES JOEL ALEXIS</v>
          </cell>
          <cell r="E1271" t="str">
            <v>VGE400051</v>
          </cell>
          <cell r="F1271">
            <v>44</v>
          </cell>
          <cell r="G1271">
            <v>30</v>
          </cell>
          <cell r="H1271" t="str">
            <v>JOEL.GAETE@UTALCA.CL</v>
          </cell>
          <cell r="I1271">
            <v>44927</v>
          </cell>
          <cell r="J1271">
            <v>46387</v>
          </cell>
          <cell r="K1271" t="str">
            <v>CONTRATA</v>
          </cell>
          <cell r="L1271" t="str">
            <v>PROFESIONAL</v>
          </cell>
          <cell r="M1271" t="str">
            <v>PROFESIONAL</v>
          </cell>
          <cell r="N1271" t="str">
            <v>GRADO I.17</v>
          </cell>
          <cell r="O1271" t="str">
            <v>TÍTULO PROFESIONAL</v>
          </cell>
          <cell r="P1271" t="str">
            <v>INGENIERO CIVIL  MECATRONICO</v>
          </cell>
          <cell r="Q1271" t="str">
            <v>TALCA</v>
          </cell>
          <cell r="R1271" t="str">
            <v>VIC. GESTIÓN ECONÓMICA Y ADMINISTRACIÓN</v>
          </cell>
          <cell r="S1271" t="str">
            <v>UNIDAD DE MANTENIMIENTO</v>
          </cell>
        </row>
        <row r="1272">
          <cell r="A1272">
            <v>18225301</v>
          </cell>
          <cell r="B1272" t="str">
            <v>18225301</v>
          </cell>
          <cell r="C1272" t="str">
            <v>4</v>
          </cell>
          <cell r="D1272" t="str">
            <v>MOLINA CASTRO MICHELLE ALEJAND</v>
          </cell>
          <cell r="E1272" t="str">
            <v>VGE400005</v>
          </cell>
          <cell r="F1272">
            <v>44</v>
          </cell>
          <cell r="G1272">
            <v>30</v>
          </cell>
          <cell r="H1272" t="str">
            <v>MIMOLINA@UTALCA.CL</v>
          </cell>
          <cell r="I1272">
            <v>43466</v>
          </cell>
          <cell r="J1272">
            <v>46387</v>
          </cell>
          <cell r="K1272" t="str">
            <v>CONTRATA</v>
          </cell>
          <cell r="L1272" t="str">
            <v>PROFESIONAL</v>
          </cell>
          <cell r="M1272" t="str">
            <v>PROFESIONAL</v>
          </cell>
          <cell r="N1272" t="str">
            <v>GRADO I.17</v>
          </cell>
          <cell r="O1272" t="str">
            <v>TÍTULO PROFESIONAL</v>
          </cell>
          <cell r="P1272" t="str">
            <v>INGENIERO COMERCIAL</v>
          </cell>
          <cell r="Q1272" t="str">
            <v>TALCA</v>
          </cell>
          <cell r="R1272" t="str">
            <v>VIC. GESTIÓN ECONÓMICA Y ADMINISTRACIÓN</v>
          </cell>
          <cell r="S1272" t="str">
            <v>DEPARTAMENTO DE GESTIÓN DE COMPRAS</v>
          </cell>
        </row>
        <row r="1273">
          <cell r="A1273">
            <v>18225585</v>
          </cell>
          <cell r="B1273" t="str">
            <v>18225585</v>
          </cell>
          <cell r="C1273" t="str">
            <v>8</v>
          </cell>
          <cell r="D1273" t="str">
            <v>ALIAGA ESPINOZA DIEGO HERNAN</v>
          </cell>
          <cell r="E1273" t="str">
            <v>ADC030114</v>
          </cell>
          <cell r="F1273">
            <v>44</v>
          </cell>
          <cell r="G1273">
            <v>30</v>
          </cell>
          <cell r="H1273" t="str">
            <v>DALIAGA@UTALCA.CL</v>
          </cell>
          <cell r="I1273">
            <v>43831</v>
          </cell>
          <cell r="J1273">
            <v>46387</v>
          </cell>
          <cell r="K1273" t="str">
            <v>CONTRATA</v>
          </cell>
          <cell r="L1273" t="str">
            <v>PROFESIONAL</v>
          </cell>
          <cell r="M1273" t="str">
            <v>PROFESIONAL</v>
          </cell>
          <cell r="N1273" t="str">
            <v>GRADO I.17</v>
          </cell>
          <cell r="O1273" t="str">
            <v>MAGISTER</v>
          </cell>
          <cell r="P1273" t="str">
            <v>MAGISTER EN GESTION TECNOLOGICA</v>
          </cell>
          <cell r="Q1273" t="str">
            <v>TALCA</v>
          </cell>
          <cell r="R1273" t="str">
            <v>DIRECCIÓN DE ASEGURAMIENTO DE LA CALIDAD</v>
          </cell>
          <cell r="S1273" t="str">
            <v>DPTO. DE DESARROLLO DE INFRAESTRUCTURA</v>
          </cell>
        </row>
        <row r="1274">
          <cell r="A1274">
            <v>18226395</v>
          </cell>
          <cell r="B1274" t="str">
            <v>18226395</v>
          </cell>
          <cell r="C1274" t="str">
            <v>8</v>
          </cell>
          <cell r="D1274" t="str">
            <v>BARRIOS NAVARRETE FERNANDA TER</v>
          </cell>
          <cell r="E1274" t="str">
            <v>VDE400002</v>
          </cell>
          <cell r="F1274">
            <v>44</v>
          </cell>
          <cell r="G1274">
            <v>30</v>
          </cell>
          <cell r="H1274" t="str">
            <v>FBARRIOS@UTALCA.CL</v>
          </cell>
          <cell r="I1274">
            <v>43466</v>
          </cell>
          <cell r="J1274">
            <v>46387</v>
          </cell>
          <cell r="K1274" t="str">
            <v>CONTRATA</v>
          </cell>
          <cell r="L1274" t="str">
            <v>PROFESIONAL</v>
          </cell>
          <cell r="M1274" t="str">
            <v>PROFESIONAL</v>
          </cell>
          <cell r="N1274" t="str">
            <v>GRADO I.17</v>
          </cell>
          <cell r="O1274" t="str">
            <v>TÍTULO PROFESIONAL</v>
          </cell>
          <cell r="P1274" t="str">
            <v>PSICÓLOGO</v>
          </cell>
          <cell r="Q1274" t="str">
            <v>TALCA</v>
          </cell>
          <cell r="R1274" t="str">
            <v>VICERRECTORÍA DE DESARROLLO ESTUDIANTIL</v>
          </cell>
          <cell r="S1274" t="str">
            <v>DRCCIÓN. APOYO A ORG. E INICIA. ESTUD.</v>
          </cell>
        </row>
        <row r="1275">
          <cell r="A1275">
            <v>18226538</v>
          </cell>
          <cell r="B1275" t="str">
            <v>18226538</v>
          </cell>
          <cell r="C1275" t="str">
            <v>1</v>
          </cell>
          <cell r="D1275" t="str">
            <v>ROMERO OLAVE PAULA MARLENE</v>
          </cell>
          <cell r="E1275" t="str">
            <v>FCS320001</v>
          </cell>
          <cell r="F1275">
            <v>44</v>
          </cell>
          <cell r="G1275">
            <v>30</v>
          </cell>
          <cell r="H1275" t="str">
            <v>PROMERO@UTALCA.CL</v>
          </cell>
          <cell r="I1275">
            <v>44348</v>
          </cell>
          <cell r="J1275">
            <v>46446</v>
          </cell>
          <cell r="K1275" t="str">
            <v>CONTRATA</v>
          </cell>
          <cell r="L1275" t="str">
            <v>CA DOCENTE</v>
          </cell>
          <cell r="M1275" t="str">
            <v>INSTRUCTOR</v>
          </cell>
          <cell r="N1275" t="str">
            <v>GRADO D</v>
          </cell>
          <cell r="O1275" t="str">
            <v>MAGISTER</v>
          </cell>
          <cell r="P1275" t="str">
            <v>MAGISTER EN CIENCIAS BIOMEDICAS</v>
          </cell>
          <cell r="Q1275" t="str">
            <v>TALCA</v>
          </cell>
          <cell r="R1275" t="str">
            <v>FACULTAD DE CIENCIAS DE LA SALUD</v>
          </cell>
          <cell r="S1275" t="str">
            <v>DPTO. BIOQUÍM. CLÍN. E INMUNOHEMATOLOGÍA</v>
          </cell>
        </row>
        <row r="1276">
          <cell r="A1276">
            <v>18226631</v>
          </cell>
          <cell r="B1276" t="str">
            <v>18226631</v>
          </cell>
          <cell r="C1276" t="str">
            <v>0</v>
          </cell>
          <cell r="D1276" t="str">
            <v>ESPINOZA MARIN YAMILET DEL PIL</v>
          </cell>
          <cell r="E1276" t="str">
            <v>ADC013001</v>
          </cell>
          <cell r="F1276">
            <v>44</v>
          </cell>
          <cell r="G1276">
            <v>30</v>
          </cell>
          <cell r="H1276" t="str">
            <v>YESPINOZA@UTALCA.CL</v>
          </cell>
          <cell r="I1276">
            <v>43101</v>
          </cell>
          <cell r="J1276">
            <v>46387</v>
          </cell>
          <cell r="K1276" t="str">
            <v>CONTRATA</v>
          </cell>
          <cell r="L1276" t="str">
            <v>ADMINISTRATIVO</v>
          </cell>
          <cell r="M1276" t="str">
            <v>ADMINISTRATIVO</v>
          </cell>
          <cell r="N1276" t="str">
            <v>GRADO I.21</v>
          </cell>
          <cell r="O1276" t="str">
            <v>TÍTULO PROFESIONAL</v>
          </cell>
          <cell r="P1276" t="str">
            <v>INGENIERO DE EJECUCIÓN EN ADMINISTRACIÓN DE E</v>
          </cell>
          <cell r="Q1276" t="str">
            <v>TALCA</v>
          </cell>
          <cell r="R1276" t="str">
            <v>CONTRALORÍA UNIVERSITARIA</v>
          </cell>
          <cell r="S1276" t="str">
            <v>CONTRALORÍA UNIVERSITARIA</v>
          </cell>
        </row>
        <row r="1277">
          <cell r="A1277">
            <v>18226697</v>
          </cell>
          <cell r="B1277" t="str">
            <v>18226697</v>
          </cell>
          <cell r="C1277" t="str">
            <v>3</v>
          </cell>
          <cell r="D1277" t="str">
            <v>FAUNDEZ CORREA LEONEL FELIPE</v>
          </cell>
          <cell r="E1277" t="str">
            <v/>
          </cell>
          <cell r="F1277">
            <v>22</v>
          </cell>
          <cell r="G1277">
            <v>30</v>
          </cell>
          <cell r="H1277" t="str">
            <v>LEONEL.FAUNDEZ@UTALCA.CL</v>
          </cell>
          <cell r="I1277">
            <v>45170</v>
          </cell>
          <cell r="J1277">
            <v>46387</v>
          </cell>
          <cell r="K1277" t="str">
            <v>CONTRATA</v>
          </cell>
          <cell r="L1277" t="str">
            <v>PROFESIONAL</v>
          </cell>
          <cell r="M1277" t="str">
            <v>PROFESIONAL</v>
          </cell>
          <cell r="N1277" t="str">
            <v>GRADO I.17</v>
          </cell>
          <cell r="O1277" t="str">
            <v>TÍTULO PROFESIONAL</v>
          </cell>
          <cell r="P1277" t="str">
            <v>CIRUJANO DENTISTA</v>
          </cell>
          <cell r="Q1277" t="str">
            <v>TALCA</v>
          </cell>
          <cell r="R1277" t="str">
            <v>FACULTAD DE ODONTOLOGÍA</v>
          </cell>
          <cell r="S1277" t="str">
            <v>CLÍNICAS ODONTOLÓGICAS</v>
          </cell>
        </row>
        <row r="1278">
          <cell r="A1278">
            <v>18226923</v>
          </cell>
          <cell r="B1278" t="str">
            <v>18226923</v>
          </cell>
          <cell r="C1278" t="str">
            <v>9</v>
          </cell>
          <cell r="D1278" t="str">
            <v>PEREZ GARRIDO KATHERINE REGINA</v>
          </cell>
          <cell r="E1278" t="str">
            <v>VGE400009</v>
          </cell>
          <cell r="F1278">
            <v>44</v>
          </cell>
          <cell r="G1278">
            <v>30</v>
          </cell>
          <cell r="H1278" t="str">
            <v>KATHERINE.PEREZ@UTALCA.CL</v>
          </cell>
          <cell r="I1278">
            <v>43466</v>
          </cell>
          <cell r="J1278">
            <v>46387</v>
          </cell>
          <cell r="K1278" t="str">
            <v>CONTRATA</v>
          </cell>
          <cell r="L1278" t="str">
            <v>ADMINISTRATIVO</v>
          </cell>
          <cell r="M1278" t="str">
            <v>ADMINISTRATIVO</v>
          </cell>
          <cell r="N1278" t="str">
            <v>GRADO I.21</v>
          </cell>
          <cell r="O1278" t="str">
            <v>TÍTULO PROFESIONAL</v>
          </cell>
          <cell r="P1278" t="str">
            <v>CONTADOR AUDITOR</v>
          </cell>
          <cell r="Q1278" t="str">
            <v>TALCA</v>
          </cell>
          <cell r="R1278" t="str">
            <v>VIC. GESTIÓN ECONÓMICA Y ADMINISTRACIÓN</v>
          </cell>
          <cell r="S1278" t="str">
            <v>DRCCIÓN. TECNOLOGÍAS DE LA INFORMACIÓN</v>
          </cell>
        </row>
        <row r="1279">
          <cell r="A1279">
            <v>18227697</v>
          </cell>
          <cell r="B1279" t="str">
            <v>18227697</v>
          </cell>
          <cell r="C1279" t="str">
            <v>9</v>
          </cell>
          <cell r="D1279" t="str">
            <v>NUÑEZ PALMA BARBARA CAMILA</v>
          </cell>
          <cell r="E1279" t="str">
            <v>VDE400001</v>
          </cell>
          <cell r="F1279">
            <v>44</v>
          </cell>
          <cell r="G1279">
            <v>30</v>
          </cell>
          <cell r="H1279" t="str">
            <v>BARBARA.NUNEZ@UTALCA.CL</v>
          </cell>
          <cell r="I1279">
            <v>44197</v>
          </cell>
          <cell r="J1279">
            <v>46387</v>
          </cell>
          <cell r="K1279" t="str">
            <v>CONTRATA</v>
          </cell>
          <cell r="L1279" t="str">
            <v>PROFESIONAL</v>
          </cell>
          <cell r="M1279" t="str">
            <v>PROFESIONAL</v>
          </cell>
          <cell r="N1279" t="str">
            <v>GRADO I.17</v>
          </cell>
          <cell r="O1279" t="str">
            <v>TÍTULO PROFESIONAL</v>
          </cell>
          <cell r="P1279" t="str">
            <v>TRABAJADORA SOCIAL, MENCION EN GESTION DE POL</v>
          </cell>
          <cell r="Q1279" t="str">
            <v>TALCA</v>
          </cell>
          <cell r="R1279" t="str">
            <v>VICERRECTORÍA DE DESARROLLO ESTUDIANTIL</v>
          </cell>
          <cell r="S1279" t="str">
            <v>DIRECCIÓN DE BIENESTAR ESTUDIANTIL</v>
          </cell>
        </row>
        <row r="1280">
          <cell r="A1280">
            <v>18228001</v>
          </cell>
          <cell r="B1280" t="str">
            <v>18228001</v>
          </cell>
          <cell r="C1280" t="str">
            <v>1</v>
          </cell>
          <cell r="D1280" t="str">
            <v>MENDEZ CHAMORRO CLAUDIA FRANCI</v>
          </cell>
          <cell r="E1280" t="str">
            <v/>
          </cell>
          <cell r="F1280">
            <v>33</v>
          </cell>
          <cell r="G1280">
            <v>30</v>
          </cell>
          <cell r="H1280" t="str">
            <v>CLAUDIA.MENDEZ@UTALCA.CL</v>
          </cell>
          <cell r="I1280">
            <v>45078</v>
          </cell>
          <cell r="J1280">
            <v>46387</v>
          </cell>
          <cell r="K1280" t="str">
            <v>CONTRATA</v>
          </cell>
          <cell r="L1280" t="str">
            <v>PROFESIONAL</v>
          </cell>
          <cell r="M1280" t="str">
            <v>PROFESIONAL</v>
          </cell>
          <cell r="N1280" t="str">
            <v>GRADO I.17</v>
          </cell>
          <cell r="O1280" t="str">
            <v>MAGISTER</v>
          </cell>
          <cell r="P1280" t="str">
            <v>MAGISTER EN GESTION DE SISTEMAS DE SALUD</v>
          </cell>
          <cell r="Q1280" t="str">
            <v>TALCA</v>
          </cell>
          <cell r="R1280" t="str">
            <v>FACULTAD DE ODONTOLOGÍA</v>
          </cell>
          <cell r="S1280" t="str">
            <v>CLÍNICAS ODONTOLÓGICAS</v>
          </cell>
        </row>
        <row r="1281">
          <cell r="A1281">
            <v>18235996</v>
          </cell>
          <cell r="B1281" t="str">
            <v>18235996</v>
          </cell>
          <cell r="C1281" t="str">
            <v>3</v>
          </cell>
          <cell r="D1281" t="str">
            <v>KARTSEVSKI DUNE MACKARENA</v>
          </cell>
          <cell r="E1281" t="str">
            <v>FED310002</v>
          </cell>
          <cell r="F1281">
            <v>44</v>
          </cell>
          <cell r="G1281">
            <v>30</v>
          </cell>
          <cell r="H1281" t="str">
            <v>MACKARENA.KARTSEVSKI@UTALCA.CL</v>
          </cell>
          <cell r="I1281">
            <v>45383</v>
          </cell>
          <cell r="J1281">
            <v>46446</v>
          </cell>
          <cell r="K1281" t="str">
            <v>CONTRATA</v>
          </cell>
          <cell r="L1281" t="str">
            <v>CA DOCENTE</v>
          </cell>
          <cell r="M1281" t="str">
            <v>PROFESOR ASISTENTE</v>
          </cell>
          <cell r="N1281" t="str">
            <v>GRADO C</v>
          </cell>
          <cell r="O1281" t="str">
            <v>DOCTORADO</v>
          </cell>
          <cell r="P1281" t="str">
            <v>DOCTORA EN LINGUISTICA</v>
          </cell>
          <cell r="Q1281" t="str">
            <v>LINARES</v>
          </cell>
          <cell r="R1281" t="str">
            <v>FACULTAD DE CIENCIAS DE LA EDUCACIÓN</v>
          </cell>
          <cell r="S1281" t="str">
            <v>ESCUELA DE PEDAGOGÍA EN INGLÉS</v>
          </cell>
        </row>
        <row r="1282">
          <cell r="A1282">
            <v>18252601</v>
          </cell>
          <cell r="B1282" t="str">
            <v>18252601</v>
          </cell>
          <cell r="C1282" t="str">
            <v>0</v>
          </cell>
          <cell r="D1282" t="str">
            <v>AVENDAÑO CONCHA DANIELA KATHER</v>
          </cell>
          <cell r="E1282" t="str">
            <v>VDE400011</v>
          </cell>
          <cell r="F1282">
            <v>44</v>
          </cell>
          <cell r="G1282">
            <v>30</v>
          </cell>
          <cell r="H1282" t="str">
            <v>DAVENDANO@UTALCA.CL</v>
          </cell>
          <cell r="I1282">
            <v>43466</v>
          </cell>
          <cell r="J1282">
            <v>46387</v>
          </cell>
          <cell r="K1282" t="str">
            <v>CONTRATA</v>
          </cell>
          <cell r="L1282" t="str">
            <v>ADMINISTRATIVO</v>
          </cell>
          <cell r="M1282" t="str">
            <v>ADMINISTRATIVO</v>
          </cell>
          <cell r="N1282" t="str">
            <v>GRADO I.21</v>
          </cell>
          <cell r="O1282" t="str">
            <v>TÉC. NIVEL SUPERIOR</v>
          </cell>
          <cell r="P1282" t="str">
            <v>TÉCNICO EN ENFERMERÍA DE NIVEL SUPERIOR</v>
          </cell>
          <cell r="Q1282" t="str">
            <v>CURICO</v>
          </cell>
          <cell r="R1282" t="str">
            <v>VICERRECTORÍA DE DESARROLLO ESTUDIANTIL</v>
          </cell>
          <cell r="S1282" t="str">
            <v>DIRECCIÓN DE SALUD ESTUDIANTIL</v>
          </cell>
        </row>
        <row r="1283">
          <cell r="A1283">
            <v>18252782</v>
          </cell>
          <cell r="B1283" t="str">
            <v>18252782</v>
          </cell>
          <cell r="C1283" t="str">
            <v>3</v>
          </cell>
          <cell r="D1283" t="str">
            <v>RIQUELME ESCOBAR ANGIE YARLENE</v>
          </cell>
          <cell r="E1283" t="str">
            <v>VRF400009</v>
          </cell>
          <cell r="F1283">
            <v>44</v>
          </cell>
          <cell r="G1283">
            <v>30</v>
          </cell>
          <cell r="H1283" t="str">
            <v>ANGIE.RIQUELME@UTALCA.CL</v>
          </cell>
          <cell r="I1283">
            <v>44986</v>
          </cell>
          <cell r="J1283">
            <v>46387</v>
          </cell>
          <cell r="K1283" t="str">
            <v>CONTRATA</v>
          </cell>
          <cell r="L1283" t="str">
            <v>PROFESIONAL</v>
          </cell>
          <cell r="M1283" t="str">
            <v>PROFESIONAL</v>
          </cell>
          <cell r="N1283" t="str">
            <v>GRADO I.17</v>
          </cell>
          <cell r="O1283" t="str">
            <v>TÍTULO PROFESIONAL</v>
          </cell>
          <cell r="P1283" t="str">
            <v>SOCIOLOGA</v>
          </cell>
          <cell r="Q1283" t="str">
            <v>TALCA</v>
          </cell>
          <cell r="R1283" t="str">
            <v>VICERRECTORÍA DE FORMACIÓN</v>
          </cell>
          <cell r="S1283" t="str">
            <v>PROGRAMA DE FORMACIÓN FUNDAMENTAL</v>
          </cell>
        </row>
        <row r="1284">
          <cell r="A1284">
            <v>18253547</v>
          </cell>
          <cell r="B1284" t="str">
            <v>18253547</v>
          </cell>
          <cell r="C1284" t="str">
            <v>8</v>
          </cell>
          <cell r="D1284" t="str">
            <v>GONZALEZ GONZALEZ CATARINA FAB</v>
          </cell>
          <cell r="E1284" t="str">
            <v>ADC030113</v>
          </cell>
          <cell r="F1284">
            <v>44</v>
          </cell>
          <cell r="G1284">
            <v>30</v>
          </cell>
          <cell r="H1284" t="str">
            <v>CGONZALEZG@UTALCA.CL</v>
          </cell>
          <cell r="I1284">
            <v>43466</v>
          </cell>
          <cell r="J1284">
            <v>46387</v>
          </cell>
          <cell r="K1284" t="str">
            <v>CONTRATA</v>
          </cell>
          <cell r="L1284" t="str">
            <v>PROFESIONAL</v>
          </cell>
          <cell r="M1284" t="str">
            <v>PROFESIONAL</v>
          </cell>
          <cell r="N1284" t="str">
            <v>GRADO I.17</v>
          </cell>
          <cell r="O1284" t="str">
            <v>TÍTULO PROFESIONAL</v>
          </cell>
          <cell r="P1284" t="str">
            <v>INGENIERO COMERCIAL</v>
          </cell>
          <cell r="Q1284" t="str">
            <v>TALCA</v>
          </cell>
          <cell r="R1284" t="str">
            <v>DIRECCIÓN DE ASEGURAMIENTO DE LA CALIDAD</v>
          </cell>
          <cell r="S1284" t="str">
            <v>DPTO. PLANIFICACIÓN Y PROYECTOS ESTRATÉ.</v>
          </cell>
        </row>
        <row r="1285">
          <cell r="A1285">
            <v>18253651</v>
          </cell>
          <cell r="B1285" t="str">
            <v>18253651</v>
          </cell>
          <cell r="C1285" t="str">
            <v>2</v>
          </cell>
          <cell r="D1285" t="str">
            <v>LEIVA NAVARRO MARIA FRANCISCA</v>
          </cell>
          <cell r="E1285" t="str">
            <v>FCI310008</v>
          </cell>
          <cell r="F1285">
            <v>44</v>
          </cell>
          <cell r="G1285">
            <v>30</v>
          </cell>
          <cell r="H1285" t="str">
            <v>FLEIVA@UTALCA.CL</v>
          </cell>
          <cell r="I1285">
            <v>43101</v>
          </cell>
          <cell r="J1285">
            <v>2958465</v>
          </cell>
          <cell r="K1285" t="str">
            <v>PLANTA</v>
          </cell>
          <cell r="L1285" t="str">
            <v>ADMINISTRATIVO</v>
          </cell>
          <cell r="M1285" t="str">
            <v>ADMINISTRATIVO</v>
          </cell>
          <cell r="N1285" t="str">
            <v>GRADO I.20</v>
          </cell>
          <cell r="O1285" t="str">
            <v>TÉC. NIVEL MEDIO</v>
          </cell>
          <cell r="P1285" t="str">
            <v>SECRETARIA TÉCNICO DE NIVEL MEDIO</v>
          </cell>
          <cell r="Q1285" t="str">
            <v>CURICO</v>
          </cell>
          <cell r="R1285" t="str">
            <v>FACULTAD DE INGENIERÍA</v>
          </cell>
          <cell r="S1285" t="str">
            <v>ESC. DE INGENIERÍA CIVIL EN MECATRÓNICA</v>
          </cell>
        </row>
        <row r="1286">
          <cell r="A1286">
            <v>18254268</v>
          </cell>
          <cell r="B1286" t="str">
            <v>18254268</v>
          </cell>
          <cell r="C1286" t="str">
            <v>7</v>
          </cell>
          <cell r="D1286" t="str">
            <v>CACERES HERRERA LUIS ANIBAL</v>
          </cell>
          <cell r="E1286" t="str">
            <v>VGE400050</v>
          </cell>
          <cell r="F1286">
            <v>44</v>
          </cell>
          <cell r="G1286">
            <v>30</v>
          </cell>
          <cell r="H1286" t="str">
            <v>LUIS.CACERES@UTALCA.CL</v>
          </cell>
          <cell r="I1286">
            <v>44256</v>
          </cell>
          <cell r="J1286">
            <v>46387</v>
          </cell>
          <cell r="K1286" t="str">
            <v>CONTRATA</v>
          </cell>
          <cell r="L1286" t="str">
            <v>DIR EXCLU. CONFIANZA</v>
          </cell>
          <cell r="M1286" t="str">
            <v>PROFESIONAL</v>
          </cell>
          <cell r="N1286" t="str">
            <v>GRADO I.17</v>
          </cell>
          <cell r="O1286" t="str">
            <v>TÍTULO PROFESIONAL</v>
          </cell>
          <cell r="P1286" t="str">
            <v>INGENIERO CIVIL INDUSTRIAL</v>
          </cell>
          <cell r="Q1286" t="str">
            <v>TALCA</v>
          </cell>
          <cell r="R1286" t="str">
            <v>VIC. GESTIÓN ECONÓMICA Y ADMINISTRACIÓN</v>
          </cell>
          <cell r="S1286" t="str">
            <v>DEPARTAMENTO DE ADMINISTRACIÓN DE CAMPUS</v>
          </cell>
        </row>
        <row r="1287">
          <cell r="A1287">
            <v>18286733</v>
          </cell>
          <cell r="B1287" t="str">
            <v>18286733</v>
          </cell>
          <cell r="C1287" t="str">
            <v>0</v>
          </cell>
          <cell r="D1287" t="str">
            <v>ARAUNA FUENTES DIEGO PIERO ARM</v>
          </cell>
          <cell r="E1287" t="str">
            <v>VAC400024</v>
          </cell>
          <cell r="F1287">
            <v>44</v>
          </cell>
          <cell r="G1287">
            <v>30</v>
          </cell>
          <cell r="H1287" t="str">
            <v>DARAUNA@UTALCA.CL</v>
          </cell>
          <cell r="I1287">
            <v>44621</v>
          </cell>
          <cell r="J1287">
            <v>46387</v>
          </cell>
          <cell r="K1287" t="str">
            <v>CONTRATA</v>
          </cell>
          <cell r="L1287" t="str">
            <v>C ESPECIALES</v>
          </cell>
          <cell r="M1287" t="str">
            <v>INVESTIGADOR</v>
          </cell>
          <cell r="N1287" t="str">
            <v>SIN GRADO</v>
          </cell>
          <cell r="O1287" t="str">
            <v>DOCTORADO</v>
          </cell>
          <cell r="P1287" t="str">
            <v>DOCTOR EN CIENCIAS BIOMÉDICAS</v>
          </cell>
          <cell r="Q1287" t="str">
            <v>TALCA</v>
          </cell>
          <cell r="R1287" t="str">
            <v>VICERRECTORÍA ACADÉMICA</v>
          </cell>
          <cell r="S1287" t="str">
            <v>VICERRECTORÍA ACADÉMICA</v>
          </cell>
        </row>
        <row r="1288">
          <cell r="A1288">
            <v>18287312</v>
          </cell>
          <cell r="B1288" t="str">
            <v>18287312</v>
          </cell>
          <cell r="C1288" t="str">
            <v>8</v>
          </cell>
          <cell r="D1288" t="str">
            <v>IBAÑEZ OSORIO NICOLE DENISSE</v>
          </cell>
          <cell r="E1288" t="str">
            <v>FED310002</v>
          </cell>
          <cell r="F1288">
            <v>44</v>
          </cell>
          <cell r="G1288">
            <v>30</v>
          </cell>
          <cell r="H1288" t="str">
            <v>NICOLE.IBANEZ@UTALCA.CL</v>
          </cell>
          <cell r="I1288">
            <v>45047</v>
          </cell>
          <cell r="J1288">
            <v>46387</v>
          </cell>
          <cell r="K1288" t="str">
            <v>CONTRATA</v>
          </cell>
          <cell r="L1288" t="str">
            <v>ADMINISTRATIVO</v>
          </cell>
          <cell r="M1288" t="str">
            <v>ADMINISTRATIVO</v>
          </cell>
          <cell r="N1288" t="str">
            <v>GRADO I.21</v>
          </cell>
          <cell r="O1288" t="str">
            <v>TÍTULO PROFESIONAL</v>
          </cell>
          <cell r="P1288" t="str">
            <v>TECNICO SUPERIOR EN ADMINISTRACION</v>
          </cell>
          <cell r="Q1288" t="str">
            <v>LINARES</v>
          </cell>
          <cell r="R1288" t="str">
            <v>FACULTAD DE CIENCIAS DE LA EDUCACIÓN</v>
          </cell>
          <cell r="S1288" t="str">
            <v>ESCUELA DE PEDAGOGÍA EN INGLÉS</v>
          </cell>
        </row>
        <row r="1289">
          <cell r="A1289">
            <v>18287400</v>
          </cell>
          <cell r="B1289" t="str">
            <v>18287400</v>
          </cell>
          <cell r="C1289" t="str">
            <v>0</v>
          </cell>
          <cell r="D1289" t="str">
            <v>MUÑOZ ALARCON CARLOS ALEXIS</v>
          </cell>
          <cell r="E1289" t="str">
            <v>VGE400004</v>
          </cell>
          <cell r="F1289">
            <v>44</v>
          </cell>
          <cell r="G1289">
            <v>30</v>
          </cell>
          <cell r="H1289" t="str">
            <v>CARLOS.MUNOZ@UTALCA.CL</v>
          </cell>
          <cell r="I1289">
            <v>44197</v>
          </cell>
          <cell r="J1289">
            <v>46387</v>
          </cell>
          <cell r="K1289" t="str">
            <v>CONTRATA</v>
          </cell>
          <cell r="L1289" t="str">
            <v>PROFESIONAL</v>
          </cell>
          <cell r="M1289" t="str">
            <v>PROFESIONAL</v>
          </cell>
          <cell r="N1289" t="str">
            <v>GRADO I.17</v>
          </cell>
          <cell r="O1289" t="str">
            <v>TÍTULO PROFESIONAL</v>
          </cell>
          <cell r="P1289" t="str">
            <v>INGENIERO EN INFORMÁTICA EMPRESARIAL</v>
          </cell>
          <cell r="Q1289" t="str">
            <v>TALCA</v>
          </cell>
          <cell r="R1289" t="str">
            <v>VIC. GESTIÓN ECONÓMICA Y ADMINISTRACIÓN</v>
          </cell>
          <cell r="S1289" t="str">
            <v>DEPARTAMENTO DE CONTABILIDAD Y BIENES</v>
          </cell>
        </row>
        <row r="1290">
          <cell r="A1290">
            <v>18296798</v>
          </cell>
          <cell r="B1290" t="str">
            <v>18296798</v>
          </cell>
          <cell r="C1290" t="str">
            <v>K</v>
          </cell>
          <cell r="D1290" t="str">
            <v>CORDOVA SANDOVAL MARIA TERESA</v>
          </cell>
          <cell r="E1290" t="str">
            <v>ADC030112</v>
          </cell>
          <cell r="F1290">
            <v>44</v>
          </cell>
          <cell r="G1290">
            <v>30</v>
          </cell>
          <cell r="H1290" t="str">
            <v>MACORDOVA@UTALCA.CL</v>
          </cell>
          <cell r="I1290">
            <v>43466</v>
          </cell>
          <cell r="J1290">
            <v>46387</v>
          </cell>
          <cell r="K1290" t="str">
            <v>CONTRATA</v>
          </cell>
          <cell r="L1290" t="str">
            <v>PROFESIONAL</v>
          </cell>
          <cell r="M1290" t="str">
            <v>PROFESIONAL</v>
          </cell>
          <cell r="N1290" t="str">
            <v>GRADO I.17</v>
          </cell>
          <cell r="O1290" t="str">
            <v>MAGISTER</v>
          </cell>
          <cell r="P1290" t="str">
            <v>MAGISTER EN ADMINISTRACIÓN DE EMPRESAS-EXECUT</v>
          </cell>
          <cell r="Q1290" t="str">
            <v>TALCA</v>
          </cell>
          <cell r="R1290" t="str">
            <v>DIRECCIÓN DE ASEGURAMIENTO DE LA CALIDAD</v>
          </cell>
          <cell r="S1290" t="str">
            <v>DPTO. DE ANÁLISIS Y ASEGU. DE LA CALIDAD</v>
          </cell>
        </row>
        <row r="1291">
          <cell r="A1291">
            <v>18302883</v>
          </cell>
          <cell r="B1291" t="str">
            <v>18302883</v>
          </cell>
          <cell r="C1291" t="str">
            <v>9</v>
          </cell>
          <cell r="D1291" t="str">
            <v>ULLOA GONZALEZ JUAN PABLO</v>
          </cell>
          <cell r="E1291" t="str">
            <v>VRF400043</v>
          </cell>
          <cell r="F1291">
            <v>44</v>
          </cell>
          <cell r="G1291">
            <v>30</v>
          </cell>
          <cell r="H1291" t="str">
            <v>JUAN.ULLOA@UTALCA.CL</v>
          </cell>
          <cell r="I1291">
            <v>45061</v>
          </cell>
          <cell r="J1291">
            <v>46387</v>
          </cell>
          <cell r="K1291" t="str">
            <v>CONTRATA</v>
          </cell>
          <cell r="L1291" t="str">
            <v>PROFESIONAL</v>
          </cell>
          <cell r="M1291" t="str">
            <v>PROFESIONAL</v>
          </cell>
          <cell r="N1291" t="str">
            <v>GRADO I.17</v>
          </cell>
          <cell r="O1291" t="str">
            <v>TÍTULO PROFESIONAL</v>
          </cell>
          <cell r="P1291" t="str">
            <v>INGENIERO EN INFORMATICA</v>
          </cell>
          <cell r="Q1291" t="str">
            <v>TALCA</v>
          </cell>
          <cell r="R1291" t="str">
            <v>VICERRECTORÍA DE FORMACIÓN</v>
          </cell>
          <cell r="S1291" t="str">
            <v>DPTO. DE GESTIÓN DE INFORM. ESTUDIANTIL</v>
          </cell>
        </row>
        <row r="1292">
          <cell r="A1292">
            <v>18334362</v>
          </cell>
          <cell r="B1292" t="str">
            <v>18334362</v>
          </cell>
          <cell r="C1292" t="str">
            <v>9</v>
          </cell>
          <cell r="D1292" t="str">
            <v>JIMENEZ FIERRO SCARLETT NATALI</v>
          </cell>
          <cell r="E1292" t="str">
            <v>FCS200001</v>
          </cell>
          <cell r="F1292">
            <v>33</v>
          </cell>
          <cell r="G1292">
            <v>30</v>
          </cell>
          <cell r="H1292" t="str">
            <v>SJIMENEZ@UTALCA.CL</v>
          </cell>
          <cell r="I1292">
            <v>44927</v>
          </cell>
          <cell r="J1292">
            <v>46387</v>
          </cell>
          <cell r="K1292" t="str">
            <v>CONTRATA</v>
          </cell>
          <cell r="L1292" t="str">
            <v>C ESPECIALES</v>
          </cell>
          <cell r="M1292" t="str">
            <v>TUTOR(A) PRÁCTICA</v>
          </cell>
          <cell r="N1292" t="str">
            <v>SIN GRADO</v>
          </cell>
          <cell r="O1292" t="str">
            <v>TÍTULO PROFESIONAL</v>
          </cell>
          <cell r="P1292" t="str">
            <v>KINESIOLOGO</v>
          </cell>
          <cell r="Q1292" t="str">
            <v>TALCA</v>
          </cell>
          <cell r="R1292" t="str">
            <v>FACULTAD DE CIENCIAS DE LA SALUD</v>
          </cell>
          <cell r="S1292" t="str">
            <v>FACULTAD DE CIENCIAS DE LA SALUD</v>
          </cell>
        </row>
        <row r="1293">
          <cell r="A1293">
            <v>18334968</v>
          </cell>
          <cell r="B1293" t="str">
            <v>18334968</v>
          </cell>
          <cell r="C1293" t="str">
            <v>6</v>
          </cell>
          <cell r="D1293" t="str">
            <v>PARRAGUEZ MORALES PAULINA ALEJ</v>
          </cell>
          <cell r="E1293" t="str">
            <v>VDE400001</v>
          </cell>
          <cell r="F1293">
            <v>22</v>
          </cell>
          <cell r="G1293">
            <v>30</v>
          </cell>
          <cell r="H1293" t="str">
            <v/>
          </cell>
          <cell r="I1293">
            <v>46082</v>
          </cell>
          <cell r="J1293">
            <v>46387</v>
          </cell>
          <cell r="K1293" t="str">
            <v>CONTRATA</v>
          </cell>
          <cell r="L1293" t="str">
            <v>PROFESIONAL</v>
          </cell>
          <cell r="M1293" t="str">
            <v>PROFESIONAL</v>
          </cell>
          <cell r="N1293" t="str">
            <v>GRADO I.17</v>
          </cell>
          <cell r="O1293" t="str">
            <v>TÍTULO PROFESIONAL</v>
          </cell>
          <cell r="P1293" t="str">
            <v>TRABAJADORA SOCIAL</v>
          </cell>
          <cell r="Q1293" t="str">
            <v>COLCHAGUA</v>
          </cell>
          <cell r="R1293" t="str">
            <v>VICERRECTORÍA DE DESARROLLO ESTUDIANTIL</v>
          </cell>
          <cell r="S1293" t="str">
            <v>DIRECCIÓN DE BIENESTAR ESTUDIANTIL</v>
          </cell>
        </row>
        <row r="1294">
          <cell r="A1294">
            <v>18344105</v>
          </cell>
          <cell r="B1294" t="str">
            <v>18344105</v>
          </cell>
          <cell r="C1294" t="str">
            <v>1</v>
          </cell>
          <cell r="D1294" t="str">
            <v>AGUILERA JORQUERA CARLA FRANCE</v>
          </cell>
          <cell r="E1294" t="str">
            <v>ADC030115</v>
          </cell>
          <cell r="F1294">
            <v>44</v>
          </cell>
          <cell r="G1294">
            <v>30</v>
          </cell>
          <cell r="H1294" t="str">
            <v>CARLA.AGUILERA@UTALCA.CL</v>
          </cell>
          <cell r="I1294">
            <v>45056</v>
          </cell>
          <cell r="J1294">
            <v>46387</v>
          </cell>
          <cell r="K1294" t="str">
            <v>CONTRATA</v>
          </cell>
          <cell r="L1294" t="str">
            <v>PROFESIONAL</v>
          </cell>
          <cell r="M1294" t="str">
            <v>PROFESIONAL</v>
          </cell>
          <cell r="N1294" t="str">
            <v>GRADO I.17</v>
          </cell>
          <cell r="O1294" t="str">
            <v>TÍTULO PROFESIONAL</v>
          </cell>
          <cell r="P1294" t="str">
            <v>ENFERMERA</v>
          </cell>
          <cell r="Q1294" t="str">
            <v>TALCA</v>
          </cell>
          <cell r="R1294" t="str">
            <v>DIRECCIÓN DE ASEGURAMIENTO DE LA CALIDAD</v>
          </cell>
          <cell r="S1294" t="str">
            <v>DEPTO. RED SALUD Y CAMPOS CLINICOS.</v>
          </cell>
        </row>
        <row r="1295">
          <cell r="A1295">
            <v>18359623</v>
          </cell>
          <cell r="B1295" t="str">
            <v>18359623</v>
          </cell>
          <cell r="C1295" t="str">
            <v>3</v>
          </cell>
          <cell r="D1295" t="str">
            <v>MERIÑO SALGADO VICTOR ALEJANDR</v>
          </cell>
          <cell r="E1295" t="str">
            <v/>
          </cell>
          <cell r="F1295">
            <v>44</v>
          </cell>
          <cell r="G1295">
            <v>30</v>
          </cell>
          <cell r="H1295" t="str">
            <v>VMERINO@UTALCA.CL</v>
          </cell>
          <cell r="I1295">
            <v>44927</v>
          </cell>
          <cell r="J1295">
            <v>46387</v>
          </cell>
          <cell r="K1295" t="str">
            <v>CONTRATA</v>
          </cell>
          <cell r="L1295" t="str">
            <v>TÉCNICO</v>
          </cell>
          <cell r="M1295" t="str">
            <v>TÉCNICO</v>
          </cell>
          <cell r="N1295" t="str">
            <v>GRADO I.23</v>
          </cell>
          <cell r="O1295" t="str">
            <v>TÍTULO PROFESIONAL</v>
          </cell>
          <cell r="P1295" t="str">
            <v>TECNICO EN VINICULTURA</v>
          </cell>
          <cell r="Q1295" t="str">
            <v>TALCA</v>
          </cell>
          <cell r="R1295" t="str">
            <v/>
          </cell>
          <cell r="S1295" t="str">
            <v/>
          </cell>
        </row>
        <row r="1296">
          <cell r="A1296">
            <v>18359891</v>
          </cell>
          <cell r="B1296" t="str">
            <v>18359891</v>
          </cell>
          <cell r="C1296" t="str">
            <v>0</v>
          </cell>
          <cell r="D1296" t="str">
            <v>GONZALEZ NOVOA JOHAN MANUEL</v>
          </cell>
          <cell r="E1296" t="str">
            <v>FCI320004</v>
          </cell>
          <cell r="F1296">
            <v>44</v>
          </cell>
          <cell r="G1296">
            <v>30</v>
          </cell>
          <cell r="H1296" t="str">
            <v>JOHANGONZALEZ@UTALCA.CL</v>
          </cell>
          <cell r="I1296">
            <v>45139</v>
          </cell>
          <cell r="J1296">
            <v>46446</v>
          </cell>
          <cell r="K1296" t="str">
            <v>CONTRATA</v>
          </cell>
          <cell r="L1296" t="str">
            <v>CA DOCENTE</v>
          </cell>
          <cell r="M1296" t="str">
            <v>PROFESOR ASISTENTE</v>
          </cell>
          <cell r="N1296" t="str">
            <v>GRADO C</v>
          </cell>
          <cell r="O1296" t="str">
            <v>DOCTORADO</v>
          </cell>
          <cell r="P1296" t="str">
            <v>DOCTOR EN SISTEMAS DE INGENIERIA</v>
          </cell>
          <cell r="Q1296" t="str">
            <v>CURICO</v>
          </cell>
          <cell r="R1296" t="str">
            <v>FACULTAD DE INGENIERÍA</v>
          </cell>
          <cell r="S1296" t="str">
            <v>DEPARTAMENTO DE TECNOLOGÍA INDUSTRIALES</v>
          </cell>
        </row>
        <row r="1297">
          <cell r="A1297">
            <v>18360172</v>
          </cell>
          <cell r="B1297" t="str">
            <v>18360172</v>
          </cell>
          <cell r="C1297" t="str">
            <v>5</v>
          </cell>
          <cell r="D1297" t="str">
            <v>CASTRO LARA FERNANDA ELISA</v>
          </cell>
          <cell r="E1297" t="str">
            <v/>
          </cell>
          <cell r="F1297">
            <v>44</v>
          </cell>
          <cell r="G1297">
            <v>30</v>
          </cell>
          <cell r="H1297" t="str">
            <v>FERNANDA.CASTRO@UTALCA.CL</v>
          </cell>
          <cell r="I1297">
            <v>45170</v>
          </cell>
          <cell r="J1297">
            <v>46387</v>
          </cell>
          <cell r="K1297" t="str">
            <v>CONTRATA</v>
          </cell>
          <cell r="L1297" t="str">
            <v>PROFESIONAL</v>
          </cell>
          <cell r="M1297" t="str">
            <v>PROFESIONAL</v>
          </cell>
          <cell r="N1297" t="str">
            <v>GRADO I.17</v>
          </cell>
          <cell r="O1297" t="str">
            <v>TÍTULO PROFESIONAL</v>
          </cell>
          <cell r="P1297" t="str">
            <v>INGENIERO COMERCIAL</v>
          </cell>
          <cell r="Q1297" t="str">
            <v>TALCA</v>
          </cell>
          <cell r="R1297" t="str">
            <v>FACULTAD DE PSICOLOGÍA</v>
          </cell>
          <cell r="S1297" t="str">
            <v>FACULTAD DE PSICOLOGÍA</v>
          </cell>
        </row>
        <row r="1298">
          <cell r="A1298">
            <v>18395297</v>
          </cell>
          <cell r="B1298" t="str">
            <v>18395297</v>
          </cell>
          <cell r="C1298" t="str">
            <v>8</v>
          </cell>
          <cell r="D1298" t="str">
            <v>PAROT SOTO VALENTINA</v>
          </cell>
          <cell r="E1298" t="str">
            <v>FCS200001</v>
          </cell>
          <cell r="F1298">
            <v>37</v>
          </cell>
          <cell r="G1298">
            <v>30</v>
          </cell>
          <cell r="H1298" t="str">
            <v>VPAROT@UTALCA.CL</v>
          </cell>
          <cell r="I1298">
            <v>44927</v>
          </cell>
          <cell r="J1298">
            <v>46387</v>
          </cell>
          <cell r="K1298" t="str">
            <v>CONTRATA</v>
          </cell>
          <cell r="L1298" t="str">
            <v>C ESPECIALES</v>
          </cell>
          <cell r="M1298" t="str">
            <v>TUTOR(A) PRÁCTICA</v>
          </cell>
          <cell r="N1298" t="str">
            <v>SIN GRADO</v>
          </cell>
          <cell r="O1298" t="str">
            <v>TÍTULO PROFESIONAL</v>
          </cell>
          <cell r="P1298" t="str">
            <v>NUTRICIONISTA</v>
          </cell>
          <cell r="Q1298" t="str">
            <v>TALCA</v>
          </cell>
          <cell r="R1298" t="str">
            <v>FACULTAD DE CIENCIAS DE LA SALUD</v>
          </cell>
          <cell r="S1298" t="str">
            <v>FACULTAD DE CIENCIAS DE LA SALUD</v>
          </cell>
        </row>
        <row r="1299">
          <cell r="A1299">
            <v>18404251</v>
          </cell>
          <cell r="B1299" t="str">
            <v>18404251</v>
          </cell>
          <cell r="C1299" t="str">
            <v>7</v>
          </cell>
          <cell r="D1299" t="str">
            <v>NEIRA ENCINA CATHERINE VICTORI</v>
          </cell>
          <cell r="E1299" t="str">
            <v>VDE400009</v>
          </cell>
          <cell r="F1299">
            <v>22</v>
          </cell>
          <cell r="G1299">
            <v>30</v>
          </cell>
          <cell r="H1299" t="str">
            <v>CNEIRA@UTALCA.CL</v>
          </cell>
          <cell r="I1299">
            <v>44197</v>
          </cell>
          <cell r="J1299">
            <v>46387</v>
          </cell>
          <cell r="K1299" t="str">
            <v>CONTRATA</v>
          </cell>
          <cell r="L1299" t="str">
            <v>PROFESIONAL</v>
          </cell>
          <cell r="M1299" t="str">
            <v>PROFESIONAL</v>
          </cell>
          <cell r="N1299" t="str">
            <v>GRADO I.17</v>
          </cell>
          <cell r="O1299" t="str">
            <v>TÍTULO PROFESIONAL</v>
          </cell>
          <cell r="P1299" t="str">
            <v>PSICOLOGO</v>
          </cell>
          <cell r="Q1299" t="str">
            <v>TALCA</v>
          </cell>
          <cell r="R1299" t="str">
            <v>VICERRECTORÍA DE DESARROLLO ESTUDIANTIL</v>
          </cell>
          <cell r="S1299" t="str">
            <v>DIRECCIÓN DE SALUD ESTUDIANTIL</v>
          </cell>
        </row>
        <row r="1300">
          <cell r="A1300">
            <v>18412550</v>
          </cell>
          <cell r="B1300" t="str">
            <v>18412550</v>
          </cell>
          <cell r="C1300" t="str">
            <v>1</v>
          </cell>
          <cell r="D1300" t="str">
            <v>OTAROLA SEPULVEDA PAULA FERNAN</v>
          </cell>
          <cell r="E1300" t="str">
            <v>VDE400009</v>
          </cell>
          <cell r="F1300">
            <v>33</v>
          </cell>
          <cell r="G1300">
            <v>30</v>
          </cell>
          <cell r="H1300" t="str">
            <v>PAULA.OTAROLA@UTALCA.CL</v>
          </cell>
          <cell r="I1300">
            <v>44743</v>
          </cell>
          <cell r="J1300">
            <v>46387</v>
          </cell>
          <cell r="K1300" t="str">
            <v>CONTRATA</v>
          </cell>
          <cell r="L1300" t="str">
            <v>PROFESIONAL</v>
          </cell>
          <cell r="M1300" t="str">
            <v>PROFESIONAL</v>
          </cell>
          <cell r="N1300" t="str">
            <v>GRADO I.17</v>
          </cell>
          <cell r="O1300" t="str">
            <v>TÍTULO PROFESIONAL</v>
          </cell>
          <cell r="P1300" t="str">
            <v>CIRUJANO DENTISTA</v>
          </cell>
          <cell r="Q1300" t="str">
            <v>TALCA</v>
          </cell>
          <cell r="R1300" t="str">
            <v>VICERRECTORÍA DE DESARROLLO ESTUDIANTIL</v>
          </cell>
          <cell r="S1300" t="str">
            <v>DIRECCIÓN DE SALUD ESTUDIANTIL</v>
          </cell>
        </row>
        <row r="1301">
          <cell r="A1301">
            <v>18450903</v>
          </cell>
          <cell r="B1301" t="str">
            <v>18450903</v>
          </cell>
          <cell r="C1301" t="str">
            <v>2</v>
          </cell>
          <cell r="D1301" t="str">
            <v>VALENZUELA ORREGO EUNICE FABIO</v>
          </cell>
          <cell r="E1301" t="str">
            <v>FCS320007</v>
          </cell>
          <cell r="F1301">
            <v>44</v>
          </cell>
          <cell r="G1301">
            <v>30</v>
          </cell>
          <cell r="H1301" t="str">
            <v>EUVALENZUELA@UTALCA.CL</v>
          </cell>
          <cell r="I1301">
            <v>44927</v>
          </cell>
          <cell r="J1301">
            <v>46446</v>
          </cell>
          <cell r="K1301" t="str">
            <v>CONTRATA</v>
          </cell>
          <cell r="L1301" t="str">
            <v>CA DOCENTE</v>
          </cell>
          <cell r="M1301" t="str">
            <v>INSTRUCTOR</v>
          </cell>
          <cell r="N1301" t="str">
            <v>GRADO D</v>
          </cell>
          <cell r="O1301" t="str">
            <v>MAGISTER</v>
          </cell>
          <cell r="P1301" t="str">
            <v>MAGISTER EN ESTRATEGIAS DE INTERVENCION VOCAL</v>
          </cell>
          <cell r="Q1301" t="str">
            <v>TALCA</v>
          </cell>
          <cell r="R1301" t="str">
            <v>FACULTAD DE CIENCIAS DE LA SALUD</v>
          </cell>
          <cell r="S1301" t="str">
            <v>DPTO. DE CIENCIAS BÁSICAS BIOMÉDICAS</v>
          </cell>
        </row>
        <row r="1302">
          <cell r="A1302">
            <v>18474617</v>
          </cell>
          <cell r="B1302" t="str">
            <v>18474617</v>
          </cell>
          <cell r="C1302" t="str">
            <v>4</v>
          </cell>
          <cell r="D1302" t="str">
            <v>PEREZ ESPINOZA TAMARA PAOLA</v>
          </cell>
          <cell r="E1302" t="str">
            <v>VAC400082</v>
          </cell>
          <cell r="F1302">
            <v>44</v>
          </cell>
          <cell r="G1302">
            <v>30</v>
          </cell>
          <cell r="H1302" t="str">
            <v>TAMARA.PEREZ@UTALCA.CL</v>
          </cell>
          <cell r="I1302">
            <v>45017</v>
          </cell>
          <cell r="J1302">
            <v>46387</v>
          </cell>
          <cell r="K1302" t="str">
            <v>CONTRATA</v>
          </cell>
          <cell r="L1302" t="str">
            <v>PROFESIONAL</v>
          </cell>
          <cell r="M1302" t="str">
            <v>PROFESIONAL</v>
          </cell>
          <cell r="N1302" t="str">
            <v>GRADO I.17</v>
          </cell>
          <cell r="O1302" t="str">
            <v>TÍTULO PROFESIONAL</v>
          </cell>
          <cell r="P1302" t="str">
            <v>INGENIERO COMERCIAL</v>
          </cell>
          <cell r="Q1302" t="str">
            <v>TALCA</v>
          </cell>
          <cell r="R1302" t="str">
            <v>VICERRECTORÍA ACADÉMICA</v>
          </cell>
          <cell r="S1302" t="str">
            <v>UN. DE GESTIÓN DE LA INNOVACIÓN Y EMPTO.</v>
          </cell>
        </row>
        <row r="1303">
          <cell r="A1303">
            <v>18475437</v>
          </cell>
          <cell r="B1303" t="str">
            <v>18475437</v>
          </cell>
          <cell r="C1303" t="str">
            <v>1</v>
          </cell>
          <cell r="D1303" t="str">
            <v>GUTIERREZ GONZALEZ MAURICIO AN</v>
          </cell>
          <cell r="E1303" t="str">
            <v>VGE400020</v>
          </cell>
          <cell r="F1303">
            <v>44</v>
          </cell>
          <cell r="G1303">
            <v>30</v>
          </cell>
          <cell r="H1303" t="str">
            <v>MAURICIO.GUTIERREZ@UTALCA.CL</v>
          </cell>
          <cell r="I1303">
            <v>44197</v>
          </cell>
          <cell r="J1303">
            <v>46387</v>
          </cell>
          <cell r="K1303" t="str">
            <v>CONTRATA</v>
          </cell>
          <cell r="L1303" t="str">
            <v>PROFESIONAL</v>
          </cell>
          <cell r="M1303" t="str">
            <v>PROFESIONAL</v>
          </cell>
          <cell r="N1303" t="str">
            <v>GRADO I.17</v>
          </cell>
          <cell r="O1303" t="str">
            <v>TÍTULO PROFESIONAL</v>
          </cell>
          <cell r="P1303" t="str">
            <v>INGENIERO COMERCIAL</v>
          </cell>
          <cell r="Q1303" t="str">
            <v>TALCA</v>
          </cell>
          <cell r="R1303" t="str">
            <v>VIC. GESTIÓN ECONÓMICA Y ADMINISTRACIÓN</v>
          </cell>
          <cell r="S1303" t="str">
            <v>DEPARTAMENTO DE TESORERÍA</v>
          </cell>
        </row>
        <row r="1304">
          <cell r="A1304">
            <v>18476041</v>
          </cell>
          <cell r="B1304" t="str">
            <v>18476041</v>
          </cell>
          <cell r="C1304" t="str">
            <v>K</v>
          </cell>
          <cell r="D1304" t="str">
            <v>MUÑOZ RAMIREZ MARCELA ALEJANDR</v>
          </cell>
          <cell r="E1304" t="str">
            <v>FOD350001</v>
          </cell>
          <cell r="F1304">
            <v>44</v>
          </cell>
          <cell r="G1304">
            <v>30</v>
          </cell>
          <cell r="H1304" t="str">
            <v>MARCELMUNOZ@UTALCA.CL</v>
          </cell>
          <cell r="I1304">
            <v>44927</v>
          </cell>
          <cell r="J1304">
            <v>46387</v>
          </cell>
          <cell r="K1304" t="str">
            <v>CONTRATA</v>
          </cell>
          <cell r="L1304" t="str">
            <v>ADMINISTRATIVO</v>
          </cell>
          <cell r="M1304" t="str">
            <v>ADMINISTRATIVO</v>
          </cell>
          <cell r="N1304" t="str">
            <v>GRADO I.21</v>
          </cell>
          <cell r="O1304" t="str">
            <v>TÉC. NIVEL SUPERIOR</v>
          </cell>
          <cell r="P1304" t="str">
            <v>TECNICO EN ENFERMERIA DE NIVEL SUPERIOR</v>
          </cell>
          <cell r="Q1304" t="str">
            <v>TALCA</v>
          </cell>
          <cell r="R1304" t="str">
            <v>FACULTAD DE ODONTOLOGÍA</v>
          </cell>
          <cell r="S1304" t="str">
            <v>CLÍNICAS ODONTOLÓGICAS</v>
          </cell>
        </row>
        <row r="1305">
          <cell r="A1305">
            <v>18476080</v>
          </cell>
          <cell r="B1305" t="str">
            <v>18476080</v>
          </cell>
          <cell r="C1305" t="str">
            <v>0</v>
          </cell>
          <cell r="D1305" t="str">
            <v>QUEZADA ORELLANA ARACELY ALEJA</v>
          </cell>
          <cell r="E1305" t="str">
            <v>ADC024009</v>
          </cell>
          <cell r="F1305">
            <v>44</v>
          </cell>
          <cell r="G1305">
            <v>30</v>
          </cell>
          <cell r="H1305" t="str">
            <v>ARACELY.QUEZADA@UTALCA.CL</v>
          </cell>
          <cell r="I1305">
            <v>45047</v>
          </cell>
          <cell r="J1305">
            <v>46387</v>
          </cell>
          <cell r="K1305" t="str">
            <v>CONTRATA</v>
          </cell>
          <cell r="L1305" t="str">
            <v>PROFESIONAL</v>
          </cell>
          <cell r="M1305" t="str">
            <v>PROFESIONAL</v>
          </cell>
          <cell r="N1305" t="str">
            <v>GRADO I.17</v>
          </cell>
          <cell r="O1305" t="str">
            <v>MAGISTER</v>
          </cell>
          <cell r="P1305" t="str">
            <v>MAGISTER EN GOBIERNO, POLITICAS PUBLICAS Y TE</v>
          </cell>
          <cell r="Q1305" t="str">
            <v>TALCA</v>
          </cell>
          <cell r="R1305" t="str">
            <v>DRCCIÓN. GNAL. VINCULACIÓN CON EL MEDIO</v>
          </cell>
          <cell r="S1305" t="str">
            <v>UNIDAD DE DESARROLLO TERRITORIAL</v>
          </cell>
        </row>
        <row r="1306">
          <cell r="A1306">
            <v>18476116</v>
          </cell>
          <cell r="B1306" t="str">
            <v>18476116</v>
          </cell>
          <cell r="C1306" t="str">
            <v>5</v>
          </cell>
          <cell r="D1306" t="str">
            <v>MORAGA TOLEDO EDUARDO RODRIGO</v>
          </cell>
          <cell r="E1306" t="str">
            <v>FOD200001</v>
          </cell>
          <cell r="F1306">
            <v>8</v>
          </cell>
          <cell r="G1306">
            <v>30</v>
          </cell>
          <cell r="H1306" t="str">
            <v>EDUARDO.MORAGA@UTALCA.CL</v>
          </cell>
          <cell r="I1306">
            <v>45047</v>
          </cell>
          <cell r="J1306">
            <v>46387</v>
          </cell>
          <cell r="K1306" t="str">
            <v>CONTRATA</v>
          </cell>
          <cell r="L1306" t="str">
            <v>C ESPECIALES</v>
          </cell>
          <cell r="M1306" t="str">
            <v>TUTOR(A) PRÁCTICA</v>
          </cell>
          <cell r="N1306" t="str">
            <v>SIN GRADO</v>
          </cell>
          <cell r="O1306" t="str">
            <v>MAGISTER</v>
          </cell>
          <cell r="P1306" t="str">
            <v>MAGÍSTER EN SALUD PÚBLICA CON MENCIÓN EN GEST</v>
          </cell>
          <cell r="Q1306" t="str">
            <v>TALCA</v>
          </cell>
          <cell r="R1306" t="str">
            <v>FACULTAD DE ODONTOLOGÍA</v>
          </cell>
          <cell r="S1306" t="str">
            <v>FACULTAD DE ODONTOLOGÍA</v>
          </cell>
        </row>
        <row r="1307">
          <cell r="A1307">
            <v>18476135</v>
          </cell>
          <cell r="B1307" t="str">
            <v>18476135</v>
          </cell>
          <cell r="C1307" t="str">
            <v>1</v>
          </cell>
          <cell r="D1307" t="str">
            <v>ROJAS MACHUCA ALAN MATIAS</v>
          </cell>
          <cell r="E1307" t="str">
            <v>VAC400082</v>
          </cell>
          <cell r="F1307">
            <v>44</v>
          </cell>
          <cell r="G1307">
            <v>30</v>
          </cell>
          <cell r="H1307" t="str">
            <v>ALAN.ROJAS@UTALCA.CL</v>
          </cell>
          <cell r="I1307">
            <v>45017</v>
          </cell>
          <cell r="J1307">
            <v>46387</v>
          </cell>
          <cell r="K1307" t="str">
            <v>CONTRATA</v>
          </cell>
          <cell r="L1307" t="str">
            <v>PROFESIONAL</v>
          </cell>
          <cell r="M1307" t="str">
            <v>PROFESIONAL</v>
          </cell>
          <cell r="N1307" t="str">
            <v>GRADO I.17</v>
          </cell>
          <cell r="O1307" t="str">
            <v>TÍTULO PROFESIONAL</v>
          </cell>
          <cell r="P1307" t="str">
            <v>INGENIERO EN INFORMATICA EMPRESARIAL</v>
          </cell>
          <cell r="Q1307" t="str">
            <v>TALCA</v>
          </cell>
          <cell r="R1307" t="str">
            <v>VICERRECTORÍA ACADÉMICA</v>
          </cell>
          <cell r="S1307" t="str">
            <v>UN. DE GESTIÓN DE LA INNOVACIÓN Y EMPTO.</v>
          </cell>
        </row>
        <row r="1308">
          <cell r="A1308">
            <v>18484155</v>
          </cell>
          <cell r="B1308" t="str">
            <v>18484155</v>
          </cell>
          <cell r="C1308" t="str">
            <v>K</v>
          </cell>
          <cell r="D1308" t="str">
            <v>GAJARDO GAJARDO KAREN DE LAS M</v>
          </cell>
          <cell r="E1308" t="str">
            <v>VDE400009</v>
          </cell>
          <cell r="F1308">
            <v>44</v>
          </cell>
          <cell r="G1308">
            <v>30</v>
          </cell>
          <cell r="H1308" t="str">
            <v>KAGAJARDO@UTALCA.CL</v>
          </cell>
          <cell r="I1308">
            <v>43466</v>
          </cell>
          <cell r="J1308">
            <v>46387</v>
          </cell>
          <cell r="K1308" t="str">
            <v>CONTRATA</v>
          </cell>
          <cell r="L1308" t="str">
            <v>PROFESIONAL</v>
          </cell>
          <cell r="M1308" t="str">
            <v>PROFESIONAL</v>
          </cell>
          <cell r="N1308" t="str">
            <v>GRADO I.17</v>
          </cell>
          <cell r="O1308" t="str">
            <v>TÍTULO PROFESIONAL</v>
          </cell>
          <cell r="P1308" t="str">
            <v>NUTRICIONISTA DIETISTA</v>
          </cell>
          <cell r="Q1308" t="str">
            <v>TALCA</v>
          </cell>
          <cell r="R1308" t="str">
            <v>VICERRECTORÍA DE DESARROLLO ESTUDIANTIL</v>
          </cell>
          <cell r="S1308" t="str">
            <v>DIRECCIÓN DE SALUD ESTUDIANTIL</v>
          </cell>
        </row>
        <row r="1309">
          <cell r="A1309">
            <v>18519654</v>
          </cell>
          <cell r="B1309" t="str">
            <v>18519654</v>
          </cell>
          <cell r="C1309" t="str">
            <v>2</v>
          </cell>
          <cell r="D1309" t="str">
            <v>OLIVERA CASTILLO PERLA CONSTAN</v>
          </cell>
          <cell r="E1309" t="str">
            <v>VRF400009</v>
          </cell>
          <cell r="F1309">
            <v>44</v>
          </cell>
          <cell r="G1309">
            <v>30</v>
          </cell>
          <cell r="H1309" t="str">
            <v>PERLA.OLIVERA@UTALCA.CL</v>
          </cell>
          <cell r="I1309">
            <v>44986</v>
          </cell>
          <cell r="J1309">
            <v>46387</v>
          </cell>
          <cell r="K1309" t="str">
            <v>CONTRATA</v>
          </cell>
          <cell r="L1309" t="str">
            <v>PROFESIONAL</v>
          </cell>
          <cell r="M1309" t="str">
            <v>PROFESIONAL</v>
          </cell>
          <cell r="N1309" t="str">
            <v>GRADO I.17</v>
          </cell>
          <cell r="O1309" t="str">
            <v>MAGISTER</v>
          </cell>
          <cell r="P1309" t="str">
            <v>MAGÍSTER EN POLÍTICAS PÚBLICAS Y PROCESOS SOC</v>
          </cell>
          <cell r="Q1309" t="str">
            <v>TALCA</v>
          </cell>
          <cell r="R1309" t="str">
            <v>VICERRECTORÍA DE FORMACIÓN</v>
          </cell>
          <cell r="S1309" t="str">
            <v>PROGRAMA DE FORMACIÓN FUNDAMENTAL</v>
          </cell>
        </row>
        <row r="1310">
          <cell r="A1310">
            <v>18526084</v>
          </cell>
          <cell r="B1310" t="str">
            <v>18526084</v>
          </cell>
          <cell r="C1310" t="str">
            <v>4</v>
          </cell>
          <cell r="D1310" t="str">
            <v>BRAVO CASTILLO CLAUDIO ABRAHAM</v>
          </cell>
          <cell r="E1310" t="str">
            <v>IMF300001</v>
          </cell>
          <cell r="F1310">
            <v>44</v>
          </cell>
          <cell r="G1310">
            <v>30</v>
          </cell>
          <cell r="H1310" t="str">
            <v>CLAUDIO.BRAVO@UTALCA.CL</v>
          </cell>
          <cell r="I1310">
            <v>45678</v>
          </cell>
          <cell r="J1310">
            <v>47215</v>
          </cell>
          <cell r="K1310" t="str">
            <v>PLANTA</v>
          </cell>
          <cell r="L1310" t="str">
            <v>CA ORDINARIA</v>
          </cell>
          <cell r="M1310" t="str">
            <v>PROFESOR ASISTENTE</v>
          </cell>
          <cell r="N1310" t="str">
            <v>GRADO C</v>
          </cell>
          <cell r="O1310" t="str">
            <v>DOCTORADO</v>
          </cell>
          <cell r="P1310" t="str">
            <v>DOCTOR EN CIENCIAS CON MENCION EN MATEMATICAS</v>
          </cell>
          <cell r="Q1310" t="str">
            <v>TALCA</v>
          </cell>
          <cell r="R1310" t="str">
            <v>INSTITUTO DE MATEMÁTICAS</v>
          </cell>
          <cell r="S1310" t="str">
            <v>INSTITUTO DE MATEMÁTICAS</v>
          </cell>
        </row>
        <row r="1311">
          <cell r="A1311">
            <v>18534902</v>
          </cell>
          <cell r="B1311" t="str">
            <v>18534902</v>
          </cell>
          <cell r="C1311" t="str">
            <v>0</v>
          </cell>
          <cell r="D1311" t="str">
            <v>GOMEZ CANTO MATIAS FELIPE</v>
          </cell>
          <cell r="E1311" t="str">
            <v>FCI320005</v>
          </cell>
          <cell r="F1311">
            <v>44</v>
          </cell>
          <cell r="G1311">
            <v>30</v>
          </cell>
          <cell r="H1311" t="str">
            <v>MATIAS.GOMEZ@UTALCA.CL</v>
          </cell>
          <cell r="I1311">
            <v>44927</v>
          </cell>
          <cell r="J1311">
            <v>46446</v>
          </cell>
          <cell r="K1311" t="str">
            <v>CONTRATA</v>
          </cell>
          <cell r="L1311" t="str">
            <v>CA DOCENTE</v>
          </cell>
          <cell r="M1311" t="str">
            <v>INSTRUCTOR</v>
          </cell>
          <cell r="N1311" t="str">
            <v>GRADO D</v>
          </cell>
          <cell r="O1311" t="str">
            <v>DOCTORADO</v>
          </cell>
          <cell r="P1311" t="str">
            <v>DOCTOR EN INGENIERIA CIVIL</v>
          </cell>
          <cell r="Q1311" t="str">
            <v>CURICO</v>
          </cell>
          <cell r="R1311" t="str">
            <v>FACULTAD DE INGENIERÍA</v>
          </cell>
          <cell r="S1311" t="str">
            <v>DPTO. ING. Y GESTIÓN DE LA CONSTRUCCIÓN</v>
          </cell>
        </row>
        <row r="1312">
          <cell r="A1312">
            <v>18571567</v>
          </cell>
          <cell r="B1312" t="str">
            <v>18571567</v>
          </cell>
          <cell r="C1312" t="str">
            <v>1</v>
          </cell>
          <cell r="D1312" t="str">
            <v>LOBOS TAPIA MACARENNA ALEJANDR</v>
          </cell>
          <cell r="E1312" t="str">
            <v>VAC100001</v>
          </cell>
          <cell r="F1312">
            <v>44</v>
          </cell>
          <cell r="G1312">
            <v>30</v>
          </cell>
          <cell r="H1312" t="str">
            <v>MACLOBOS@UTALCA.CL</v>
          </cell>
          <cell r="I1312">
            <v>43831</v>
          </cell>
          <cell r="J1312">
            <v>46387</v>
          </cell>
          <cell r="K1312" t="str">
            <v>CONTRATA</v>
          </cell>
          <cell r="L1312" t="str">
            <v>PROFESIONAL</v>
          </cell>
          <cell r="M1312" t="str">
            <v>PROFESIONAL</v>
          </cell>
          <cell r="N1312" t="str">
            <v>GRADO I.17</v>
          </cell>
          <cell r="O1312" t="str">
            <v>TÍTULO PROFESIONAL</v>
          </cell>
          <cell r="P1312" t="str">
            <v>PSICÓLOGO</v>
          </cell>
          <cell r="Q1312" t="str">
            <v>TALCA</v>
          </cell>
          <cell r="R1312" t="str">
            <v>VICERRECTORÍA ACADÉMICA</v>
          </cell>
          <cell r="S1312" t="str">
            <v>VICERRECTORÍA ACADÉMICA</v>
          </cell>
        </row>
        <row r="1313">
          <cell r="A1313">
            <v>18571716</v>
          </cell>
          <cell r="B1313" t="str">
            <v>18571716</v>
          </cell>
          <cell r="C1313" t="str">
            <v>K</v>
          </cell>
          <cell r="D1313" t="str">
            <v>MOYA MARABOLI CLAUDIA ANDREA</v>
          </cell>
          <cell r="E1313" t="str">
            <v>ADC013001</v>
          </cell>
          <cell r="F1313">
            <v>44</v>
          </cell>
          <cell r="G1313">
            <v>30</v>
          </cell>
          <cell r="H1313" t="str">
            <v>CLMOYA@UTALCA.CL</v>
          </cell>
          <cell r="I1313">
            <v>43466</v>
          </cell>
          <cell r="J1313">
            <v>46387</v>
          </cell>
          <cell r="K1313" t="str">
            <v>CONTRATA</v>
          </cell>
          <cell r="L1313" t="str">
            <v>ADMINISTRATIVO</v>
          </cell>
          <cell r="M1313" t="str">
            <v>ADMINISTRATIVO</v>
          </cell>
          <cell r="N1313" t="str">
            <v>GRADO I.21</v>
          </cell>
          <cell r="O1313" t="str">
            <v>TÉC. NIVEL MEDIO</v>
          </cell>
          <cell r="P1313" t="str">
            <v>TÉCNICO NIVEL MEDIO EN CONTABILIDAD</v>
          </cell>
          <cell r="Q1313" t="str">
            <v>TALCA</v>
          </cell>
          <cell r="R1313" t="str">
            <v>CONTRALORÍA UNIVERSITARIA</v>
          </cell>
          <cell r="S1313" t="str">
            <v>CONTRALORÍA UNIVERSITARIA</v>
          </cell>
        </row>
        <row r="1314">
          <cell r="A1314">
            <v>18571883</v>
          </cell>
          <cell r="B1314" t="str">
            <v>18571883</v>
          </cell>
          <cell r="C1314" t="str">
            <v>2</v>
          </cell>
          <cell r="D1314" t="str">
            <v>MIÑO GONZALEZ CONSTANZA ESTEFA</v>
          </cell>
          <cell r="E1314" t="str">
            <v>ADC030190</v>
          </cell>
          <cell r="F1314">
            <v>22</v>
          </cell>
          <cell r="G1314">
            <v>30</v>
          </cell>
          <cell r="H1314" t="str">
            <v>CONSTANZA.MINO@UTALCA.CL</v>
          </cell>
          <cell r="I1314">
            <v>45292</v>
          </cell>
          <cell r="J1314">
            <v>46387</v>
          </cell>
          <cell r="K1314" t="str">
            <v>CONTRATA</v>
          </cell>
          <cell r="L1314" t="str">
            <v>PROFESIONAL</v>
          </cell>
          <cell r="M1314" t="str">
            <v>PROFESIONAL</v>
          </cell>
          <cell r="N1314" t="str">
            <v>GRADO I.17</v>
          </cell>
          <cell r="O1314" t="str">
            <v>TÍTULO PROFESIONAL</v>
          </cell>
          <cell r="P1314" t="str">
            <v>DISEÑADOR MENCIÓN EN DISEÑO DE PRODUCTOS</v>
          </cell>
          <cell r="Q1314" t="str">
            <v>TALCA</v>
          </cell>
          <cell r="R1314" t="str">
            <v>SECRETARÍA GENERAL</v>
          </cell>
          <cell r="S1314" t="str">
            <v>DIRECCIÓN DE GÉNERO</v>
          </cell>
        </row>
        <row r="1315">
          <cell r="A1315">
            <v>18572091</v>
          </cell>
          <cell r="B1315" t="str">
            <v>18572091</v>
          </cell>
          <cell r="C1315" t="str">
            <v>8</v>
          </cell>
          <cell r="D1315" t="str">
            <v>TORRES BERRIOS NATALIA FRANCIS</v>
          </cell>
          <cell r="E1315" t="str">
            <v>VRF400062</v>
          </cell>
          <cell r="F1315">
            <v>44</v>
          </cell>
          <cell r="G1315">
            <v>30</v>
          </cell>
          <cell r="H1315" t="str">
            <v>NATALIA.TORRESB@UTALCA.CL</v>
          </cell>
          <cell r="I1315">
            <v>45444</v>
          </cell>
          <cell r="J1315">
            <v>46387</v>
          </cell>
          <cell r="K1315" t="str">
            <v>CONTRATA</v>
          </cell>
          <cell r="L1315" t="str">
            <v>PROFESIONAL</v>
          </cell>
          <cell r="M1315" t="str">
            <v>PROFESIONAL</v>
          </cell>
          <cell r="N1315" t="str">
            <v>GRADO I.17</v>
          </cell>
          <cell r="O1315" t="str">
            <v>TÍTULO PROFESIONAL</v>
          </cell>
          <cell r="P1315" t="str">
            <v>INGENIERO DE EJECUCIÓN EN COMPUTACIÓN E INFOR</v>
          </cell>
          <cell r="Q1315" t="str">
            <v>TALCA</v>
          </cell>
          <cell r="R1315" t="str">
            <v>VICERRECTORÍA DE FORMACIÓN</v>
          </cell>
          <cell r="S1315" t="str">
            <v>UNIDAD DE APLICACIONES</v>
          </cell>
        </row>
        <row r="1316">
          <cell r="A1316">
            <v>18572508</v>
          </cell>
          <cell r="B1316" t="str">
            <v>18572508</v>
          </cell>
          <cell r="C1316" t="str">
            <v>1</v>
          </cell>
          <cell r="D1316" t="str">
            <v>AHUMADA SANCHEZ NICOLAS ANDRES</v>
          </cell>
          <cell r="E1316" t="str">
            <v>FAD310001</v>
          </cell>
          <cell r="F1316">
            <v>44</v>
          </cell>
          <cell r="G1316">
            <v>30</v>
          </cell>
          <cell r="H1316" t="str">
            <v>NICOLAS.AHUMADA@UTALCA.CL</v>
          </cell>
          <cell r="I1316">
            <v>44986</v>
          </cell>
          <cell r="J1316">
            <v>46387</v>
          </cell>
          <cell r="K1316" t="str">
            <v>CONTRATA</v>
          </cell>
          <cell r="L1316" t="str">
            <v>PROFESIONAL</v>
          </cell>
          <cell r="M1316" t="str">
            <v>PROFESIONAL</v>
          </cell>
          <cell r="N1316" t="str">
            <v>GRADO I.17</v>
          </cell>
          <cell r="O1316" t="str">
            <v>TÍTULO PROFESIONAL</v>
          </cell>
          <cell r="P1316" t="str">
            <v>ARQUITECTO</v>
          </cell>
          <cell r="Q1316" t="str">
            <v>TALCA</v>
          </cell>
          <cell r="R1316" t="str">
            <v>FACULTAD DE ARQUITECTUR, MÚSICA Y DISEÑO</v>
          </cell>
          <cell r="S1316" t="str">
            <v>ESCUELA DE ARQUITECTURA</v>
          </cell>
        </row>
        <row r="1317">
          <cell r="A1317">
            <v>18572927</v>
          </cell>
          <cell r="B1317" t="str">
            <v>18572927</v>
          </cell>
          <cell r="C1317" t="str">
            <v>3</v>
          </cell>
          <cell r="D1317" t="str">
            <v>ALDANA SANDOVAL TAMARA SOLEDAD</v>
          </cell>
          <cell r="E1317" t="str">
            <v>FOD350001</v>
          </cell>
          <cell r="F1317">
            <v>44</v>
          </cell>
          <cell r="G1317">
            <v>30</v>
          </cell>
          <cell r="H1317" t="str">
            <v>TAMARA.ALDANA@UTALCA.CL</v>
          </cell>
          <cell r="I1317">
            <v>45231</v>
          </cell>
          <cell r="J1317">
            <v>46387</v>
          </cell>
          <cell r="K1317" t="str">
            <v>CONTRATA</v>
          </cell>
          <cell r="L1317" t="str">
            <v>TÉCNICO</v>
          </cell>
          <cell r="M1317" t="str">
            <v>TÉCNICO</v>
          </cell>
          <cell r="N1317" t="str">
            <v>GRADO I.23</v>
          </cell>
          <cell r="O1317" t="str">
            <v>TÉC. NIVEL SUPERIOR</v>
          </cell>
          <cell r="P1317" t="str">
            <v>EN ENFERMERIA CON MENCIÓN EN PEDIATRIA</v>
          </cell>
          <cell r="Q1317" t="str">
            <v>TALCA</v>
          </cell>
          <cell r="R1317" t="str">
            <v>FACULTAD DE ODONTOLOGÍA</v>
          </cell>
          <cell r="S1317" t="str">
            <v>CLÍNICAS ODONTOLÓGICAS</v>
          </cell>
        </row>
        <row r="1318">
          <cell r="A1318">
            <v>18573229</v>
          </cell>
          <cell r="B1318" t="str">
            <v>18573229</v>
          </cell>
          <cell r="C1318" t="str">
            <v>0</v>
          </cell>
          <cell r="D1318" t="str">
            <v>TAPIA MORAGA ROSARIO DEL CARME</v>
          </cell>
          <cell r="E1318" t="str">
            <v/>
          </cell>
          <cell r="F1318">
            <v>44</v>
          </cell>
          <cell r="G1318">
            <v>30</v>
          </cell>
          <cell r="H1318" t="str">
            <v>ROSARIO.TAPIA@UTALCA.CL</v>
          </cell>
          <cell r="I1318">
            <v>44927</v>
          </cell>
          <cell r="J1318">
            <v>46387</v>
          </cell>
          <cell r="K1318" t="str">
            <v>CONTRATA</v>
          </cell>
          <cell r="L1318" t="str">
            <v>TÉCNICO</v>
          </cell>
          <cell r="M1318" t="str">
            <v>TÉCNICO</v>
          </cell>
          <cell r="N1318" t="str">
            <v>GRADO I.23</v>
          </cell>
          <cell r="O1318" t="str">
            <v>TÍTULO PROFESIONAL</v>
          </cell>
          <cell r="P1318" t="str">
            <v>INGENIERA DE EJECUCIÓN AGROINDUSTRIAL</v>
          </cell>
          <cell r="Q1318" t="str">
            <v>TALCA</v>
          </cell>
          <cell r="R1318" t="str">
            <v>FACULTAD DE CIENCIAS AGRARIAS</v>
          </cell>
          <cell r="S1318" t="str">
            <v>CENTRO DE INOCUIDAD ALIMENTARIA</v>
          </cell>
        </row>
        <row r="1319">
          <cell r="A1319">
            <v>18573427</v>
          </cell>
          <cell r="B1319" t="str">
            <v>18573427</v>
          </cell>
          <cell r="C1319" t="str">
            <v>7</v>
          </cell>
          <cell r="D1319" t="str">
            <v>JARA GARCIA CESIA JAEL</v>
          </cell>
          <cell r="E1319" t="str">
            <v>VGE400021</v>
          </cell>
          <cell r="F1319">
            <v>44</v>
          </cell>
          <cell r="G1319">
            <v>30</v>
          </cell>
          <cell r="H1319" t="str">
            <v>CESJARA@UTALCA.CL</v>
          </cell>
          <cell r="I1319">
            <v>43466</v>
          </cell>
          <cell r="J1319">
            <v>46387</v>
          </cell>
          <cell r="K1319" t="str">
            <v>CONTRATA</v>
          </cell>
          <cell r="L1319" t="str">
            <v>ADMINISTRATIVO</v>
          </cell>
          <cell r="M1319" t="str">
            <v>PROFESIONAL</v>
          </cell>
          <cell r="N1319" t="str">
            <v>GRADO I.17</v>
          </cell>
          <cell r="O1319" t="str">
            <v>TÍTULO PROFESIONAL</v>
          </cell>
          <cell r="P1319" t="str">
            <v>INGENIERO EN ADMINISTRACIÓN DE EMPRESAS</v>
          </cell>
          <cell r="Q1319" t="str">
            <v>TALCA</v>
          </cell>
          <cell r="R1319" t="str">
            <v>VIC. GESTIÓN ECONÓMICA Y ADMINISTRACIÓN</v>
          </cell>
          <cell r="S1319" t="str">
            <v>DEPARTAMENTO DE PRESUPUESTO</v>
          </cell>
        </row>
        <row r="1320">
          <cell r="A1320">
            <v>18573610</v>
          </cell>
          <cell r="B1320" t="str">
            <v>18573610</v>
          </cell>
          <cell r="C1320" t="str">
            <v>5</v>
          </cell>
          <cell r="D1320" t="str">
            <v>TORRES RAMÍREZ IVONE ALEJANDRA</v>
          </cell>
          <cell r="E1320" t="str">
            <v>VGE400051</v>
          </cell>
          <cell r="F1320">
            <v>44</v>
          </cell>
          <cell r="G1320">
            <v>30</v>
          </cell>
          <cell r="H1320" t="str">
            <v>IVONE.TORRES@UTALCA.CL</v>
          </cell>
          <cell r="I1320">
            <v>44562</v>
          </cell>
          <cell r="J1320">
            <v>46387</v>
          </cell>
          <cell r="K1320" t="str">
            <v>CONTRATA</v>
          </cell>
          <cell r="L1320" t="str">
            <v>PROFESIONAL</v>
          </cell>
          <cell r="M1320" t="str">
            <v>PROFESIONAL</v>
          </cell>
          <cell r="N1320" t="str">
            <v>GRADO I.17</v>
          </cell>
          <cell r="O1320" t="str">
            <v>TÍTULO PROFESIONAL</v>
          </cell>
          <cell r="P1320" t="str">
            <v>INGENIERO CONSTRUCTOR</v>
          </cell>
          <cell r="Q1320" t="str">
            <v>TALCA</v>
          </cell>
          <cell r="R1320" t="str">
            <v>VIC. GESTIÓN ECONÓMICA Y ADMINISTRACIÓN</v>
          </cell>
          <cell r="S1320" t="str">
            <v>UNIDAD DE MANTENIMIENTO</v>
          </cell>
        </row>
        <row r="1321">
          <cell r="A1321">
            <v>18573704</v>
          </cell>
          <cell r="B1321" t="str">
            <v>18573704</v>
          </cell>
          <cell r="C1321" t="str">
            <v>7</v>
          </cell>
          <cell r="D1321" t="str">
            <v>ARAYA ESPINOZA KARINA VANESA</v>
          </cell>
          <cell r="E1321" t="str">
            <v>VGE400003</v>
          </cell>
          <cell r="F1321">
            <v>44</v>
          </cell>
          <cell r="G1321">
            <v>30</v>
          </cell>
          <cell r="H1321" t="str">
            <v>KAARAYA@UTALCA.CL</v>
          </cell>
          <cell r="I1321">
            <v>43466</v>
          </cell>
          <cell r="J1321">
            <v>46387</v>
          </cell>
          <cell r="K1321" t="str">
            <v>CONTRATA</v>
          </cell>
          <cell r="L1321" t="str">
            <v>ADMINISTRATIVO</v>
          </cell>
          <cell r="M1321" t="str">
            <v>ADMINISTRATIVO</v>
          </cell>
          <cell r="N1321" t="str">
            <v>GRADO I.21</v>
          </cell>
          <cell r="O1321" t="str">
            <v>TÍTULO PROFESIONAL</v>
          </cell>
          <cell r="P1321" t="str">
            <v>INGENIERA DE EJECUCIÓN EN ADMINISRACIÓN</v>
          </cell>
          <cell r="Q1321" t="str">
            <v>TALCA</v>
          </cell>
          <cell r="R1321" t="str">
            <v>VIC. GESTIÓN ECONÓMICA Y ADMINISTRACIÓN</v>
          </cell>
          <cell r="S1321" t="str">
            <v>DEPARTAMENTO DE GESTIÓN DE PERSONAS</v>
          </cell>
        </row>
        <row r="1322">
          <cell r="A1322">
            <v>18573740</v>
          </cell>
          <cell r="B1322" t="str">
            <v>18573740</v>
          </cell>
          <cell r="C1322" t="str">
            <v>3</v>
          </cell>
          <cell r="D1322" t="str">
            <v>CASTILLO URREA CRISTA WALESKA</v>
          </cell>
          <cell r="E1322" t="str">
            <v>VDE400009</v>
          </cell>
          <cell r="F1322">
            <v>24</v>
          </cell>
          <cell r="G1322">
            <v>30</v>
          </cell>
          <cell r="H1322" t="str">
            <v>CRISTA.CASTILLO@UTALCA.CL</v>
          </cell>
          <cell r="I1322">
            <v>45352</v>
          </cell>
          <cell r="J1322">
            <v>46387</v>
          </cell>
          <cell r="K1322" t="str">
            <v>CONTRATA</v>
          </cell>
          <cell r="L1322" t="str">
            <v>PROFESIONAL</v>
          </cell>
          <cell r="M1322" t="str">
            <v>PROFESIONAL</v>
          </cell>
          <cell r="N1322" t="str">
            <v>GRADO I.17</v>
          </cell>
          <cell r="O1322" t="str">
            <v>TÍTULO PROFESIONAL</v>
          </cell>
          <cell r="P1322" t="str">
            <v>MATRONA</v>
          </cell>
          <cell r="Q1322" t="str">
            <v>LINARES</v>
          </cell>
          <cell r="R1322" t="str">
            <v>VICERRECTORÍA DE DESARROLLO ESTUDIANTIL</v>
          </cell>
          <cell r="S1322" t="str">
            <v>DIRECCIÓN DE SALUD ESTUDIANTIL</v>
          </cell>
        </row>
        <row r="1323">
          <cell r="A1323">
            <v>18575780</v>
          </cell>
          <cell r="B1323" t="str">
            <v>18575780</v>
          </cell>
          <cell r="C1323" t="str">
            <v>3</v>
          </cell>
          <cell r="D1323" t="str">
            <v>GUTIERREZ SALAZAR EDSONT ALEJA</v>
          </cell>
          <cell r="E1323" t="str">
            <v/>
          </cell>
          <cell r="F1323">
            <v>44</v>
          </cell>
          <cell r="G1323">
            <v>30</v>
          </cell>
          <cell r="H1323" t="str">
            <v>EDSONT.GUTIERREZ@UTALCA.CL</v>
          </cell>
          <cell r="I1323">
            <v>44927</v>
          </cell>
          <cell r="J1323">
            <v>46387</v>
          </cell>
          <cell r="K1323" t="str">
            <v>CONTRATA</v>
          </cell>
          <cell r="L1323" t="str">
            <v>PROFESIONAL</v>
          </cell>
          <cell r="M1323" t="str">
            <v>PROFESIONAL</v>
          </cell>
          <cell r="N1323" t="str">
            <v>GRADO I.17</v>
          </cell>
          <cell r="O1323" t="str">
            <v>TÍTULO PROFESIONAL</v>
          </cell>
          <cell r="P1323" t="str">
            <v>TECNOLOGO MEDICO MENCION: LABORATORIO CLÍNICO</v>
          </cell>
          <cell r="Q1323" t="str">
            <v>TALCA</v>
          </cell>
          <cell r="R1323" t="str">
            <v>FACULTAD DE CIENCIAS AGRARIAS</v>
          </cell>
          <cell r="S1323" t="str">
            <v>CENTRO DE INOCUIDAD ALIMENTARIA</v>
          </cell>
        </row>
        <row r="1324">
          <cell r="A1324">
            <v>18608483</v>
          </cell>
          <cell r="B1324" t="str">
            <v>18608483</v>
          </cell>
          <cell r="C1324" t="str">
            <v>7</v>
          </cell>
          <cell r="D1324" t="str">
            <v>ROJAS GUTIÉRREZ CONSTANZA ALEJ</v>
          </cell>
          <cell r="E1324" t="str">
            <v/>
          </cell>
          <cell r="F1324">
            <v>44</v>
          </cell>
          <cell r="G1324">
            <v>30</v>
          </cell>
          <cell r="H1324" t="str">
            <v>CONSTANZA.ROJAS@UTALCA.CL</v>
          </cell>
          <cell r="I1324">
            <v>45352</v>
          </cell>
          <cell r="J1324">
            <v>46387</v>
          </cell>
          <cell r="K1324" t="str">
            <v>CONTRATA</v>
          </cell>
          <cell r="L1324" t="str">
            <v>PROFESIONAL</v>
          </cell>
          <cell r="M1324" t="str">
            <v>PROFESIONAL</v>
          </cell>
          <cell r="N1324" t="str">
            <v>GRADO I.17</v>
          </cell>
          <cell r="O1324" t="str">
            <v>TÍTULO PROFESIONAL</v>
          </cell>
          <cell r="P1324" t="str">
            <v>NUTRICIONISTA DIETISTA</v>
          </cell>
          <cell r="Q1324" t="str">
            <v>TALCA</v>
          </cell>
          <cell r="R1324" t="str">
            <v>VICERRECTORÍA DE FORMACIÓN</v>
          </cell>
          <cell r="S1324" t="str">
            <v>UN. DE DESARROLLO CURRICULAR DE PREGRADO</v>
          </cell>
        </row>
        <row r="1325">
          <cell r="A1325">
            <v>18616495</v>
          </cell>
          <cell r="B1325" t="str">
            <v>18616495</v>
          </cell>
          <cell r="C1325" t="str">
            <v>4</v>
          </cell>
          <cell r="D1325" t="str">
            <v>OSORIO PINO MAXIMO ANDRES</v>
          </cell>
          <cell r="E1325" t="str">
            <v>ADC011001</v>
          </cell>
          <cell r="F1325">
            <v>44</v>
          </cell>
          <cell r="G1325">
            <v>30</v>
          </cell>
          <cell r="H1325" t="str">
            <v>MAXIMO.OSORIO@UTALCA.CL</v>
          </cell>
          <cell r="I1325">
            <v>44470</v>
          </cell>
          <cell r="J1325">
            <v>46387</v>
          </cell>
          <cell r="K1325" t="str">
            <v>CONTRATA</v>
          </cell>
          <cell r="L1325" t="str">
            <v>PROFESIONAL</v>
          </cell>
          <cell r="M1325" t="str">
            <v>PROFESIONAL</v>
          </cell>
          <cell r="N1325" t="str">
            <v>GRADO I.17</v>
          </cell>
          <cell r="O1325" t="str">
            <v>MAGISTER</v>
          </cell>
          <cell r="P1325" t="str">
            <v>MAGISTER EN ADMINISTRACIÓN DE EMPRESAS-EXECUT</v>
          </cell>
          <cell r="Q1325" t="str">
            <v>TALCA</v>
          </cell>
          <cell r="R1325" t="str">
            <v/>
          </cell>
          <cell r="S1325" t="str">
            <v>RECTORÍA</v>
          </cell>
        </row>
        <row r="1326">
          <cell r="A1326">
            <v>18641020</v>
          </cell>
          <cell r="B1326" t="str">
            <v>18641020</v>
          </cell>
          <cell r="C1326" t="str">
            <v>3</v>
          </cell>
          <cell r="D1326" t="str">
            <v>GOMEZ MENA NATALIA DEL PILAR</v>
          </cell>
          <cell r="E1326" t="str">
            <v>FOD200001</v>
          </cell>
          <cell r="F1326">
            <v>15</v>
          </cell>
          <cell r="G1326">
            <v>30</v>
          </cell>
          <cell r="H1326" t="str">
            <v>NATALIA.GOMEZ@UTALCA.CL</v>
          </cell>
          <cell r="I1326">
            <v>45047</v>
          </cell>
          <cell r="J1326">
            <v>46387</v>
          </cell>
          <cell r="K1326" t="str">
            <v>CONTRATA</v>
          </cell>
          <cell r="L1326" t="str">
            <v>C ESPECIALES</v>
          </cell>
          <cell r="M1326" t="str">
            <v>TUTOR(A) PRÁCTICA</v>
          </cell>
          <cell r="N1326" t="str">
            <v>SIN GRADO</v>
          </cell>
          <cell r="O1326" t="str">
            <v>MAGISTER</v>
          </cell>
          <cell r="P1326" t="str">
            <v>MAGISTER EN ODONTOGERIATRÍA</v>
          </cell>
          <cell r="Q1326" t="str">
            <v>TALCA</v>
          </cell>
          <cell r="R1326" t="str">
            <v>FACULTAD DE ODONTOLOGÍA</v>
          </cell>
          <cell r="S1326" t="str">
            <v>FACULTAD DE ODONTOLOGÍA</v>
          </cell>
        </row>
        <row r="1327">
          <cell r="A1327">
            <v>18649222</v>
          </cell>
          <cell r="B1327" t="str">
            <v>18649222</v>
          </cell>
          <cell r="C1327" t="str">
            <v>6</v>
          </cell>
          <cell r="D1327" t="str">
            <v>MORA VILLAR OBED EDOM</v>
          </cell>
          <cell r="E1327" t="str">
            <v>ADC030112</v>
          </cell>
          <cell r="F1327">
            <v>44</v>
          </cell>
          <cell r="G1327">
            <v>30</v>
          </cell>
          <cell r="H1327" t="str">
            <v>OBED.MORA@UTALCA.CL</v>
          </cell>
          <cell r="I1327">
            <v>45383</v>
          </cell>
          <cell r="J1327">
            <v>46387</v>
          </cell>
          <cell r="K1327" t="str">
            <v>CONTRATA</v>
          </cell>
          <cell r="L1327" t="str">
            <v>PROFESIONAL</v>
          </cell>
          <cell r="M1327" t="str">
            <v>PROFESIONAL</v>
          </cell>
          <cell r="N1327" t="str">
            <v>GRADO I.17</v>
          </cell>
          <cell r="O1327" t="str">
            <v>TÍTULO PROFESIONAL</v>
          </cell>
          <cell r="P1327" t="str">
            <v>CONTADOR PUBLICO Y AUDITOR</v>
          </cell>
          <cell r="Q1327" t="str">
            <v>TALCA</v>
          </cell>
          <cell r="R1327" t="str">
            <v>DIRECCIÓN DE ASEGURAMIENTO DE LA CALIDAD</v>
          </cell>
          <cell r="S1327" t="str">
            <v>DPTO. DE ANÁLISIS Y ASEGU. DE LA CALIDAD</v>
          </cell>
        </row>
        <row r="1328">
          <cell r="A1328">
            <v>18655480</v>
          </cell>
          <cell r="B1328" t="str">
            <v>18655480</v>
          </cell>
          <cell r="C1328" t="str">
            <v>9</v>
          </cell>
          <cell r="D1328" t="str">
            <v>LOBOS GATICA ALONSO ANDRÉS</v>
          </cell>
          <cell r="E1328" t="str">
            <v>FCI310008</v>
          </cell>
          <cell r="F1328">
            <v>44</v>
          </cell>
          <cell r="G1328">
            <v>30</v>
          </cell>
          <cell r="H1328" t="str">
            <v>ALOSO.LOBOS@UTALCA.CL</v>
          </cell>
          <cell r="I1328">
            <v>45778</v>
          </cell>
          <cell r="J1328">
            <v>46387</v>
          </cell>
          <cell r="K1328" t="str">
            <v>CONTRATA</v>
          </cell>
          <cell r="L1328" t="str">
            <v>PROFESIONAL</v>
          </cell>
          <cell r="M1328" t="str">
            <v>PROFESIONAL</v>
          </cell>
          <cell r="N1328" t="str">
            <v>GRADO I.17</v>
          </cell>
          <cell r="O1328" t="str">
            <v>TÍTULO PROFESIONAL</v>
          </cell>
          <cell r="P1328" t="str">
            <v>INGENIERO CIVIL ELECTRICO</v>
          </cell>
          <cell r="Q1328" t="str">
            <v>CURICO</v>
          </cell>
          <cell r="R1328" t="str">
            <v>FACULTAD DE INGENIERÍA</v>
          </cell>
          <cell r="S1328" t="str">
            <v>ESC. DE INGENIERÍA CIVIL EN MECATRÓNICA</v>
          </cell>
        </row>
        <row r="1329">
          <cell r="A1329">
            <v>18656829</v>
          </cell>
          <cell r="B1329" t="str">
            <v>18656829</v>
          </cell>
          <cell r="C1329" t="str">
            <v>K</v>
          </cell>
          <cell r="D1329" t="str">
            <v>SEPULVEDA VALDES FRANCISCO JAV</v>
          </cell>
          <cell r="E1329" t="str">
            <v>VGE100003</v>
          </cell>
          <cell r="F1329">
            <v>44</v>
          </cell>
          <cell r="G1329">
            <v>30</v>
          </cell>
          <cell r="H1329" t="str">
            <v>FRANCISCO.SEPULVEDAV@UTALCA.CL</v>
          </cell>
          <cell r="I1329">
            <v>44986</v>
          </cell>
          <cell r="J1329">
            <v>46387</v>
          </cell>
          <cell r="K1329" t="str">
            <v>CONTRATA</v>
          </cell>
          <cell r="L1329" t="str">
            <v>PROFESIONAL</v>
          </cell>
          <cell r="M1329" t="str">
            <v>PROFESIONAL</v>
          </cell>
          <cell r="N1329" t="str">
            <v>GRADO I.17</v>
          </cell>
          <cell r="O1329" t="str">
            <v>TÍTULO PROFESIONAL</v>
          </cell>
          <cell r="P1329" t="str">
            <v>INGENIERO EN INFORMATICA</v>
          </cell>
          <cell r="Q1329" t="str">
            <v>TALCA</v>
          </cell>
          <cell r="R1329" t="str">
            <v>VIC. GESTIÓN ECONÓMICA Y ADMINISTRACIÓN</v>
          </cell>
          <cell r="S1329" t="str">
            <v>OF. TRANSFORMACIÓN DIGITAL ADMINISTRATIV</v>
          </cell>
        </row>
        <row r="1330">
          <cell r="A1330">
            <v>18672598</v>
          </cell>
          <cell r="B1330" t="str">
            <v>18672598</v>
          </cell>
          <cell r="C1330" t="str">
            <v>0</v>
          </cell>
          <cell r="D1330" t="str">
            <v>MARCHANT CASTILLO JOSE IGNACIO</v>
          </cell>
          <cell r="E1330" t="str">
            <v>FPS310002</v>
          </cell>
          <cell r="F1330">
            <v>44</v>
          </cell>
          <cell r="G1330">
            <v>30</v>
          </cell>
          <cell r="H1330" t="str">
            <v>JOSE.MARCHANT@UTALCA.CL</v>
          </cell>
          <cell r="I1330">
            <v>45055</v>
          </cell>
          <cell r="J1330">
            <v>46446</v>
          </cell>
          <cell r="K1330" t="str">
            <v>CONTRATA</v>
          </cell>
          <cell r="L1330" t="str">
            <v>CA DOCENTE</v>
          </cell>
          <cell r="M1330" t="str">
            <v>PROFESOR ASISTENTE</v>
          </cell>
          <cell r="N1330" t="str">
            <v>GRADO C</v>
          </cell>
          <cell r="O1330" t="str">
            <v>MAGISTER</v>
          </cell>
          <cell r="P1330" t="str">
            <v>MAGISTER EN DOCENCIA PARA LA EDUCACION SUPERI</v>
          </cell>
          <cell r="Q1330" t="str">
            <v>TALCA</v>
          </cell>
          <cell r="R1330" t="str">
            <v>FACULTAD DE PSICOLOGÍA</v>
          </cell>
          <cell r="S1330" t="str">
            <v>ESCUELA DE TERAPIA OCUPACIONAL</v>
          </cell>
        </row>
        <row r="1331">
          <cell r="A1331">
            <v>18680984</v>
          </cell>
          <cell r="B1331" t="str">
            <v>18680984</v>
          </cell>
          <cell r="C1331" t="str">
            <v>K</v>
          </cell>
          <cell r="D1331" t="str">
            <v>POBLETE FARIAS CAMILA CONSTANZ</v>
          </cell>
          <cell r="E1331" t="str">
            <v/>
          </cell>
          <cell r="F1331">
            <v>44</v>
          </cell>
          <cell r="G1331">
            <v>30</v>
          </cell>
          <cell r="H1331" t="str">
            <v>CAMILA.POBLETE@UTALCA.CL</v>
          </cell>
          <cell r="I1331">
            <v>45474</v>
          </cell>
          <cell r="J1331">
            <v>46387</v>
          </cell>
          <cell r="K1331" t="str">
            <v>CONTRATA</v>
          </cell>
          <cell r="L1331" t="str">
            <v>PROFESIONAL</v>
          </cell>
          <cell r="M1331" t="str">
            <v>PROFESIONAL</v>
          </cell>
          <cell r="N1331" t="str">
            <v>GRADO I.17</v>
          </cell>
          <cell r="O1331" t="str">
            <v>MAGISTER</v>
          </cell>
          <cell r="P1331" t="str">
            <v>MAGISTER EN ENFERMERIA</v>
          </cell>
          <cell r="Q1331" t="str">
            <v>TALCA</v>
          </cell>
          <cell r="R1331" t="str">
            <v>VICERRECTORÍA DE FORMACIÓN</v>
          </cell>
          <cell r="S1331" t="str">
            <v>U. DE DESARROLLO CURRICULAR DE POSTGRADO</v>
          </cell>
        </row>
        <row r="1332">
          <cell r="A1332">
            <v>18682887</v>
          </cell>
          <cell r="B1332" t="str">
            <v>18682887</v>
          </cell>
          <cell r="C1332" t="str">
            <v>9</v>
          </cell>
          <cell r="D1332" t="str">
            <v>PIZARRO GARRIDO GABRIELA ELIZA</v>
          </cell>
          <cell r="E1332" t="str">
            <v/>
          </cell>
          <cell r="F1332">
            <v>44</v>
          </cell>
          <cell r="G1332">
            <v>30</v>
          </cell>
          <cell r="H1332" t="str">
            <v/>
          </cell>
          <cell r="I1332">
            <v>46023</v>
          </cell>
          <cell r="J1332">
            <v>46387</v>
          </cell>
          <cell r="K1332" t="str">
            <v>CONTRATA</v>
          </cell>
          <cell r="L1332" t="str">
            <v>PROFESIONAL</v>
          </cell>
          <cell r="M1332" t="str">
            <v>PROFESIONAL</v>
          </cell>
          <cell r="N1332" t="str">
            <v>GRADO I.17</v>
          </cell>
          <cell r="O1332" t="str">
            <v>LICENCIADO</v>
          </cell>
          <cell r="P1332" t="str">
            <v>LICIENCIADA EN CIENCIAS SOCIALES</v>
          </cell>
          <cell r="Q1332" t="str">
            <v>TALCA</v>
          </cell>
          <cell r="R1332" t="str">
            <v>DRCCIÓN. GNAL. VINCULACIÓN CON EL MEDIO</v>
          </cell>
          <cell r="S1332" t="str">
            <v>DRCCIÓN. GNAL. VINCULACIÓN CON EL MEDIO</v>
          </cell>
        </row>
        <row r="1333">
          <cell r="A1333">
            <v>18763092</v>
          </cell>
          <cell r="B1333" t="str">
            <v>18763092</v>
          </cell>
          <cell r="C1333" t="str">
            <v>4</v>
          </cell>
          <cell r="D1333" t="str">
            <v>GONZALEZ GARRIDO ELIAS HERALDO</v>
          </cell>
          <cell r="E1333" t="str">
            <v/>
          </cell>
          <cell r="F1333">
            <v>44</v>
          </cell>
          <cell r="G1333">
            <v>30</v>
          </cell>
          <cell r="H1333" t="str">
            <v>ELGONZALEZ@UTALCA.CL</v>
          </cell>
          <cell r="I1333">
            <v>44927</v>
          </cell>
          <cell r="J1333">
            <v>46387</v>
          </cell>
          <cell r="K1333" t="str">
            <v>CONTRATA</v>
          </cell>
          <cell r="L1333" t="str">
            <v>TÉCNICO</v>
          </cell>
          <cell r="M1333" t="str">
            <v>TÉCNICO</v>
          </cell>
          <cell r="N1333" t="str">
            <v>GRADO I.23</v>
          </cell>
          <cell r="O1333" t="str">
            <v>TÉC. NIVEL MEDIO</v>
          </cell>
          <cell r="P1333" t="str">
            <v>TECNICO AGROPECUARIO DE NIVEL MEDIO</v>
          </cell>
          <cell r="Q1333" t="str">
            <v>TALCA</v>
          </cell>
          <cell r="R1333" t="str">
            <v>FACULTAD DE CIENCIAS AGRARIAS</v>
          </cell>
          <cell r="S1333" t="str">
            <v>DEPARTAMENTO DE PRODUCCIÓN AGRÍCOLA</v>
          </cell>
        </row>
        <row r="1334">
          <cell r="A1334">
            <v>18779010</v>
          </cell>
          <cell r="B1334" t="str">
            <v>18779010</v>
          </cell>
          <cell r="C1334" t="str">
            <v>7</v>
          </cell>
          <cell r="D1334" t="str">
            <v>BENAVIDES CARTER VANESSA ANDRE</v>
          </cell>
          <cell r="E1334" t="str">
            <v>FAD310001</v>
          </cell>
          <cell r="F1334">
            <v>44</v>
          </cell>
          <cell r="G1334">
            <v>30</v>
          </cell>
          <cell r="H1334" t="str">
            <v>VANESSA.BENAVIDES@UTALCA.CL</v>
          </cell>
          <cell r="I1334">
            <v>45200</v>
          </cell>
          <cell r="J1334">
            <v>46387</v>
          </cell>
          <cell r="K1334" t="str">
            <v>CONTRATA</v>
          </cell>
          <cell r="L1334" t="str">
            <v>PROFESIONAL</v>
          </cell>
          <cell r="M1334" t="str">
            <v>PROFESIONAL</v>
          </cell>
          <cell r="N1334" t="str">
            <v>GRADO I.17</v>
          </cell>
          <cell r="O1334" t="str">
            <v>TÍTULO PROFESIONAL</v>
          </cell>
          <cell r="P1334" t="str">
            <v>ARQUITECTO</v>
          </cell>
          <cell r="Q1334" t="str">
            <v>TALCA</v>
          </cell>
          <cell r="R1334" t="str">
            <v>FACULTAD DE ARQUITECTUR, MÚSICA Y DISEÑO</v>
          </cell>
          <cell r="S1334" t="str">
            <v>ESCUELA DE ARQUITECTURA</v>
          </cell>
        </row>
        <row r="1335">
          <cell r="A1335">
            <v>18779180</v>
          </cell>
          <cell r="B1335" t="str">
            <v>18779180</v>
          </cell>
          <cell r="C1335" t="str">
            <v>4</v>
          </cell>
          <cell r="D1335" t="str">
            <v>CERPA NAVARRETE DANIELA FRANCI</v>
          </cell>
          <cell r="E1335" t="str">
            <v>FCS320009</v>
          </cell>
          <cell r="F1335">
            <v>44</v>
          </cell>
          <cell r="G1335">
            <v>30</v>
          </cell>
          <cell r="H1335" t="str">
            <v>DANIELA.CERPA@UTALCA.CL</v>
          </cell>
          <cell r="I1335">
            <v>44927</v>
          </cell>
          <cell r="J1335">
            <v>46446</v>
          </cell>
          <cell r="K1335" t="str">
            <v>CONTRATA</v>
          </cell>
          <cell r="L1335" t="str">
            <v>CA DOCENTE</v>
          </cell>
          <cell r="M1335" t="str">
            <v>INSTRUCTOR</v>
          </cell>
          <cell r="N1335" t="str">
            <v>GRADO D</v>
          </cell>
          <cell r="O1335" t="str">
            <v>MAGISTER</v>
          </cell>
          <cell r="P1335" t="str">
            <v>MAGISTER EN DOCENCIA PARA LA EDUCACION SUPERI</v>
          </cell>
          <cell r="Q1335" t="str">
            <v>TALCA</v>
          </cell>
          <cell r="R1335" t="str">
            <v>FACULTAD DE CIENCIAS DE LA SALUD</v>
          </cell>
          <cell r="S1335" t="str">
            <v>DPTO. DE CIENCIAS DEL MOVIMIENTO HUMANO</v>
          </cell>
        </row>
        <row r="1336">
          <cell r="A1336">
            <v>18779282</v>
          </cell>
          <cell r="B1336" t="str">
            <v>18779282</v>
          </cell>
          <cell r="C1336" t="str">
            <v>7</v>
          </cell>
          <cell r="D1336" t="str">
            <v>SAAVEDRA SANDOVAL NICOL ANDREA</v>
          </cell>
          <cell r="E1336" t="str">
            <v>FOD350001</v>
          </cell>
          <cell r="F1336">
            <v>44</v>
          </cell>
          <cell r="G1336">
            <v>30</v>
          </cell>
          <cell r="H1336" t="str">
            <v>NICOL.SAAVEDRA@UTALCA.CL</v>
          </cell>
          <cell r="I1336">
            <v>44927</v>
          </cell>
          <cell r="J1336">
            <v>46387</v>
          </cell>
          <cell r="K1336" t="str">
            <v>CONTRATA</v>
          </cell>
          <cell r="L1336" t="str">
            <v>TÉCNICO</v>
          </cell>
          <cell r="M1336" t="str">
            <v>TÉCNICO</v>
          </cell>
          <cell r="N1336" t="str">
            <v>GRADO I.23</v>
          </cell>
          <cell r="O1336" t="str">
            <v>TÉC. NIVEL SUPERIOR</v>
          </cell>
          <cell r="P1336" t="str">
            <v>TECNICO DE NIVEL SUPERIOR EN ENFERMERIA MENCI</v>
          </cell>
          <cell r="Q1336" t="str">
            <v>TALCA</v>
          </cell>
          <cell r="R1336" t="str">
            <v>FACULTAD DE ODONTOLOGÍA</v>
          </cell>
          <cell r="S1336" t="str">
            <v>CLÍNICAS ODONTOLÓGICAS</v>
          </cell>
        </row>
        <row r="1337">
          <cell r="A1337">
            <v>18780960</v>
          </cell>
          <cell r="B1337" t="str">
            <v>18780960</v>
          </cell>
          <cell r="C1337" t="str">
            <v>6</v>
          </cell>
          <cell r="D1337" t="str">
            <v>VILLALOBOS AREVALO VICTORIA AN</v>
          </cell>
          <cell r="E1337" t="str">
            <v>FCS340008</v>
          </cell>
          <cell r="F1337">
            <v>44</v>
          </cell>
          <cell r="G1337">
            <v>30</v>
          </cell>
          <cell r="H1337" t="str">
            <v>VICTORIA.VILLALOBOS@UTALCA.CL</v>
          </cell>
          <cell r="I1337">
            <v>45159</v>
          </cell>
          <cell r="J1337">
            <v>46387</v>
          </cell>
          <cell r="K1337" t="str">
            <v>CONTRATA</v>
          </cell>
          <cell r="L1337" t="str">
            <v>PROFESIONAL</v>
          </cell>
          <cell r="M1337" t="str">
            <v>PROFESIONAL</v>
          </cell>
          <cell r="N1337" t="str">
            <v>GRADO I.17</v>
          </cell>
          <cell r="O1337" t="str">
            <v>TÍTULO PROFESIONAL</v>
          </cell>
          <cell r="P1337" t="str">
            <v>TECNOLOGO MEDICO</v>
          </cell>
          <cell r="Q1337" t="str">
            <v>TALCA</v>
          </cell>
          <cell r="R1337" t="str">
            <v>FACULTAD DE CIENCIAS DE LA SALUD</v>
          </cell>
          <cell r="S1337" t="str">
            <v>CNTR.DE INVST. EN TROMBOSIS Y ENVJ.SALDB</v>
          </cell>
        </row>
        <row r="1338">
          <cell r="A1338">
            <v>18781395</v>
          </cell>
          <cell r="B1338" t="str">
            <v>18781395</v>
          </cell>
          <cell r="C1338" t="str">
            <v>6</v>
          </cell>
          <cell r="D1338" t="str">
            <v>ORMEÑO FLORES CAMILO ANDRES</v>
          </cell>
          <cell r="E1338" t="str">
            <v>VGE400019</v>
          </cell>
          <cell r="F1338">
            <v>44</v>
          </cell>
          <cell r="G1338">
            <v>30</v>
          </cell>
          <cell r="H1338" t="str">
            <v>CORMENO@UTALCA.CL</v>
          </cell>
          <cell r="I1338">
            <v>43466</v>
          </cell>
          <cell r="J1338">
            <v>46387</v>
          </cell>
          <cell r="K1338" t="str">
            <v>CONTRATA</v>
          </cell>
          <cell r="L1338" t="str">
            <v>PROFESIONAL</v>
          </cell>
          <cell r="M1338" t="str">
            <v>PROFESIONAL</v>
          </cell>
          <cell r="N1338" t="str">
            <v>GRADO I.17</v>
          </cell>
          <cell r="O1338" t="str">
            <v>TÍTULO PROFESIONAL</v>
          </cell>
          <cell r="P1338" t="str">
            <v>INGENIERO COMERCIAL</v>
          </cell>
          <cell r="Q1338" t="str">
            <v>TALCA</v>
          </cell>
          <cell r="R1338" t="str">
            <v>VIC. GESTIÓN ECONÓMICA Y ADMINISTRACIÓN</v>
          </cell>
          <cell r="S1338" t="str">
            <v>DPTO. DE GESTIÓN DE PAGO A PROVEEDORES</v>
          </cell>
        </row>
        <row r="1339">
          <cell r="A1339">
            <v>18798510</v>
          </cell>
          <cell r="B1339" t="str">
            <v>18798510</v>
          </cell>
          <cell r="C1339" t="str">
            <v>2</v>
          </cell>
          <cell r="D1339" t="str">
            <v>AVILÉS BUSTAMANTE GABRIELA ALE</v>
          </cell>
          <cell r="E1339" t="str">
            <v>FCS200001</v>
          </cell>
          <cell r="F1339">
            <v>44</v>
          </cell>
          <cell r="G1339">
            <v>30</v>
          </cell>
          <cell r="H1339" t="str">
            <v>GABRIELA.AVILES@UTALCA.CL</v>
          </cell>
          <cell r="I1339">
            <v>45536</v>
          </cell>
          <cell r="J1339">
            <v>46387</v>
          </cell>
          <cell r="K1339" t="str">
            <v>CONTRATA</v>
          </cell>
          <cell r="L1339" t="str">
            <v>C ESPECIALES</v>
          </cell>
          <cell r="M1339" t="str">
            <v>TUTOR(A) PRÁCTICA</v>
          </cell>
          <cell r="N1339" t="str">
            <v>SIN GRADO</v>
          </cell>
          <cell r="O1339" t="str">
            <v>MAGISTER</v>
          </cell>
          <cell r="P1339" t="str">
            <v>MASTER EN INFECTOLOGIA Y TERAPEUTICA ANTIBIOT</v>
          </cell>
          <cell r="Q1339" t="str">
            <v>TALCA</v>
          </cell>
          <cell r="R1339" t="str">
            <v>FACULTAD DE CIENCIAS DE LA SALUD</v>
          </cell>
          <cell r="S1339" t="str">
            <v>FACULTAD DE CIENCIAS DE LA SALUD</v>
          </cell>
        </row>
        <row r="1340">
          <cell r="A1340">
            <v>18844508</v>
          </cell>
          <cell r="B1340" t="str">
            <v>18844508</v>
          </cell>
          <cell r="C1340" t="str">
            <v>K</v>
          </cell>
          <cell r="D1340" t="str">
            <v>ESPINA HERRERA CRISTINA ANDREA</v>
          </cell>
          <cell r="E1340" t="str">
            <v>VGE400003</v>
          </cell>
          <cell r="F1340">
            <v>44</v>
          </cell>
          <cell r="G1340">
            <v>30</v>
          </cell>
          <cell r="H1340" t="str">
            <v>CRISTINA.ESPINA@UTALCA.CL</v>
          </cell>
          <cell r="I1340">
            <v>44197</v>
          </cell>
          <cell r="J1340">
            <v>46387</v>
          </cell>
          <cell r="K1340" t="str">
            <v>CONTRATA</v>
          </cell>
          <cell r="L1340" t="str">
            <v>TÉCNICO</v>
          </cell>
          <cell r="M1340" t="str">
            <v>TÉCNICO</v>
          </cell>
          <cell r="N1340" t="str">
            <v>GRADO I.21</v>
          </cell>
          <cell r="O1340" t="str">
            <v>TÉC. NIVEL SUPERIOR</v>
          </cell>
          <cell r="P1340" t="str">
            <v>TÉCNICO DE NIVEL SUPERIOR EN ADMINISTRAC</v>
          </cell>
          <cell r="Q1340" t="str">
            <v>TALCA</v>
          </cell>
          <cell r="R1340" t="str">
            <v>VIC. GESTIÓN ECONÓMICA Y ADMINISTRACIÓN</v>
          </cell>
          <cell r="S1340" t="str">
            <v>DEPARTAMENTO DE GESTIÓN DE PERSONAS</v>
          </cell>
        </row>
        <row r="1341">
          <cell r="A1341">
            <v>18891014</v>
          </cell>
          <cell r="B1341" t="str">
            <v>18891014</v>
          </cell>
          <cell r="C1341" t="str">
            <v>9</v>
          </cell>
          <cell r="D1341" t="str">
            <v>RAMIREZ BARRIOS FABIAN ANDRES</v>
          </cell>
          <cell r="E1341" t="str">
            <v>VRF400043</v>
          </cell>
          <cell r="F1341">
            <v>44</v>
          </cell>
          <cell r="G1341">
            <v>30</v>
          </cell>
          <cell r="H1341" t="str">
            <v>FABIAN.RAMIREZ@UTALCA.CL</v>
          </cell>
          <cell r="I1341">
            <v>44197</v>
          </cell>
          <cell r="J1341">
            <v>46387</v>
          </cell>
          <cell r="K1341" t="str">
            <v>CONTRATA</v>
          </cell>
          <cell r="L1341" t="str">
            <v>PROFESIONAL</v>
          </cell>
          <cell r="M1341" t="str">
            <v>PROFESIONAL</v>
          </cell>
          <cell r="N1341" t="str">
            <v>GRADO I.17</v>
          </cell>
          <cell r="O1341" t="str">
            <v>TÍTULO PROFESIONAL</v>
          </cell>
          <cell r="P1341" t="str">
            <v>INGENIERO EN BIOINFORMÁTICA</v>
          </cell>
          <cell r="Q1341" t="str">
            <v>TALCA</v>
          </cell>
          <cell r="R1341" t="str">
            <v>VICERRECTORÍA DE FORMACIÓN</v>
          </cell>
          <cell r="S1341" t="str">
            <v>DPTO. DE GESTIÓN DE INFORM. ESTUDIANTIL</v>
          </cell>
        </row>
        <row r="1342">
          <cell r="A1342">
            <v>18891733</v>
          </cell>
          <cell r="B1342" t="str">
            <v>18891733</v>
          </cell>
          <cell r="C1342" t="str">
            <v>K</v>
          </cell>
          <cell r="D1342" t="str">
            <v>MUÑOZ GONZÁLEZ PAOLA ISABEL</v>
          </cell>
          <cell r="E1342" t="str">
            <v>ADC022001</v>
          </cell>
          <cell r="F1342">
            <v>44</v>
          </cell>
          <cell r="G1342">
            <v>30</v>
          </cell>
          <cell r="H1342" t="str">
            <v>PAOLA.MUNOZ@UTALCA.CL</v>
          </cell>
          <cell r="I1342">
            <v>45628</v>
          </cell>
          <cell r="J1342">
            <v>46387</v>
          </cell>
          <cell r="K1342" t="str">
            <v>CONTRATA</v>
          </cell>
          <cell r="L1342" t="str">
            <v>PROFESIONAL</v>
          </cell>
          <cell r="M1342" t="str">
            <v>PROFESIONAL</v>
          </cell>
          <cell r="N1342" t="str">
            <v>GRADO I.17</v>
          </cell>
          <cell r="O1342" t="str">
            <v>TÍTULO PROFESIONAL</v>
          </cell>
          <cell r="P1342" t="str">
            <v>PROFESORA EN ARTES VISUALES</v>
          </cell>
          <cell r="Q1342" t="str">
            <v>TALCA</v>
          </cell>
          <cell r="R1342" t="str">
            <v>DIRECCIÓN DE EXTENSIÓN</v>
          </cell>
          <cell r="S1342" t="str">
            <v>DIRECCIÓN DE EXTENSIÓN</v>
          </cell>
        </row>
        <row r="1343">
          <cell r="A1343">
            <v>18891765</v>
          </cell>
          <cell r="B1343" t="str">
            <v>18891765</v>
          </cell>
          <cell r="C1343" t="str">
            <v>8</v>
          </cell>
          <cell r="D1343" t="str">
            <v>AMARO VELIZ ESTEBAN DAVID</v>
          </cell>
          <cell r="E1343" t="str">
            <v>VGE400019</v>
          </cell>
          <cell r="F1343">
            <v>44</v>
          </cell>
          <cell r="G1343">
            <v>30</v>
          </cell>
          <cell r="H1343" t="str">
            <v>ESTEBAN.AMARO@UTALCA.CL</v>
          </cell>
          <cell r="I1343">
            <v>44409</v>
          </cell>
          <cell r="J1343">
            <v>46387</v>
          </cell>
          <cell r="K1343" t="str">
            <v>CONTRATA</v>
          </cell>
          <cell r="L1343" t="str">
            <v>PROFESIONAL</v>
          </cell>
          <cell r="M1343" t="str">
            <v>PROFESIONAL</v>
          </cell>
          <cell r="N1343" t="str">
            <v>GRADO I.17</v>
          </cell>
          <cell r="O1343" t="str">
            <v>TÍTULO PROFESIONAL</v>
          </cell>
          <cell r="P1343" t="str">
            <v>INGENIERO EN ADMINISTRACION DE EMPRESAS</v>
          </cell>
          <cell r="Q1343" t="str">
            <v>TALCA</v>
          </cell>
          <cell r="R1343" t="str">
            <v>VIC. GESTIÓN ECONÓMICA Y ADMINISTRACIÓN</v>
          </cell>
          <cell r="S1343" t="str">
            <v>DPTO. DE GESTIÓN DE PAGO A PROVEEDORES</v>
          </cell>
        </row>
        <row r="1344">
          <cell r="A1344">
            <v>18891836</v>
          </cell>
          <cell r="B1344" t="str">
            <v>18891836</v>
          </cell>
          <cell r="C1344" t="str">
            <v>0</v>
          </cell>
          <cell r="D1344" t="str">
            <v>CASTRO CABEZAS CARLA DANIELA</v>
          </cell>
          <cell r="E1344" t="str">
            <v>VAC400073</v>
          </cell>
          <cell r="F1344">
            <v>44</v>
          </cell>
          <cell r="G1344">
            <v>30</v>
          </cell>
          <cell r="H1344" t="str">
            <v>CARLA.CASTRO@UTALCA.CL</v>
          </cell>
          <cell r="I1344">
            <v>45544</v>
          </cell>
          <cell r="J1344">
            <v>46387</v>
          </cell>
          <cell r="K1344" t="str">
            <v>CONTRATA</v>
          </cell>
          <cell r="L1344" t="str">
            <v>PROFESIONAL</v>
          </cell>
          <cell r="M1344" t="str">
            <v>PROFESIONAL</v>
          </cell>
          <cell r="N1344" t="str">
            <v>GRADO I.17</v>
          </cell>
          <cell r="O1344" t="str">
            <v>TÍTULO PROFESIONAL</v>
          </cell>
          <cell r="P1344" t="str">
            <v>INGENIERO CIVIL INDUSTRIAL</v>
          </cell>
          <cell r="Q1344" t="str">
            <v>TALCA</v>
          </cell>
          <cell r="R1344" t="str">
            <v>VICERRECTORÍA ACADÉMICA</v>
          </cell>
          <cell r="S1344" t="str">
            <v>DIRECCIÓN DE INVESTIGACIÓN</v>
          </cell>
        </row>
        <row r="1345">
          <cell r="A1345">
            <v>18892167</v>
          </cell>
          <cell r="B1345" t="str">
            <v>18892167</v>
          </cell>
          <cell r="C1345" t="str">
            <v>1</v>
          </cell>
          <cell r="D1345" t="str">
            <v>VERDUGO FLORES ROMINA PAZ</v>
          </cell>
          <cell r="E1345" t="str">
            <v/>
          </cell>
          <cell r="F1345">
            <v>44</v>
          </cell>
          <cell r="G1345">
            <v>30</v>
          </cell>
          <cell r="H1345" t="str">
            <v>ROMINA.FLORES@UTALCA.CL</v>
          </cell>
          <cell r="I1345">
            <v>44927</v>
          </cell>
          <cell r="J1345">
            <v>46387</v>
          </cell>
          <cell r="K1345" t="str">
            <v>CONTRATA</v>
          </cell>
          <cell r="L1345" t="str">
            <v>PROFESIONAL</v>
          </cell>
          <cell r="M1345" t="str">
            <v>PROFESIONAL</v>
          </cell>
          <cell r="N1345" t="str">
            <v>GRADO I.17</v>
          </cell>
          <cell r="O1345" t="str">
            <v>TÍTULO PROFESIONAL</v>
          </cell>
          <cell r="P1345" t="str">
            <v>PROFESORA DE INGLES</v>
          </cell>
          <cell r="Q1345" t="str">
            <v>TALCA</v>
          </cell>
          <cell r="R1345" t="str">
            <v>VICERRECTORÍA DE FORMACIÓN</v>
          </cell>
          <cell r="S1345" t="str">
            <v>UN. DE ACOMPAÑAMIENTO ESTUDIANTIL (CIMA)</v>
          </cell>
        </row>
        <row r="1346">
          <cell r="A1346">
            <v>18892178</v>
          </cell>
          <cell r="B1346" t="str">
            <v>18892178</v>
          </cell>
          <cell r="C1346" t="str">
            <v>7</v>
          </cell>
          <cell r="D1346" t="str">
            <v>BESOAIN FUENTES SOLANGE LISETT</v>
          </cell>
          <cell r="E1346" t="str">
            <v>FCS200001</v>
          </cell>
          <cell r="F1346">
            <v>22</v>
          </cell>
          <cell r="G1346">
            <v>30</v>
          </cell>
          <cell r="H1346" t="str">
            <v>SOLANGE.BESOAIN@UTALCA.CL</v>
          </cell>
          <cell r="I1346">
            <v>45139</v>
          </cell>
          <cell r="J1346">
            <v>46387</v>
          </cell>
          <cell r="K1346" t="str">
            <v>CONTRATA</v>
          </cell>
          <cell r="L1346" t="str">
            <v>C ESPECIALES</v>
          </cell>
          <cell r="M1346" t="str">
            <v>TUTOR(A) PRÁCTICA</v>
          </cell>
          <cell r="N1346" t="str">
            <v>SIN GRADO</v>
          </cell>
          <cell r="O1346" t="str">
            <v>TÍTULO PROFESIONAL</v>
          </cell>
          <cell r="P1346" t="str">
            <v>TECNOLOGO MEDICO</v>
          </cell>
          <cell r="Q1346" t="str">
            <v>TALCA</v>
          </cell>
          <cell r="R1346" t="str">
            <v>FACULTAD DE CIENCIAS DE LA SALUD</v>
          </cell>
          <cell r="S1346" t="str">
            <v>FACULTAD DE CIENCIAS DE LA SALUD</v>
          </cell>
        </row>
        <row r="1347">
          <cell r="A1347">
            <v>18892545</v>
          </cell>
          <cell r="B1347" t="str">
            <v>18892545</v>
          </cell>
          <cell r="C1347" t="str">
            <v>6</v>
          </cell>
          <cell r="D1347" t="str">
            <v>MORAN OYARCE YASNA CONSTANZA</v>
          </cell>
          <cell r="E1347" t="str">
            <v>IMF300001</v>
          </cell>
          <cell r="F1347">
            <v>44</v>
          </cell>
          <cell r="G1347">
            <v>30</v>
          </cell>
          <cell r="H1347" t="str">
            <v>YASNA.MORAN@UTALCA.CL</v>
          </cell>
          <cell r="I1347">
            <v>44564</v>
          </cell>
          <cell r="J1347">
            <v>46387</v>
          </cell>
          <cell r="K1347" t="str">
            <v>CONTRATA</v>
          </cell>
          <cell r="L1347" t="str">
            <v>TÉCNICO</v>
          </cell>
          <cell r="M1347" t="str">
            <v>TÉCNICO</v>
          </cell>
          <cell r="N1347" t="str">
            <v>GRADO I.21</v>
          </cell>
          <cell r="O1347" t="str">
            <v>TÉC. NIVEL SUPERIOR</v>
          </cell>
          <cell r="P1347" t="str">
            <v>TECNICO DE NIVEL SUPERIOR EN ADMINISTRACION D</v>
          </cell>
          <cell r="Q1347" t="str">
            <v>TALCA</v>
          </cell>
          <cell r="R1347" t="str">
            <v>INSTITUTO DE MATEMÁTICAS</v>
          </cell>
          <cell r="S1347" t="str">
            <v>INSTITUTO DE MATEMÁTICAS</v>
          </cell>
        </row>
        <row r="1348">
          <cell r="A1348">
            <v>18892811</v>
          </cell>
          <cell r="B1348" t="str">
            <v>18892811</v>
          </cell>
          <cell r="C1348" t="str">
            <v>0</v>
          </cell>
          <cell r="D1348" t="str">
            <v>REINA GONZALEZ WILSON EDUARDO</v>
          </cell>
          <cell r="E1348" t="str">
            <v>FCS200001</v>
          </cell>
          <cell r="F1348">
            <v>33</v>
          </cell>
          <cell r="G1348">
            <v>30</v>
          </cell>
          <cell r="H1348" t="str">
            <v>WILSON.REINA@UTALCA.CL</v>
          </cell>
          <cell r="I1348">
            <v>44927</v>
          </cell>
          <cell r="J1348">
            <v>46387</v>
          </cell>
          <cell r="K1348" t="str">
            <v>CONTRATA</v>
          </cell>
          <cell r="L1348" t="str">
            <v>C ESPECIALES</v>
          </cell>
          <cell r="M1348" t="str">
            <v>TUTOR(A) PRÁCTICA</v>
          </cell>
          <cell r="N1348" t="str">
            <v>SIN GRADO</v>
          </cell>
          <cell r="O1348" t="str">
            <v>MAGISTER</v>
          </cell>
          <cell r="P1348" t="str">
            <v>MAGISTER EN DOCENCIA PARA LA EDUCACION SUPERI</v>
          </cell>
          <cell r="Q1348" t="str">
            <v>TALCA</v>
          </cell>
          <cell r="R1348" t="str">
            <v>FACULTAD DE CIENCIAS DE LA SALUD</v>
          </cell>
          <cell r="S1348" t="str">
            <v>FACULTAD DE CIENCIAS DE LA SALUD</v>
          </cell>
        </row>
        <row r="1349">
          <cell r="A1349">
            <v>18893417</v>
          </cell>
          <cell r="B1349" t="str">
            <v>18893417</v>
          </cell>
          <cell r="C1349" t="str">
            <v>K</v>
          </cell>
          <cell r="D1349" t="str">
            <v>MICHAEL CASTRO VIVIANA FRANCIS</v>
          </cell>
          <cell r="E1349" t="str">
            <v/>
          </cell>
          <cell r="F1349">
            <v>40</v>
          </cell>
          <cell r="G1349">
            <v>30</v>
          </cell>
          <cell r="H1349" t="str">
            <v>VMICHAEL@UTALCA.CL</v>
          </cell>
          <cell r="I1349">
            <v>44927</v>
          </cell>
          <cell r="J1349">
            <v>46387</v>
          </cell>
          <cell r="K1349" t="str">
            <v>CONTRATA</v>
          </cell>
          <cell r="L1349" t="str">
            <v>TÉCNICO</v>
          </cell>
          <cell r="M1349" t="str">
            <v>TÉCNICO</v>
          </cell>
          <cell r="N1349" t="str">
            <v>GRADO I.23</v>
          </cell>
          <cell r="O1349" t="str">
            <v>TÉC. NIVEL MEDIO</v>
          </cell>
          <cell r="P1349" t="str">
            <v>TECNICO DE NIVEL MEDIO EN LABORATORIO QUIMICO</v>
          </cell>
          <cell r="Q1349" t="str">
            <v>TALCA</v>
          </cell>
          <cell r="R1349" t="str">
            <v>FACULTAD DE CIENCIAS AGRARÍAS</v>
          </cell>
          <cell r="S1349" t="str">
            <v>CENTRO TECNOLÓGICO DE SUELOS Y CULTIVOS</v>
          </cell>
        </row>
        <row r="1350">
          <cell r="A1350">
            <v>18894144</v>
          </cell>
          <cell r="B1350" t="str">
            <v>18894144</v>
          </cell>
          <cell r="C1350" t="str">
            <v>3</v>
          </cell>
          <cell r="D1350" t="str">
            <v>BOCHARD RAMIREZ FERNANDO IGNAC</v>
          </cell>
          <cell r="E1350" t="str">
            <v>ADC030190</v>
          </cell>
          <cell r="F1350">
            <v>33</v>
          </cell>
          <cell r="G1350">
            <v>30</v>
          </cell>
          <cell r="H1350" t="str">
            <v>FERNANDO.BOCHARD@UTALCA.CL</v>
          </cell>
          <cell r="I1350">
            <v>45901</v>
          </cell>
          <cell r="J1350">
            <v>46387</v>
          </cell>
          <cell r="K1350" t="str">
            <v>CONTRATA</v>
          </cell>
          <cell r="L1350" t="str">
            <v>PROFESIONAL</v>
          </cell>
          <cell r="M1350" t="str">
            <v>PROFESIONAL</v>
          </cell>
          <cell r="N1350" t="str">
            <v>GRADO I.17</v>
          </cell>
          <cell r="O1350" t="str">
            <v>TÍTULO PROFESIONAL</v>
          </cell>
          <cell r="P1350" t="str">
            <v>ASISTENTE SOCIAL</v>
          </cell>
          <cell r="Q1350" t="str">
            <v>TALCA</v>
          </cell>
          <cell r="R1350" t="str">
            <v>SECRETARÍA GENERAL</v>
          </cell>
          <cell r="S1350" t="str">
            <v>DIRECCIÓN DE GÉNERO</v>
          </cell>
        </row>
        <row r="1351">
          <cell r="A1351">
            <v>18894321</v>
          </cell>
          <cell r="B1351" t="str">
            <v>18894321</v>
          </cell>
          <cell r="C1351" t="str">
            <v>7</v>
          </cell>
          <cell r="D1351" t="str">
            <v>VALENZUELA SAAVEDRA LILIAM NAY</v>
          </cell>
          <cell r="E1351" t="str">
            <v/>
          </cell>
          <cell r="F1351">
            <v>44</v>
          </cell>
          <cell r="G1351">
            <v>30</v>
          </cell>
          <cell r="H1351" t="str">
            <v>LILIAM.VALENZUELA@UTALCA.CL</v>
          </cell>
          <cell r="I1351">
            <v>44927</v>
          </cell>
          <cell r="J1351">
            <v>46387</v>
          </cell>
          <cell r="K1351" t="str">
            <v>CONTRATA</v>
          </cell>
          <cell r="L1351" t="str">
            <v>ADMINISTRATIVO</v>
          </cell>
          <cell r="M1351" t="str">
            <v>ADMINISTRATIVO</v>
          </cell>
          <cell r="N1351" t="str">
            <v>GRADO I.21</v>
          </cell>
          <cell r="O1351" t="str">
            <v>TÍTULO PROFESIONAL</v>
          </cell>
          <cell r="P1351" t="str">
            <v>INGENIERO DE EJECUCION EN ADMINISTRACION</v>
          </cell>
          <cell r="Q1351" t="str">
            <v>TALCA</v>
          </cell>
          <cell r="R1351" t="str">
            <v>FACULTAD DE ODONTOLOGÍA</v>
          </cell>
          <cell r="S1351" t="str">
            <v>CLÍNICAS ODONTOLÓGICAS</v>
          </cell>
        </row>
        <row r="1352">
          <cell r="A1352">
            <v>18894932</v>
          </cell>
          <cell r="B1352" t="str">
            <v>18894932</v>
          </cell>
          <cell r="C1352" t="str">
            <v>0</v>
          </cell>
          <cell r="D1352" t="str">
            <v>TAPIA CASTILLO JOCELYN CAROLIN</v>
          </cell>
          <cell r="E1352" t="str">
            <v>VGE400050</v>
          </cell>
          <cell r="F1352">
            <v>44</v>
          </cell>
          <cell r="G1352">
            <v>30</v>
          </cell>
          <cell r="H1352" t="str">
            <v>JOCTAPIA@UTALCA.CL</v>
          </cell>
          <cell r="I1352">
            <v>44197</v>
          </cell>
          <cell r="J1352">
            <v>46387</v>
          </cell>
          <cell r="K1352" t="str">
            <v>CONTRATA</v>
          </cell>
          <cell r="L1352" t="str">
            <v>TÉCNICO</v>
          </cell>
          <cell r="M1352" t="str">
            <v>TÉCNICO</v>
          </cell>
          <cell r="N1352" t="str">
            <v>GRADO I.21</v>
          </cell>
          <cell r="O1352" t="str">
            <v>TÉC. NIVEL SUPERIOR</v>
          </cell>
          <cell r="P1352" t="str">
            <v>TECNICO DE NIVEL SUPERIOR EN TRABAJO SOCIAL</v>
          </cell>
          <cell r="Q1352" t="str">
            <v>CURICO</v>
          </cell>
          <cell r="R1352" t="str">
            <v>VIC. GESTIÓN ECONÓMICA Y ADMINISTRACIÓN</v>
          </cell>
          <cell r="S1352" t="str">
            <v>DEPARTAMENTO DE ADMINISTRACIÓN DE CAMPUS</v>
          </cell>
        </row>
        <row r="1353">
          <cell r="A1353">
            <v>18895061</v>
          </cell>
          <cell r="B1353" t="str">
            <v>18895061</v>
          </cell>
          <cell r="C1353" t="str">
            <v>2</v>
          </cell>
          <cell r="D1353" t="str">
            <v>GOMEZ GONZALEZ JAIME ESTEBAN</v>
          </cell>
          <cell r="E1353" t="str">
            <v>ADC021004</v>
          </cell>
          <cell r="F1353">
            <v>44</v>
          </cell>
          <cell r="G1353">
            <v>30</v>
          </cell>
          <cell r="H1353" t="str">
            <v>IE.JAIMEGOMEZ@GMAIL.COM</v>
          </cell>
          <cell r="I1353">
            <v>45778</v>
          </cell>
          <cell r="J1353">
            <v>46387</v>
          </cell>
          <cell r="K1353" t="str">
            <v>CONTRATA</v>
          </cell>
          <cell r="L1353" t="str">
            <v>PROFESIONAL</v>
          </cell>
          <cell r="M1353" t="str">
            <v>PROFESIONAL</v>
          </cell>
          <cell r="N1353" t="str">
            <v>GRADO I.17</v>
          </cell>
          <cell r="O1353" t="str">
            <v>TÍTULO PROFESIONAL</v>
          </cell>
          <cell r="P1353" t="str">
            <v>INGENIERO EN INFORMATICA EMPRESARIAL</v>
          </cell>
          <cell r="Q1353" t="str">
            <v>TALCA</v>
          </cell>
          <cell r="R1353" t="str">
            <v>DIRECCIÓN DE COMUNICACIONES CORPORATIVAS</v>
          </cell>
          <cell r="S1353" t="str">
            <v>DEPARTAMENTO DE BRANDING</v>
          </cell>
        </row>
        <row r="1354">
          <cell r="A1354">
            <v>18903098</v>
          </cell>
          <cell r="B1354" t="str">
            <v>18903098</v>
          </cell>
          <cell r="C1354" t="str">
            <v>3</v>
          </cell>
          <cell r="D1354" t="str">
            <v>MORALES MIRANDA MANUEL RAMÓN</v>
          </cell>
          <cell r="E1354" t="str">
            <v>FCS340010</v>
          </cell>
          <cell r="F1354">
            <v>33</v>
          </cell>
          <cell r="G1354">
            <v>30</v>
          </cell>
          <cell r="H1354" t="str">
            <v>MANUEL.MORALES@UTALCA.CL</v>
          </cell>
          <cell r="I1354">
            <v>45597</v>
          </cell>
          <cell r="J1354">
            <v>46387</v>
          </cell>
          <cell r="K1354" t="str">
            <v>CONTRATA</v>
          </cell>
          <cell r="L1354" t="str">
            <v>PROFESIONAL</v>
          </cell>
          <cell r="M1354" t="str">
            <v>PROFESIONAL</v>
          </cell>
          <cell r="N1354" t="str">
            <v>GRADO I.17</v>
          </cell>
          <cell r="O1354" t="str">
            <v>TÍTULO PROFESIONAL</v>
          </cell>
          <cell r="P1354" t="str">
            <v>FONOAUDIÓLOGO</v>
          </cell>
          <cell r="Q1354" t="str">
            <v>TALCA</v>
          </cell>
          <cell r="R1354" t="str">
            <v>FACULTAD DE CIENCIAS DE LA SALUD</v>
          </cell>
          <cell r="S1354" t="str">
            <v>CLÍNICAS DE FONOAUDIOLOGÍA</v>
          </cell>
        </row>
        <row r="1355">
          <cell r="A1355">
            <v>18957612</v>
          </cell>
          <cell r="B1355" t="str">
            <v>18957612</v>
          </cell>
          <cell r="C1355" t="str">
            <v>9</v>
          </cell>
          <cell r="D1355" t="str">
            <v>MEIRELLES MORAGA MACARENA ADRI</v>
          </cell>
          <cell r="E1355" t="str">
            <v>FCJ340001</v>
          </cell>
          <cell r="F1355">
            <v>44</v>
          </cell>
          <cell r="G1355">
            <v>30</v>
          </cell>
          <cell r="H1355" t="str">
            <v/>
          </cell>
          <cell r="I1355">
            <v>45748</v>
          </cell>
          <cell r="J1355">
            <v>46387</v>
          </cell>
          <cell r="K1355" t="str">
            <v>CONTRATA</v>
          </cell>
          <cell r="L1355" t="str">
            <v>PROFESIONAL</v>
          </cell>
          <cell r="M1355" t="str">
            <v>PROFESIONAL</v>
          </cell>
          <cell r="N1355" t="str">
            <v>GRADO I.17</v>
          </cell>
          <cell r="O1355" t="str">
            <v>TÍTULO PROFESIONAL</v>
          </cell>
          <cell r="P1355" t="str">
            <v>ABOGADA</v>
          </cell>
          <cell r="Q1355" t="str">
            <v>SANTIAGO</v>
          </cell>
          <cell r="R1355" t="str">
            <v>FACULTAD CIENCIAS JURÍDICAS Y SOCIALES</v>
          </cell>
          <cell r="S1355" t="str">
            <v>CLÍNICA JURÍDICA DE TALCA</v>
          </cell>
        </row>
        <row r="1356">
          <cell r="A1356">
            <v>18967058</v>
          </cell>
          <cell r="B1356" t="str">
            <v>18967058</v>
          </cell>
          <cell r="C1356" t="str">
            <v>3</v>
          </cell>
          <cell r="D1356" t="str">
            <v>HEVIA BERRIOS VALERIA ANDREA</v>
          </cell>
          <cell r="E1356" t="str">
            <v>VAC400001</v>
          </cell>
          <cell r="F1356">
            <v>44</v>
          </cell>
          <cell r="G1356">
            <v>30</v>
          </cell>
          <cell r="H1356" t="str">
            <v>VALERIA.HEVIA@UTALCA.CL</v>
          </cell>
          <cell r="I1356">
            <v>44634</v>
          </cell>
          <cell r="J1356">
            <v>46387</v>
          </cell>
          <cell r="K1356" t="str">
            <v>CONTRATA</v>
          </cell>
          <cell r="L1356" t="str">
            <v>ADMINISTRATIVO</v>
          </cell>
          <cell r="M1356" t="str">
            <v>ADMINISTRATIVO</v>
          </cell>
          <cell r="N1356" t="str">
            <v>GRADO I.21</v>
          </cell>
          <cell r="O1356" t="str">
            <v>TÍTULO PROFESIONAL</v>
          </cell>
          <cell r="P1356" t="str">
            <v>PROFESORA DE EDUCACION MEDIA EN CASTELLANO Y</v>
          </cell>
          <cell r="Q1356" t="str">
            <v>CURICO</v>
          </cell>
          <cell r="R1356" t="str">
            <v>VICERRECTORÍA ACADÉMICA</v>
          </cell>
          <cell r="S1356" t="str">
            <v>DIRECCIÓN DE BIBLIOTECAS</v>
          </cell>
        </row>
        <row r="1357">
          <cell r="A1357">
            <v>18967178</v>
          </cell>
          <cell r="B1357" t="str">
            <v>18967178</v>
          </cell>
          <cell r="C1357" t="str">
            <v>4</v>
          </cell>
          <cell r="D1357" t="str">
            <v>GALAZ CISTERNAS DANIELA CONSTA</v>
          </cell>
          <cell r="E1357" t="str">
            <v>VDE400009</v>
          </cell>
          <cell r="F1357">
            <v>22</v>
          </cell>
          <cell r="G1357">
            <v>30</v>
          </cell>
          <cell r="H1357" t="str">
            <v>DANIELA.GALAZ@UTALCA.CL</v>
          </cell>
          <cell r="I1357">
            <v>45444</v>
          </cell>
          <cell r="J1357">
            <v>46387</v>
          </cell>
          <cell r="K1357" t="str">
            <v>CONTRATA</v>
          </cell>
          <cell r="L1357" t="str">
            <v>PROFESIONAL</v>
          </cell>
          <cell r="M1357" t="str">
            <v>PROFESIONAL</v>
          </cell>
          <cell r="N1357" t="str">
            <v>GRADO I.17</v>
          </cell>
          <cell r="O1357" t="str">
            <v>TÍTULO PROFESIONAL</v>
          </cell>
          <cell r="P1357" t="str">
            <v>MATRONA</v>
          </cell>
          <cell r="Q1357" t="str">
            <v>TALCA</v>
          </cell>
          <cell r="R1357" t="str">
            <v>VICERRECTORÍA DE DESARROLLO ESTUDIANTIL</v>
          </cell>
          <cell r="S1357" t="str">
            <v>DIRECCIÓN DE SALUD ESTUDIANTIL</v>
          </cell>
        </row>
        <row r="1358">
          <cell r="A1358">
            <v>18967878</v>
          </cell>
          <cell r="B1358" t="str">
            <v>18967878</v>
          </cell>
          <cell r="C1358" t="str">
            <v>9</v>
          </cell>
          <cell r="D1358" t="str">
            <v>GARRIDO PARRAGUEZ ESTEBAN ANDR</v>
          </cell>
          <cell r="E1358" t="str">
            <v>VRF400005</v>
          </cell>
          <cell r="F1358">
            <v>44</v>
          </cell>
          <cell r="G1358">
            <v>30</v>
          </cell>
          <cell r="H1358" t="str">
            <v>ESTEBAN.GARRIDO@UTALCA.CL</v>
          </cell>
          <cell r="I1358">
            <v>44986</v>
          </cell>
          <cell r="J1358">
            <v>46387</v>
          </cell>
          <cell r="K1358" t="str">
            <v>CONTRATA</v>
          </cell>
          <cell r="L1358" t="str">
            <v>PROFESIONAL</v>
          </cell>
          <cell r="M1358" t="str">
            <v>PROFESIONAL</v>
          </cell>
          <cell r="N1358" t="str">
            <v>GRADO I.17</v>
          </cell>
          <cell r="O1358" t="str">
            <v>TÍTULO PROFESIONAL</v>
          </cell>
          <cell r="P1358" t="str">
            <v>PROFESOR DE EDUCACIÓN FÍSICA CON MENCIÓN EN A</v>
          </cell>
          <cell r="Q1358" t="str">
            <v>TALCA</v>
          </cell>
          <cell r="R1358" t="str">
            <v>VICERRECTORÍA DE FORMACIÓN</v>
          </cell>
          <cell r="S1358" t="str">
            <v>PROGRAMA DE DEPORTES</v>
          </cell>
        </row>
        <row r="1359">
          <cell r="A1359">
            <v>18983265</v>
          </cell>
          <cell r="B1359" t="str">
            <v>18983265</v>
          </cell>
          <cell r="C1359" t="str">
            <v>6</v>
          </cell>
          <cell r="D1359" t="str">
            <v>ROJAS REYES MARIA PAZ</v>
          </cell>
          <cell r="E1359" t="str">
            <v>VRF400009</v>
          </cell>
          <cell r="F1359">
            <v>44</v>
          </cell>
          <cell r="G1359">
            <v>30</v>
          </cell>
          <cell r="H1359" t="str">
            <v>MARIA.ROJAS@UTALCA.CL</v>
          </cell>
          <cell r="I1359">
            <v>44986</v>
          </cell>
          <cell r="J1359">
            <v>46387</v>
          </cell>
          <cell r="K1359" t="str">
            <v>CONTRATA</v>
          </cell>
          <cell r="L1359" t="str">
            <v>PROFESIONAL</v>
          </cell>
          <cell r="M1359" t="str">
            <v>PROFESIONAL</v>
          </cell>
          <cell r="N1359" t="str">
            <v>GRADO I.17</v>
          </cell>
          <cell r="O1359" t="str">
            <v>TÍTULO PROFESIONAL</v>
          </cell>
          <cell r="P1359" t="str">
            <v>TRABAJADORA SOCIAL</v>
          </cell>
          <cell r="Q1359" t="str">
            <v>TALCA</v>
          </cell>
          <cell r="R1359" t="str">
            <v>VICERRECTORÍA DE FORMACIÓN</v>
          </cell>
          <cell r="S1359" t="str">
            <v>PROGRAMA DE FORMACIÓN FUNDAMENTAL</v>
          </cell>
        </row>
        <row r="1360">
          <cell r="A1360">
            <v>19009572</v>
          </cell>
          <cell r="B1360" t="str">
            <v>19009572</v>
          </cell>
          <cell r="C1360" t="str">
            <v>K</v>
          </cell>
          <cell r="D1360" t="str">
            <v>JIMENEZ VILLAGRA MATIAS ANDRES</v>
          </cell>
          <cell r="E1360" t="str">
            <v>FCS320007</v>
          </cell>
          <cell r="F1360">
            <v>44</v>
          </cell>
          <cell r="G1360">
            <v>30</v>
          </cell>
          <cell r="H1360" t="str">
            <v>MATIAS.JIMENEZ@UTALCA.CL</v>
          </cell>
          <cell r="I1360">
            <v>45976</v>
          </cell>
          <cell r="J1360">
            <v>46387</v>
          </cell>
          <cell r="K1360" t="str">
            <v>CONTRATA</v>
          </cell>
          <cell r="L1360" t="str">
            <v>TÉCNICO</v>
          </cell>
          <cell r="M1360" t="str">
            <v>TÉCNICO</v>
          </cell>
          <cell r="N1360" t="str">
            <v>GRADO I.23</v>
          </cell>
          <cell r="O1360" t="str">
            <v>TÉC. NIVEL SUPERIOR</v>
          </cell>
          <cell r="P1360" t="str">
            <v>TECNICO DE NIVEL SUPERIOR EN ENFERMERIA</v>
          </cell>
          <cell r="Q1360" t="str">
            <v>TALCA</v>
          </cell>
          <cell r="R1360" t="str">
            <v>FACULTAD DE CIENCIAS DE LA SALUD</v>
          </cell>
          <cell r="S1360" t="str">
            <v>DPTO. DE CIENCIAS BÁSICAS BIOMÉDICAS</v>
          </cell>
        </row>
        <row r="1361">
          <cell r="A1361">
            <v>19010279</v>
          </cell>
          <cell r="B1361" t="str">
            <v>19010279</v>
          </cell>
          <cell r="C1361" t="str">
            <v>3</v>
          </cell>
          <cell r="D1361" t="str">
            <v>AGURTO YAÑEZ GISELA ROCIO</v>
          </cell>
          <cell r="E1361" t="str">
            <v/>
          </cell>
          <cell r="F1361">
            <v>44</v>
          </cell>
          <cell r="G1361">
            <v>30</v>
          </cell>
          <cell r="H1361" t="str">
            <v>GISELA.AGURTO@UTALCA.CL</v>
          </cell>
          <cell r="I1361">
            <v>45597</v>
          </cell>
          <cell r="J1361">
            <v>46387</v>
          </cell>
          <cell r="K1361" t="str">
            <v>CONTRATA</v>
          </cell>
          <cell r="L1361" t="str">
            <v>PROFESIONAL</v>
          </cell>
          <cell r="M1361" t="str">
            <v>PROFESIONAL</v>
          </cell>
          <cell r="N1361" t="str">
            <v>GRADO I.17</v>
          </cell>
          <cell r="O1361" t="str">
            <v>TÍTULO PROFESIONAL</v>
          </cell>
          <cell r="P1361" t="str">
            <v>ABOGADA</v>
          </cell>
          <cell r="Q1361" t="str">
            <v>TALCA</v>
          </cell>
          <cell r="R1361" t="str">
            <v>VICERRECTORÍA ACADÉMICA</v>
          </cell>
          <cell r="S1361" t="str">
            <v>UN. DE GESTIÓN DE LA INNOVACIÓN Y EMPTO.</v>
          </cell>
        </row>
        <row r="1362">
          <cell r="A1362">
            <v>19043923</v>
          </cell>
          <cell r="B1362" t="str">
            <v>19043923</v>
          </cell>
          <cell r="C1362" t="str">
            <v>2</v>
          </cell>
          <cell r="D1362" t="str">
            <v>BELMAR ROJAS CARLA SOLEDAD</v>
          </cell>
          <cell r="E1362" t="str">
            <v>FPS200001</v>
          </cell>
          <cell r="F1362">
            <v>44</v>
          </cell>
          <cell r="G1362">
            <v>30</v>
          </cell>
          <cell r="H1362" t="str">
            <v>CARLA.BELMAR@UTALCA.CL</v>
          </cell>
          <cell r="I1362">
            <v>45936</v>
          </cell>
          <cell r="J1362">
            <v>46387</v>
          </cell>
          <cell r="K1362" t="str">
            <v>CONTRATA</v>
          </cell>
          <cell r="L1362" t="str">
            <v>C ESPECIALES</v>
          </cell>
          <cell r="M1362" t="str">
            <v>TUTOR(A) PRÁCTICA</v>
          </cell>
          <cell r="N1362" t="str">
            <v>SIN GRADO</v>
          </cell>
          <cell r="O1362" t="str">
            <v>TÍTULO PROFESIONAL</v>
          </cell>
          <cell r="P1362" t="str">
            <v>TERAPEUTA OCUPACIONAL</v>
          </cell>
          <cell r="Q1362" t="str">
            <v>TALCA</v>
          </cell>
          <cell r="R1362" t="str">
            <v>FACULTAD DE PSICOLOGÍA</v>
          </cell>
          <cell r="S1362" t="str">
            <v>FACULTAD DE PSICOLOGÍA</v>
          </cell>
        </row>
        <row r="1363">
          <cell r="A1363">
            <v>19044417</v>
          </cell>
          <cell r="B1363" t="str">
            <v>19044417</v>
          </cell>
          <cell r="C1363" t="str">
            <v>1</v>
          </cell>
          <cell r="D1363" t="str">
            <v>PEZOA GONZALEZ YOSELIN PATRICI</v>
          </cell>
          <cell r="E1363" t="str">
            <v>VGE400005</v>
          </cell>
          <cell r="F1363">
            <v>44</v>
          </cell>
          <cell r="G1363">
            <v>30</v>
          </cell>
          <cell r="H1363" t="str">
            <v>YOSELIN.PEZOA@UTALCA.CL</v>
          </cell>
          <cell r="I1363">
            <v>44927</v>
          </cell>
          <cell r="J1363">
            <v>46387</v>
          </cell>
          <cell r="K1363" t="str">
            <v>CONTRATA</v>
          </cell>
          <cell r="L1363" t="str">
            <v>PROFESIONAL</v>
          </cell>
          <cell r="M1363" t="str">
            <v>PROFESIONAL</v>
          </cell>
          <cell r="N1363" t="str">
            <v>GRADO I.17</v>
          </cell>
          <cell r="O1363" t="str">
            <v>TÍTULO PROFESIONAL</v>
          </cell>
          <cell r="P1363" t="str">
            <v>INGENIERO DE EJECUCION EN ADMINISTRACION DE E</v>
          </cell>
          <cell r="Q1363" t="str">
            <v>TALCA</v>
          </cell>
          <cell r="R1363" t="str">
            <v>VIC. GESTIÓN ECONÓMICA Y ADMINISTRACIÓN</v>
          </cell>
          <cell r="S1363" t="str">
            <v>DEPARTAMENTO DE GESTIÓN DE COMPRAS</v>
          </cell>
        </row>
        <row r="1364">
          <cell r="A1364">
            <v>19059731</v>
          </cell>
          <cell r="B1364" t="str">
            <v>19059731</v>
          </cell>
          <cell r="C1364" t="str">
            <v>8</v>
          </cell>
          <cell r="D1364" t="str">
            <v>ARAVENA LARA TAMARA ANDREA</v>
          </cell>
          <cell r="E1364" t="str">
            <v>FEN310004</v>
          </cell>
          <cell r="F1364">
            <v>44</v>
          </cell>
          <cell r="G1364">
            <v>30</v>
          </cell>
          <cell r="H1364" t="str">
            <v>TAMARA.ARAVENA@UTALCA.CL</v>
          </cell>
          <cell r="I1364">
            <v>45047</v>
          </cell>
          <cell r="J1364">
            <v>46387</v>
          </cell>
          <cell r="K1364" t="str">
            <v>CONTRATA</v>
          </cell>
          <cell r="L1364" t="str">
            <v>ADMINISTRATIVO</v>
          </cell>
          <cell r="M1364" t="str">
            <v>ADMINISTRATIVO</v>
          </cell>
          <cell r="N1364" t="str">
            <v>GRADO I.21</v>
          </cell>
          <cell r="O1364" t="str">
            <v>TÍTULO PROFESIONAL</v>
          </cell>
          <cell r="P1364" t="str">
            <v>INGENIERO EN ADMINISTRACION DE EMPRESAS</v>
          </cell>
          <cell r="Q1364" t="str">
            <v>TALCA</v>
          </cell>
          <cell r="R1364" t="str">
            <v>FACULTAD DE ECONOMÍA Y NEGOCIOS</v>
          </cell>
          <cell r="S1364" t="str">
            <v>ESC. AUDITORIA Y CONTROL DE GESTIÓN TLCA</v>
          </cell>
        </row>
        <row r="1365">
          <cell r="A1365">
            <v>19099397</v>
          </cell>
          <cell r="B1365" t="str">
            <v>19099397</v>
          </cell>
          <cell r="C1365" t="str">
            <v>3</v>
          </cell>
          <cell r="D1365" t="str">
            <v>ZAPATA ZAÑARTU DAVID MANUEL</v>
          </cell>
          <cell r="E1365" t="str">
            <v>VGE400020</v>
          </cell>
          <cell r="F1365">
            <v>44</v>
          </cell>
          <cell r="G1365">
            <v>30</v>
          </cell>
          <cell r="H1365" t="str">
            <v>DAVID.ZAPATA@UTALCA.CL</v>
          </cell>
          <cell r="I1365">
            <v>45231</v>
          </cell>
          <cell r="J1365">
            <v>46387</v>
          </cell>
          <cell r="K1365" t="str">
            <v>CONTRATA</v>
          </cell>
          <cell r="L1365" t="str">
            <v>PROFESIONAL</v>
          </cell>
          <cell r="M1365" t="str">
            <v>PROFESIONAL</v>
          </cell>
          <cell r="N1365" t="str">
            <v>GRADO I.17</v>
          </cell>
          <cell r="O1365" t="str">
            <v>TÍTULO PROFESIONAL</v>
          </cell>
          <cell r="P1365" t="str">
            <v>INGENIERO COMERCIAL</v>
          </cell>
          <cell r="Q1365" t="str">
            <v>TALCA</v>
          </cell>
          <cell r="R1365" t="str">
            <v>VIC. GESTIÓN ECONÓMICA Y ADMINISTRACIÓN</v>
          </cell>
          <cell r="S1365" t="str">
            <v>DEPARTAMENTO DE TESORERÍA</v>
          </cell>
        </row>
        <row r="1366">
          <cell r="A1366">
            <v>19105395</v>
          </cell>
          <cell r="B1366" t="str">
            <v>19105395</v>
          </cell>
          <cell r="C1366" t="str">
            <v>8</v>
          </cell>
          <cell r="D1366" t="str">
            <v>ACEVEDO SALAS IVAN ANDRES</v>
          </cell>
          <cell r="E1366" t="str">
            <v>VRF400003</v>
          </cell>
          <cell r="F1366">
            <v>44</v>
          </cell>
          <cell r="G1366">
            <v>30</v>
          </cell>
          <cell r="H1366" t="str">
            <v>IVACEVEDO@UTALCA.CL</v>
          </cell>
          <cell r="I1366">
            <v>44197</v>
          </cell>
          <cell r="J1366">
            <v>46387</v>
          </cell>
          <cell r="K1366" t="str">
            <v>CONTRATA</v>
          </cell>
          <cell r="L1366" t="str">
            <v>PROFESIONAL</v>
          </cell>
          <cell r="M1366" t="str">
            <v>PROFESIONAL</v>
          </cell>
          <cell r="N1366" t="str">
            <v>GRADO I.17</v>
          </cell>
          <cell r="O1366" t="str">
            <v>TÍTULO PROFESIONAL</v>
          </cell>
          <cell r="P1366" t="str">
            <v>PSICÓLOGO</v>
          </cell>
          <cell r="Q1366" t="str">
            <v>TALCA</v>
          </cell>
          <cell r="R1366" t="str">
            <v>VICERRECTORÍA DE FORMACIÓN</v>
          </cell>
          <cell r="S1366" t="str">
            <v>UN. DE ACOMPAÑAMIENTO ESTUDIANTIL (CIMA)</v>
          </cell>
        </row>
        <row r="1367">
          <cell r="A1367">
            <v>19106703</v>
          </cell>
          <cell r="B1367" t="str">
            <v>19106703</v>
          </cell>
          <cell r="C1367" t="str">
            <v>7</v>
          </cell>
          <cell r="D1367" t="str">
            <v>GONZALEZ SUAREZ PAULA ELIZABET</v>
          </cell>
          <cell r="E1367" t="str">
            <v>VGE400054</v>
          </cell>
          <cell r="F1367">
            <v>44</v>
          </cell>
          <cell r="G1367">
            <v>30</v>
          </cell>
          <cell r="H1367" t="str">
            <v>PAULA.GONZALEZ@UTALCA.CL</v>
          </cell>
          <cell r="I1367">
            <v>44927</v>
          </cell>
          <cell r="J1367">
            <v>46387</v>
          </cell>
          <cell r="K1367" t="str">
            <v>CONTRATA</v>
          </cell>
          <cell r="L1367" t="str">
            <v>PROFESIONAL</v>
          </cell>
          <cell r="M1367" t="str">
            <v>PROFESIONAL</v>
          </cell>
          <cell r="N1367" t="str">
            <v>GRADO I.17</v>
          </cell>
          <cell r="O1367" t="str">
            <v>TÍTULO PROFESIONAL</v>
          </cell>
          <cell r="P1367" t="str">
            <v>INGENIERO CIVIL INDUSTRIAL</v>
          </cell>
          <cell r="Q1367" t="str">
            <v>TALCA</v>
          </cell>
          <cell r="R1367" t="str">
            <v>VIC. GESTIÓN ECONÓMICA Y ADMINISTRACIÓN</v>
          </cell>
          <cell r="S1367" t="str">
            <v>DEPARTAMENTO DE SERVICIOS  Y PROCESOS TI</v>
          </cell>
        </row>
        <row r="1368">
          <cell r="A1368">
            <v>19127699</v>
          </cell>
          <cell r="B1368" t="str">
            <v>19127699</v>
          </cell>
          <cell r="C1368" t="str">
            <v>K</v>
          </cell>
          <cell r="D1368" t="str">
            <v>BAEZA SOTO NICOLAS SEBASTIAN</v>
          </cell>
          <cell r="E1368" t="str">
            <v>VRF400043</v>
          </cell>
          <cell r="F1368">
            <v>44</v>
          </cell>
          <cell r="G1368">
            <v>30</v>
          </cell>
          <cell r="H1368" t="str">
            <v>NICOLAS.BAEZA@UTALCA.CL</v>
          </cell>
          <cell r="I1368">
            <v>44927</v>
          </cell>
          <cell r="J1368">
            <v>46387</v>
          </cell>
          <cell r="K1368" t="str">
            <v>CONTRATA</v>
          </cell>
          <cell r="L1368" t="str">
            <v>PROFESIONAL</v>
          </cell>
          <cell r="M1368" t="str">
            <v>PROFESIONAL</v>
          </cell>
          <cell r="N1368" t="str">
            <v>GRADO I.17</v>
          </cell>
          <cell r="O1368" t="str">
            <v>TÍTULO PROFESIONAL</v>
          </cell>
          <cell r="P1368" t="str">
            <v>INGENIERO EN INFORMATICA</v>
          </cell>
          <cell r="Q1368" t="str">
            <v>TALCA</v>
          </cell>
          <cell r="R1368" t="str">
            <v>VICERRECTORÍA DE FORMACIÓN</v>
          </cell>
          <cell r="S1368" t="str">
            <v>DPTO. DE GESTIÓN DE INFORM. ESTUDIANTIL</v>
          </cell>
        </row>
        <row r="1369">
          <cell r="A1369">
            <v>19133638</v>
          </cell>
          <cell r="B1369" t="str">
            <v>19133638</v>
          </cell>
          <cell r="C1369" t="str">
            <v>0</v>
          </cell>
          <cell r="D1369" t="str">
            <v>SOTO IANISZEWSKI VALENTINA AND</v>
          </cell>
          <cell r="E1369" t="str">
            <v>VAC400061</v>
          </cell>
          <cell r="F1369">
            <v>44</v>
          </cell>
          <cell r="G1369">
            <v>30</v>
          </cell>
          <cell r="H1369" t="str">
            <v>VALENTINA.SOTO@UTALCA.CL</v>
          </cell>
          <cell r="I1369">
            <v>45748</v>
          </cell>
          <cell r="J1369">
            <v>46387</v>
          </cell>
          <cell r="K1369" t="str">
            <v>CONTRATA</v>
          </cell>
          <cell r="L1369" t="str">
            <v>PROFESIONAL</v>
          </cell>
          <cell r="M1369" t="str">
            <v>PROFESIONAL</v>
          </cell>
          <cell r="N1369" t="str">
            <v>GRADO I.17</v>
          </cell>
          <cell r="O1369" t="str">
            <v>TÍTULO PROFESIONAL</v>
          </cell>
          <cell r="P1369" t="str">
            <v>ANTROPOLOGA SOCIAL</v>
          </cell>
          <cell r="Q1369" t="str">
            <v>TALCA</v>
          </cell>
          <cell r="R1369" t="str">
            <v>VICERRECTORÍA ACADÉMICA</v>
          </cell>
          <cell r="S1369" t="str">
            <v>UNIDAD DE MOVILIDAD</v>
          </cell>
        </row>
        <row r="1370">
          <cell r="A1370">
            <v>19200345</v>
          </cell>
          <cell r="B1370" t="str">
            <v>19200345</v>
          </cell>
          <cell r="C1370" t="str">
            <v>8</v>
          </cell>
          <cell r="D1370" t="str">
            <v>SCHUKKERT PREISIG TATIANA JESS</v>
          </cell>
          <cell r="E1370" t="str">
            <v>ADC030114</v>
          </cell>
          <cell r="F1370">
            <v>34</v>
          </cell>
          <cell r="G1370">
            <v>30</v>
          </cell>
          <cell r="H1370" t="str">
            <v>TSCHUKKERT@UTALCA.CL</v>
          </cell>
          <cell r="I1370">
            <v>39508</v>
          </cell>
          <cell r="J1370">
            <v>46387</v>
          </cell>
          <cell r="K1370" t="str">
            <v>CONTRATA</v>
          </cell>
          <cell r="L1370" t="str">
            <v>CONFERENCIANTE</v>
          </cell>
          <cell r="M1370" t="str">
            <v>PROFESIONAL</v>
          </cell>
          <cell r="N1370" t="str">
            <v>GRADO I.17</v>
          </cell>
          <cell r="O1370" t="str">
            <v>MAGISTER</v>
          </cell>
          <cell r="P1370" t="str">
            <v>MASTER OF DESIGN SCIENCE</v>
          </cell>
          <cell r="Q1370" t="str">
            <v>TALCA</v>
          </cell>
          <cell r="R1370" t="str">
            <v>DIRECCIÓN DE ASEGURAMIENTO DE LA CALIDAD</v>
          </cell>
          <cell r="S1370" t="str">
            <v>DPTO. DE DESARROLLO DE INFRAESTRUCTURA</v>
          </cell>
        </row>
        <row r="1371">
          <cell r="A1371">
            <v>19261249</v>
          </cell>
          <cell r="B1371" t="str">
            <v>19261249</v>
          </cell>
          <cell r="C1371" t="str">
            <v>7</v>
          </cell>
          <cell r="D1371" t="str">
            <v>GAJARDO NUÑEZ JAVIERA SOLANGE</v>
          </cell>
          <cell r="E1371" t="str">
            <v>VDE400009</v>
          </cell>
          <cell r="F1371">
            <v>44</v>
          </cell>
          <cell r="G1371">
            <v>30</v>
          </cell>
          <cell r="H1371" t="str">
            <v>JAVIERA.GAJARDO@UTALCA.CL</v>
          </cell>
          <cell r="I1371">
            <v>44927</v>
          </cell>
          <cell r="J1371">
            <v>46387</v>
          </cell>
          <cell r="K1371" t="str">
            <v>CONTRATA</v>
          </cell>
          <cell r="L1371" t="str">
            <v>PROFESIONAL</v>
          </cell>
          <cell r="M1371" t="str">
            <v>PROFESIONAL</v>
          </cell>
          <cell r="N1371" t="str">
            <v>GRADO I.17</v>
          </cell>
          <cell r="O1371" t="str">
            <v>TÍTULO PROFESIONAL</v>
          </cell>
          <cell r="P1371" t="str">
            <v>ENFERMERA</v>
          </cell>
          <cell r="Q1371" t="str">
            <v>TALCA</v>
          </cell>
          <cell r="R1371" t="str">
            <v>VICERRECTORÍA DE DESARROLLO ESTUDIANTIL</v>
          </cell>
          <cell r="S1371" t="str">
            <v>DIRECCIÓN DE SALUD ESTUDIANTIL</v>
          </cell>
        </row>
        <row r="1372">
          <cell r="A1372">
            <v>19273978</v>
          </cell>
          <cell r="B1372" t="str">
            <v>19273978</v>
          </cell>
          <cell r="C1372" t="str">
            <v>0</v>
          </cell>
          <cell r="D1372" t="str">
            <v>SALINAS CONTRERAS DIEGO ANDRES</v>
          </cell>
          <cell r="E1372" t="str">
            <v>VGE400056</v>
          </cell>
          <cell r="F1372">
            <v>44</v>
          </cell>
          <cell r="G1372">
            <v>30</v>
          </cell>
          <cell r="H1372" t="str">
            <v>DIEGO.SALINAS@UTALCA.CL</v>
          </cell>
          <cell r="I1372">
            <v>45176</v>
          </cell>
          <cell r="J1372">
            <v>46387</v>
          </cell>
          <cell r="K1372" t="str">
            <v>CONTRATA</v>
          </cell>
          <cell r="L1372" t="str">
            <v>PROFESIONAL</v>
          </cell>
          <cell r="M1372" t="str">
            <v>PROFESIONAL</v>
          </cell>
          <cell r="N1372" t="str">
            <v>GRADO I.17</v>
          </cell>
          <cell r="O1372" t="str">
            <v>TÍTULO PROFESIONAL</v>
          </cell>
          <cell r="P1372" t="str">
            <v>INGENIERO INFORMATICO EMPRESARIAL</v>
          </cell>
          <cell r="Q1372" t="str">
            <v>TALCA</v>
          </cell>
          <cell r="R1372" t="str">
            <v>VIC. GESTIÓN ECONÓMICA Y ADMINISTRACIÓN</v>
          </cell>
          <cell r="S1372" t="str">
            <v>DEPARTAMENTO DE SISTEMAS</v>
          </cell>
        </row>
        <row r="1373">
          <cell r="A1373">
            <v>19319919</v>
          </cell>
          <cell r="B1373" t="str">
            <v>19319919</v>
          </cell>
          <cell r="C1373" t="str">
            <v>4</v>
          </cell>
          <cell r="D1373" t="str">
            <v>PONCE SEPULVEDA LUCIA VALENTIN</v>
          </cell>
          <cell r="E1373" t="str">
            <v>FPS340002</v>
          </cell>
          <cell r="F1373">
            <v>44</v>
          </cell>
          <cell r="G1373">
            <v>30</v>
          </cell>
          <cell r="H1373" t="str">
            <v>LUCIA.PONCE@UTALCA.CL</v>
          </cell>
          <cell r="I1373">
            <v>44927</v>
          </cell>
          <cell r="J1373">
            <v>46387</v>
          </cell>
          <cell r="K1373" t="str">
            <v>CONTRATA</v>
          </cell>
          <cell r="L1373" t="str">
            <v>ADMINISTRATIVO</v>
          </cell>
          <cell r="M1373" t="str">
            <v>ADMINISTRATIVO</v>
          </cell>
          <cell r="N1373" t="str">
            <v>GRADO I.21</v>
          </cell>
          <cell r="O1373" t="str">
            <v>TÍTULO PROFESIONAL</v>
          </cell>
          <cell r="P1373" t="str">
            <v>SECRETARIA TECNICO DE NIVEL MEDIO</v>
          </cell>
          <cell r="Q1373" t="str">
            <v>TALCA</v>
          </cell>
          <cell r="R1373" t="str">
            <v>FACULTAD DE PSICOLOGÍA</v>
          </cell>
          <cell r="S1373" t="str">
            <v>CENTRO DE PSICOLOGÍA APLICADA</v>
          </cell>
        </row>
        <row r="1374">
          <cell r="A1374">
            <v>19326230</v>
          </cell>
          <cell r="B1374" t="str">
            <v>19326230</v>
          </cell>
          <cell r="C1374" t="str">
            <v>9</v>
          </cell>
          <cell r="D1374" t="str">
            <v>BERNAL NUÑEZ VALENTINA JAVIERA</v>
          </cell>
          <cell r="E1374" t="str">
            <v>FCJ340009</v>
          </cell>
          <cell r="F1374">
            <v>33</v>
          </cell>
          <cell r="G1374">
            <v>30</v>
          </cell>
          <cell r="H1374" t="str">
            <v/>
          </cell>
          <cell r="I1374">
            <v>45751</v>
          </cell>
          <cell r="J1374">
            <v>46387</v>
          </cell>
          <cell r="K1374" t="str">
            <v>CONTRATA</v>
          </cell>
          <cell r="L1374" t="str">
            <v>PROFESIONAL</v>
          </cell>
          <cell r="M1374" t="str">
            <v>PROFESIONAL</v>
          </cell>
          <cell r="N1374" t="str">
            <v>GRADO I.17</v>
          </cell>
          <cell r="O1374" t="str">
            <v>TÍTULO PROFESIONAL</v>
          </cell>
          <cell r="P1374" t="str">
            <v>ABOGADO</v>
          </cell>
          <cell r="Q1374" t="str">
            <v>SANTIAGO</v>
          </cell>
          <cell r="R1374" t="str">
            <v>FACULTAD CIENCIAS JURÍDICAS Y SOCIALES</v>
          </cell>
          <cell r="S1374" t="str">
            <v>CLÍNICA JURÍDICA DE SANTIAGO</v>
          </cell>
        </row>
        <row r="1375">
          <cell r="A1375">
            <v>19346400</v>
          </cell>
          <cell r="B1375" t="str">
            <v>19346400</v>
          </cell>
          <cell r="C1375" t="str">
            <v>9</v>
          </cell>
          <cell r="D1375" t="str">
            <v>CERDA REBECO SOLANGE ALEJANDRA</v>
          </cell>
          <cell r="E1375" t="str">
            <v>VGE400031</v>
          </cell>
          <cell r="F1375">
            <v>44</v>
          </cell>
          <cell r="G1375">
            <v>30</v>
          </cell>
          <cell r="H1375" t="str">
            <v>SOLANGE.CERDAR@UTALCA.CL</v>
          </cell>
          <cell r="I1375">
            <v>45292</v>
          </cell>
          <cell r="J1375">
            <v>46387</v>
          </cell>
          <cell r="K1375" t="str">
            <v>CONTRATA</v>
          </cell>
          <cell r="L1375" t="str">
            <v>PROFESIONAL</v>
          </cell>
          <cell r="M1375" t="str">
            <v>PROFESIONAL</v>
          </cell>
          <cell r="N1375" t="str">
            <v>GRADO I.17</v>
          </cell>
          <cell r="O1375" t="str">
            <v>TÍTULO PROFESIONAL</v>
          </cell>
          <cell r="P1375" t="str">
            <v>INGENIERO COMERCIAL</v>
          </cell>
          <cell r="Q1375" t="str">
            <v>TALCA</v>
          </cell>
          <cell r="R1375" t="str">
            <v>VIC. GESTIÓN ECONÓMICA Y ADMINISTRACIÓN</v>
          </cell>
          <cell r="S1375" t="str">
            <v>DPTO. DE APOYO FINANCIERO AL ESTUDIANTE</v>
          </cell>
        </row>
        <row r="1376">
          <cell r="A1376">
            <v>19390390</v>
          </cell>
          <cell r="B1376" t="str">
            <v>19390390</v>
          </cell>
          <cell r="C1376" t="str">
            <v>8</v>
          </cell>
          <cell r="D1376" t="str">
            <v>BUSTAMANTE ARAYA JOAQUÍN ANDRÉ</v>
          </cell>
          <cell r="E1376" t="str">
            <v>VGE400051</v>
          </cell>
          <cell r="F1376">
            <v>44</v>
          </cell>
          <cell r="G1376">
            <v>30</v>
          </cell>
          <cell r="H1376" t="str">
            <v>JOAQUIN.BUSTAMANTE@UTALCA.CL</v>
          </cell>
          <cell r="I1376">
            <v>44805</v>
          </cell>
          <cell r="J1376">
            <v>46387</v>
          </cell>
          <cell r="K1376" t="str">
            <v>CONTRATA</v>
          </cell>
          <cell r="L1376" t="str">
            <v>PROFESIONAL</v>
          </cell>
          <cell r="M1376" t="str">
            <v>PROFESIONAL</v>
          </cell>
          <cell r="N1376" t="str">
            <v>GRADO I.17</v>
          </cell>
          <cell r="O1376" t="str">
            <v>TÍTULO PROFESIONAL</v>
          </cell>
          <cell r="P1376" t="str">
            <v>INGENIERO CIVIL MECATRONICO</v>
          </cell>
          <cell r="Q1376" t="str">
            <v>TALCA</v>
          </cell>
          <cell r="R1376" t="str">
            <v>VIC. GESTIÓN ECONÓMICA Y ADMINISTRACIÓN</v>
          </cell>
          <cell r="S1376" t="str">
            <v>UNIDAD DE MANTENIMIENTO</v>
          </cell>
        </row>
        <row r="1377">
          <cell r="A1377">
            <v>19465111</v>
          </cell>
          <cell r="B1377" t="str">
            <v>19465111</v>
          </cell>
          <cell r="C1377" t="str">
            <v>2</v>
          </cell>
          <cell r="D1377" t="str">
            <v>JARA GONZÁLEZ ROBERTO CARLOS</v>
          </cell>
          <cell r="E1377" t="str">
            <v>ADC024006</v>
          </cell>
          <cell r="F1377">
            <v>44</v>
          </cell>
          <cell r="G1377">
            <v>30</v>
          </cell>
          <cell r="H1377" t="str">
            <v/>
          </cell>
          <cell r="I1377">
            <v>46023</v>
          </cell>
          <cell r="J1377">
            <v>46387</v>
          </cell>
          <cell r="K1377" t="str">
            <v>CONTRATA</v>
          </cell>
          <cell r="L1377" t="str">
            <v>AUXILIAR</v>
          </cell>
          <cell r="M1377" t="str">
            <v>AUXILIAR</v>
          </cell>
          <cell r="N1377" t="str">
            <v>GRADO I.24</v>
          </cell>
          <cell r="O1377" t="str">
            <v>TÉC. NIVEL MEDIO</v>
          </cell>
          <cell r="P1377" t="str">
            <v>TÉCNICO NIVEL MEDIO EN SERVICIOS DE ALIMENTAC</v>
          </cell>
          <cell r="Q1377" t="str">
            <v>TALCA</v>
          </cell>
          <cell r="R1377" t="str">
            <v>DRCCIÓN. GNAL. VINCULACIÓN CON EL MEDIO</v>
          </cell>
          <cell r="S1377" t="str">
            <v>UND. JARDÍN BOTÁNICO Y ARBORETUM</v>
          </cell>
        </row>
        <row r="1378">
          <cell r="A1378">
            <v>19472698</v>
          </cell>
          <cell r="B1378" t="str">
            <v>19472698</v>
          </cell>
          <cell r="C1378" t="str">
            <v>8</v>
          </cell>
          <cell r="D1378" t="str">
            <v>ARAVENA SEPULVEDA ALVARO FRANC</v>
          </cell>
          <cell r="E1378" t="str">
            <v>ADC017001</v>
          </cell>
          <cell r="F1378">
            <v>44</v>
          </cell>
          <cell r="G1378">
            <v>30</v>
          </cell>
          <cell r="H1378" t="str">
            <v>ALVARO.ARAVENA@UTALCA.CL</v>
          </cell>
          <cell r="I1378">
            <v>45579</v>
          </cell>
          <cell r="J1378">
            <v>46387</v>
          </cell>
          <cell r="K1378" t="str">
            <v>CONTRATA</v>
          </cell>
          <cell r="L1378" t="str">
            <v>PROFESIONAL</v>
          </cell>
          <cell r="M1378" t="str">
            <v>PROFESIONAL</v>
          </cell>
          <cell r="N1378" t="str">
            <v>GRADO I.15</v>
          </cell>
          <cell r="O1378" t="str">
            <v>TÍTULO PROFESIONAL</v>
          </cell>
          <cell r="P1378" t="str">
            <v>ABOGADO</v>
          </cell>
          <cell r="Q1378" t="str">
            <v>TALCA</v>
          </cell>
          <cell r="R1378" t="str">
            <v>FISCALÍA UNIVERSITARIA</v>
          </cell>
          <cell r="S1378" t="str">
            <v>FISCALÍA UNIVERSITARIA</v>
          </cell>
        </row>
        <row r="1379">
          <cell r="A1379">
            <v>19473034</v>
          </cell>
          <cell r="B1379" t="str">
            <v>19473034</v>
          </cell>
          <cell r="C1379" t="str">
            <v>9</v>
          </cell>
          <cell r="D1379" t="str">
            <v>GONZALEZ PARRA PAOLA IGNACIA</v>
          </cell>
          <cell r="E1379" t="str">
            <v>VAC400001</v>
          </cell>
          <cell r="F1379">
            <v>44</v>
          </cell>
          <cell r="G1379">
            <v>30</v>
          </cell>
          <cell r="H1379" t="str">
            <v/>
          </cell>
          <cell r="I1379">
            <v>45853</v>
          </cell>
          <cell r="J1379">
            <v>46387</v>
          </cell>
          <cell r="K1379" t="str">
            <v>CONTRATA</v>
          </cell>
          <cell r="L1379" t="str">
            <v>TÉCNICO</v>
          </cell>
          <cell r="M1379" t="str">
            <v>TÉCNICO</v>
          </cell>
          <cell r="N1379" t="str">
            <v>GRADO I.23</v>
          </cell>
          <cell r="O1379" t="str">
            <v>TÍTULO PROFESIONAL</v>
          </cell>
          <cell r="P1379" t="str">
            <v>INGENIERO COMERCIAL</v>
          </cell>
          <cell r="Q1379" t="str">
            <v>TALCA</v>
          </cell>
          <cell r="R1379" t="str">
            <v>VICERRECTORÍA ACADÉMICA</v>
          </cell>
          <cell r="S1379" t="str">
            <v>DIRECCIÓN DE BIBLIOTECAS</v>
          </cell>
        </row>
        <row r="1380">
          <cell r="A1380">
            <v>19473332</v>
          </cell>
          <cell r="B1380" t="str">
            <v>19473332</v>
          </cell>
          <cell r="C1380" t="str">
            <v>1</v>
          </cell>
          <cell r="D1380" t="str">
            <v>CHAMORRO MARTINEZ LORENA ANDRE</v>
          </cell>
          <cell r="E1380" t="str">
            <v>FOD350001</v>
          </cell>
          <cell r="F1380">
            <v>44</v>
          </cell>
          <cell r="G1380">
            <v>30</v>
          </cell>
          <cell r="H1380" t="str">
            <v>LORENA.CHAMORRO@UTALCA.CL</v>
          </cell>
          <cell r="I1380">
            <v>45231</v>
          </cell>
          <cell r="J1380">
            <v>46387</v>
          </cell>
          <cell r="K1380" t="str">
            <v>CONTRATA</v>
          </cell>
          <cell r="L1380" t="str">
            <v>TÉCNICO</v>
          </cell>
          <cell r="M1380" t="str">
            <v>TÉCNICO</v>
          </cell>
          <cell r="N1380" t="str">
            <v>GRADO I.23</v>
          </cell>
          <cell r="O1380" t="str">
            <v>TÉC. NIVEL SUPERIOR</v>
          </cell>
          <cell r="P1380" t="str">
            <v>TEC. DE NIVEL SUPERIOR EN ODONTOLOGIA MENCION</v>
          </cell>
          <cell r="Q1380" t="str">
            <v>TALCA</v>
          </cell>
          <cell r="R1380" t="str">
            <v>FACULTAD DE ODONTOLOGÍA</v>
          </cell>
          <cell r="S1380" t="str">
            <v>CLÍNICAS ODONTOLÓGICAS</v>
          </cell>
        </row>
        <row r="1381">
          <cell r="A1381">
            <v>19473646</v>
          </cell>
          <cell r="B1381" t="str">
            <v>19473646</v>
          </cell>
          <cell r="C1381" t="str">
            <v>0</v>
          </cell>
          <cell r="D1381" t="str">
            <v>VERGARA VÁSQUEZ HÉCTOR NICOLÁS</v>
          </cell>
          <cell r="E1381" t="str">
            <v>ADC030112</v>
          </cell>
          <cell r="F1381">
            <v>44</v>
          </cell>
          <cell r="G1381">
            <v>30</v>
          </cell>
          <cell r="H1381" t="str">
            <v/>
          </cell>
          <cell r="I1381">
            <v>45778</v>
          </cell>
          <cell r="J1381">
            <v>46387</v>
          </cell>
          <cell r="K1381" t="str">
            <v>CONTRATA</v>
          </cell>
          <cell r="L1381" t="str">
            <v>PROFESIONAL</v>
          </cell>
          <cell r="M1381" t="str">
            <v>PROFESIONAL</v>
          </cell>
          <cell r="N1381" t="str">
            <v>GRADO I.17</v>
          </cell>
          <cell r="O1381" t="str">
            <v>TÍTULO PROFESIONAL</v>
          </cell>
          <cell r="P1381" t="str">
            <v>INGENIERO CIVIL INDUSTRIAL</v>
          </cell>
          <cell r="Q1381" t="str">
            <v>TALCA</v>
          </cell>
          <cell r="R1381" t="str">
            <v>DIRECCIÓN DE ASEGURAMIENTO DE LA CALIDAD</v>
          </cell>
          <cell r="S1381" t="str">
            <v>DPTO. DE ANÁLISIS Y ASEGU. DE LA CALIDAD</v>
          </cell>
        </row>
        <row r="1382">
          <cell r="A1382">
            <v>19473710</v>
          </cell>
          <cell r="B1382" t="str">
            <v>19473710</v>
          </cell>
          <cell r="C1382" t="str">
            <v>6</v>
          </cell>
          <cell r="D1382" t="str">
            <v>LOPEZ GAJARDO CONSTANZA ALEJAN</v>
          </cell>
          <cell r="E1382" t="str">
            <v>VGE400019</v>
          </cell>
          <cell r="F1382">
            <v>44</v>
          </cell>
          <cell r="G1382">
            <v>30</v>
          </cell>
          <cell r="H1382" t="str">
            <v>COLOPEZ@UTALCA.CL</v>
          </cell>
          <cell r="I1382">
            <v>43466</v>
          </cell>
          <cell r="J1382">
            <v>46387</v>
          </cell>
          <cell r="K1382" t="str">
            <v>CONTRATA</v>
          </cell>
          <cell r="L1382" t="str">
            <v>ADMINISTRATIVO</v>
          </cell>
          <cell r="M1382" t="str">
            <v>ADMINISTRATIVO</v>
          </cell>
          <cell r="N1382" t="str">
            <v>GRADO I.21</v>
          </cell>
          <cell r="O1382" t="str">
            <v>TÉC. NIVEL SUPERIOR</v>
          </cell>
          <cell r="P1382" t="str">
            <v>TÉNICO DE NIVEL SUPERIOR EN ADMINISTRACIÓN DE</v>
          </cell>
          <cell r="Q1382" t="str">
            <v>TALCA</v>
          </cell>
          <cell r="R1382" t="str">
            <v>VIC. GESTIÓN ECONÓMICA Y ADMINISTRACIÓN</v>
          </cell>
          <cell r="S1382" t="str">
            <v>DPTO. DE GESTIÓN DE PAGO A PROVEEDORES</v>
          </cell>
        </row>
        <row r="1383">
          <cell r="A1383">
            <v>19474344</v>
          </cell>
          <cell r="B1383" t="str">
            <v>19474344</v>
          </cell>
          <cell r="C1383" t="str">
            <v>0</v>
          </cell>
          <cell r="D1383" t="str">
            <v>VIDAL VALENZUELA MAIRA VALENTI</v>
          </cell>
          <cell r="E1383" t="str">
            <v>ICB300001</v>
          </cell>
          <cell r="F1383">
            <v>44</v>
          </cell>
          <cell r="G1383">
            <v>30</v>
          </cell>
          <cell r="H1383" t="str">
            <v>MAIRA.VIDAL@UTALCA.CL</v>
          </cell>
          <cell r="I1383">
            <v>45031</v>
          </cell>
          <cell r="J1383">
            <v>46387</v>
          </cell>
          <cell r="K1383" t="str">
            <v>CONTRATA</v>
          </cell>
          <cell r="L1383" t="str">
            <v>PROFESIONAL</v>
          </cell>
          <cell r="M1383" t="str">
            <v>PROFESIONAL</v>
          </cell>
          <cell r="N1383" t="str">
            <v>GRADO I.17</v>
          </cell>
          <cell r="O1383" t="str">
            <v>TÍTULO PROFESIONAL</v>
          </cell>
          <cell r="P1383" t="str">
            <v>INGENIERA EN BIOTECNOLOGIA</v>
          </cell>
          <cell r="Q1383" t="str">
            <v>TALCA</v>
          </cell>
          <cell r="R1383" t="str">
            <v>INSTITUTO DE CIENCIAS BIOLÓGICAS</v>
          </cell>
          <cell r="S1383" t="str">
            <v>INSTITUTO DE CIENCIAS BIOLÓGICAS</v>
          </cell>
        </row>
        <row r="1384">
          <cell r="A1384">
            <v>19551293</v>
          </cell>
          <cell r="B1384" t="str">
            <v>19551293</v>
          </cell>
          <cell r="C1384" t="str">
            <v>0</v>
          </cell>
          <cell r="D1384" t="str">
            <v>LECAROS DEVIA KATHERINE ARLETT</v>
          </cell>
          <cell r="E1384" t="str">
            <v/>
          </cell>
          <cell r="F1384">
            <v>44</v>
          </cell>
          <cell r="G1384">
            <v>30</v>
          </cell>
          <cell r="H1384" t="str">
            <v/>
          </cell>
          <cell r="I1384">
            <v>46082</v>
          </cell>
          <cell r="J1384">
            <v>46387</v>
          </cell>
          <cell r="K1384" t="str">
            <v>CONTRATA</v>
          </cell>
          <cell r="L1384" t="str">
            <v>PROFESIONAL</v>
          </cell>
          <cell r="M1384" t="str">
            <v>PROFESIONAL</v>
          </cell>
          <cell r="N1384" t="str">
            <v>GRADO I.17</v>
          </cell>
          <cell r="O1384" t="str">
            <v>TÍTULO PROFESIONAL</v>
          </cell>
          <cell r="P1384" t="str">
            <v>INGENIERA CIVIL INDUSTRIAL</v>
          </cell>
          <cell r="Q1384" t="str">
            <v>TALCA</v>
          </cell>
          <cell r="R1384" t="str">
            <v>DIRECCIÓN DE ASEGURAMIENTO DE LA CALIDAD</v>
          </cell>
          <cell r="S1384" t="str">
            <v>DPTO. DE ANÁLISIS Y ASEGU. DE LA CALIDAD</v>
          </cell>
        </row>
        <row r="1385">
          <cell r="A1385">
            <v>19569309</v>
          </cell>
          <cell r="B1385" t="str">
            <v>19569309</v>
          </cell>
          <cell r="C1385" t="str">
            <v>9</v>
          </cell>
          <cell r="D1385" t="str">
            <v>AGUILA DIAZ MONICA ELIZABETH</v>
          </cell>
          <cell r="E1385" t="str">
            <v>VRF400009</v>
          </cell>
          <cell r="F1385">
            <v>44</v>
          </cell>
          <cell r="G1385">
            <v>30</v>
          </cell>
          <cell r="H1385" t="str">
            <v>SINCORREO@UTALCA.CL</v>
          </cell>
          <cell r="I1385">
            <v>44986</v>
          </cell>
          <cell r="J1385">
            <v>46387</v>
          </cell>
          <cell r="K1385" t="str">
            <v>CONTRATA</v>
          </cell>
          <cell r="L1385" t="str">
            <v>PROFESIONAL</v>
          </cell>
          <cell r="M1385" t="str">
            <v>PROFESIONAL</v>
          </cell>
          <cell r="N1385" t="str">
            <v>GRADO I.17</v>
          </cell>
          <cell r="O1385" t="str">
            <v>TÍTULO PROFESIONAL</v>
          </cell>
          <cell r="P1385" t="str">
            <v>SOCIOLOGIA</v>
          </cell>
          <cell r="Q1385" t="str">
            <v>TALCA</v>
          </cell>
          <cell r="R1385" t="str">
            <v>VICERRECTORÍA DE FORMACIÓN</v>
          </cell>
          <cell r="S1385" t="str">
            <v>PROGRAMA DE FORMACIÓN FUNDAMENTAL</v>
          </cell>
        </row>
        <row r="1386">
          <cell r="A1386">
            <v>19575526</v>
          </cell>
          <cell r="B1386" t="str">
            <v>19575526</v>
          </cell>
          <cell r="C1386" t="str">
            <v>4</v>
          </cell>
          <cell r="D1386" t="str">
            <v>ALVEAR NORAMBUENA JUANA HERMIN</v>
          </cell>
          <cell r="E1386" t="str">
            <v/>
          </cell>
          <cell r="F1386">
            <v>44</v>
          </cell>
          <cell r="G1386">
            <v>30</v>
          </cell>
          <cell r="H1386" t="str">
            <v>JUANA.ALVEAR@UTALCA.CL</v>
          </cell>
          <cell r="I1386">
            <v>45047</v>
          </cell>
          <cell r="J1386">
            <v>46387</v>
          </cell>
          <cell r="K1386" t="str">
            <v>CONTRATA</v>
          </cell>
          <cell r="L1386" t="str">
            <v>PROFESIONAL</v>
          </cell>
          <cell r="M1386" t="str">
            <v>PROFESIONAL</v>
          </cell>
          <cell r="N1386" t="str">
            <v>GRADO I.17</v>
          </cell>
          <cell r="O1386" t="str">
            <v>TÍTULO PROFESIONAL</v>
          </cell>
          <cell r="P1386" t="str">
            <v>PSICÓLOGA</v>
          </cell>
          <cell r="Q1386" t="str">
            <v>TALCA</v>
          </cell>
          <cell r="R1386" t="str">
            <v>DRCCIÓN. GNAL. VINCULACIÓN CON EL MEDIO</v>
          </cell>
          <cell r="S1386" t="str">
            <v>DRCCIÓN. GNAL. VINCULACIÓN CON EL MEDIO</v>
          </cell>
        </row>
        <row r="1387">
          <cell r="A1387">
            <v>19587916</v>
          </cell>
          <cell r="B1387" t="str">
            <v>19587916</v>
          </cell>
          <cell r="C1387" t="str">
            <v>8</v>
          </cell>
          <cell r="D1387" t="str">
            <v>DUARTE CABRERA VICTORIA ANGÉLI</v>
          </cell>
          <cell r="E1387" t="str">
            <v>FCS200001</v>
          </cell>
          <cell r="F1387">
            <v>44</v>
          </cell>
          <cell r="G1387">
            <v>30</v>
          </cell>
          <cell r="H1387" t="str">
            <v>VICTORIA.DUARTE@UTALCA.CL</v>
          </cell>
          <cell r="I1387">
            <v>45444</v>
          </cell>
          <cell r="J1387">
            <v>46387</v>
          </cell>
          <cell r="K1387" t="str">
            <v>CONTRATA</v>
          </cell>
          <cell r="L1387" t="str">
            <v>PROFESIONAL</v>
          </cell>
          <cell r="M1387" t="str">
            <v>PROFESIONAL</v>
          </cell>
          <cell r="N1387" t="str">
            <v>GRADO I.17</v>
          </cell>
          <cell r="O1387" t="str">
            <v>TÍTULO PROFESIONAL</v>
          </cell>
          <cell r="P1387" t="str">
            <v>CONTADOR AUDITOR</v>
          </cell>
          <cell r="Q1387" t="str">
            <v>TALCA</v>
          </cell>
          <cell r="R1387" t="str">
            <v>FACULTAD DE CIENCIAS DE LA SALUD</v>
          </cell>
          <cell r="S1387" t="str">
            <v>FACULTAD DE CIENCIAS DE LA SALUD</v>
          </cell>
        </row>
        <row r="1388">
          <cell r="A1388">
            <v>19588069</v>
          </cell>
          <cell r="B1388" t="str">
            <v>19588069</v>
          </cell>
          <cell r="C1388" t="str">
            <v>7</v>
          </cell>
          <cell r="D1388" t="str">
            <v>GONZALEZ MACHUCA LEONARDO ENRI</v>
          </cell>
          <cell r="E1388" t="str">
            <v>FCI310009</v>
          </cell>
          <cell r="F1388">
            <v>44</v>
          </cell>
          <cell r="G1388">
            <v>30</v>
          </cell>
          <cell r="H1388" t="str">
            <v/>
          </cell>
          <cell r="I1388">
            <v>45992</v>
          </cell>
          <cell r="J1388">
            <v>46387</v>
          </cell>
          <cell r="K1388" t="str">
            <v>CONTRATA</v>
          </cell>
          <cell r="L1388" t="str">
            <v>PROFESIONAL</v>
          </cell>
          <cell r="M1388" t="str">
            <v>PROFESIONAL</v>
          </cell>
          <cell r="N1388" t="str">
            <v>GRADO I.17</v>
          </cell>
          <cell r="O1388" t="str">
            <v>TÍTULO PROFESIONAL</v>
          </cell>
          <cell r="P1388" t="str">
            <v>INGENIERO CIVIL MECANICO</v>
          </cell>
          <cell r="Q1388" t="str">
            <v>CURICO</v>
          </cell>
          <cell r="R1388" t="str">
            <v>FACULTAD DE INGENIERÍA</v>
          </cell>
          <cell r="S1388" t="str">
            <v>ESCUELA DE INGENIERÍA CIVIL EN MECÁNICA</v>
          </cell>
        </row>
        <row r="1389">
          <cell r="A1389">
            <v>19610127</v>
          </cell>
          <cell r="B1389" t="str">
            <v>19610127</v>
          </cell>
          <cell r="C1389" t="str">
            <v>6</v>
          </cell>
          <cell r="D1389" t="str">
            <v>GUERRERO RODRIGUEZ LUCAS ARIEL</v>
          </cell>
          <cell r="E1389" t="str">
            <v/>
          </cell>
          <cell r="F1389">
            <v>44</v>
          </cell>
          <cell r="G1389">
            <v>30</v>
          </cell>
          <cell r="H1389" t="str">
            <v>LUCAS.GUERRERO@UTALCA.CL</v>
          </cell>
          <cell r="I1389">
            <v>44927</v>
          </cell>
          <cell r="J1389">
            <v>46387</v>
          </cell>
          <cell r="K1389" t="str">
            <v>CONTRATA</v>
          </cell>
          <cell r="L1389" t="str">
            <v>PROFESIONAL</v>
          </cell>
          <cell r="M1389" t="str">
            <v>PROFESIONAL</v>
          </cell>
          <cell r="N1389" t="str">
            <v>GRADO I.17</v>
          </cell>
          <cell r="O1389" t="str">
            <v>TÍTULO PROFESIONAL</v>
          </cell>
          <cell r="P1389" t="str">
            <v>SOCIOLOGO</v>
          </cell>
          <cell r="Q1389" t="str">
            <v>TALCA</v>
          </cell>
          <cell r="R1389" t="str">
            <v>VICERRECTORÍA DE FORMACIÓN</v>
          </cell>
          <cell r="S1389" t="str">
            <v>UN. DE DESARROLLO CURRICULAR DE PREGRADO</v>
          </cell>
        </row>
        <row r="1390">
          <cell r="A1390">
            <v>19611209</v>
          </cell>
          <cell r="B1390" t="str">
            <v>19611209</v>
          </cell>
          <cell r="C1390" t="str">
            <v>K</v>
          </cell>
          <cell r="D1390" t="str">
            <v>DIAZ IBARRA LORENA ALEJANDRA</v>
          </cell>
          <cell r="E1390" t="str">
            <v>VRF400003</v>
          </cell>
          <cell r="F1390">
            <v>44</v>
          </cell>
          <cell r="G1390">
            <v>30</v>
          </cell>
          <cell r="H1390" t="str">
            <v>LORENA.DIAZ@UTALCA.CL</v>
          </cell>
          <cell r="I1390">
            <v>44927</v>
          </cell>
          <cell r="J1390">
            <v>46387</v>
          </cell>
          <cell r="K1390" t="str">
            <v>CONTRATA</v>
          </cell>
          <cell r="L1390" t="str">
            <v>PROFESIONAL</v>
          </cell>
          <cell r="M1390" t="str">
            <v>PROFESIONAL</v>
          </cell>
          <cell r="N1390" t="str">
            <v>GRADO I.17</v>
          </cell>
          <cell r="O1390" t="str">
            <v>TÍTULO PROFESIONAL</v>
          </cell>
          <cell r="P1390" t="str">
            <v>PSICOLOGA</v>
          </cell>
          <cell r="Q1390" t="str">
            <v>TALCA</v>
          </cell>
          <cell r="R1390" t="str">
            <v>VICERRECTORÍA DE FORMACIÓN</v>
          </cell>
          <cell r="S1390" t="str">
            <v>UN. DE ACOMPAÑAMIENTO ESTUDIANTIL (CIMA)</v>
          </cell>
        </row>
        <row r="1391">
          <cell r="A1391">
            <v>19651987</v>
          </cell>
          <cell r="B1391" t="str">
            <v>19651987</v>
          </cell>
          <cell r="C1391" t="str">
            <v>4</v>
          </cell>
          <cell r="D1391" t="str">
            <v>BERRÍOS CONTRERAS CONSUELO ESP</v>
          </cell>
          <cell r="E1391" t="str">
            <v>ADC021001</v>
          </cell>
          <cell r="F1391">
            <v>44</v>
          </cell>
          <cell r="G1391">
            <v>30</v>
          </cell>
          <cell r="H1391" t="str">
            <v>CONSUELO.BERRIOS@UTALCA.CL</v>
          </cell>
          <cell r="I1391">
            <v>44813</v>
          </cell>
          <cell r="J1391">
            <v>46387</v>
          </cell>
          <cell r="K1391" t="str">
            <v>CONTRATA</v>
          </cell>
          <cell r="L1391" t="str">
            <v>PROFESIONAL</v>
          </cell>
          <cell r="M1391" t="str">
            <v>PROFESIONAL</v>
          </cell>
          <cell r="N1391" t="str">
            <v>GRADO I.17</v>
          </cell>
          <cell r="O1391" t="str">
            <v>TÍTULO PROFESIONAL</v>
          </cell>
          <cell r="P1391" t="str">
            <v>DISEÑADOR GRÁFICO</v>
          </cell>
          <cell r="Q1391" t="str">
            <v>TALCA</v>
          </cell>
          <cell r="R1391" t="str">
            <v>DIRECCIÓN DE COMUNICACIONES CORPORATIVAS</v>
          </cell>
          <cell r="S1391" t="str">
            <v>DIRECCIÓN DE COMUNICACIONES CORPORATIVAS</v>
          </cell>
        </row>
        <row r="1392">
          <cell r="A1392">
            <v>19696686</v>
          </cell>
          <cell r="B1392" t="str">
            <v>19696686</v>
          </cell>
          <cell r="C1392" t="str">
            <v>2</v>
          </cell>
          <cell r="D1392" t="str">
            <v>CASTILLO AVILA CONSTANZA CAROL</v>
          </cell>
          <cell r="E1392" t="str">
            <v>VAC400061</v>
          </cell>
          <cell r="F1392">
            <v>44</v>
          </cell>
          <cell r="G1392">
            <v>30</v>
          </cell>
          <cell r="H1392" t="str">
            <v>CONSTAZA.CASTILLO@UTALCA.CL</v>
          </cell>
          <cell r="I1392">
            <v>45870</v>
          </cell>
          <cell r="J1392">
            <v>46387</v>
          </cell>
          <cell r="K1392" t="str">
            <v>CONTRATA</v>
          </cell>
          <cell r="L1392" t="str">
            <v>PROFESIONAL</v>
          </cell>
          <cell r="M1392" t="str">
            <v>PROFESIONAL</v>
          </cell>
          <cell r="N1392" t="str">
            <v>GRADO I.17</v>
          </cell>
          <cell r="O1392" t="str">
            <v>TÍTULO PROFESIONAL</v>
          </cell>
          <cell r="P1392" t="str">
            <v>ANALISTA EN POLITICAS Y ASUNTOS INTERNACIONAL</v>
          </cell>
          <cell r="Q1392" t="str">
            <v>TALCA</v>
          </cell>
          <cell r="R1392" t="str">
            <v>VICERRECTORÍA ACADÉMICA</v>
          </cell>
          <cell r="S1392" t="str">
            <v>UNIDAD DE MOVILIDAD</v>
          </cell>
        </row>
        <row r="1393">
          <cell r="A1393">
            <v>19697412</v>
          </cell>
          <cell r="B1393" t="str">
            <v>19697412</v>
          </cell>
          <cell r="C1393" t="str">
            <v>1</v>
          </cell>
          <cell r="D1393" t="str">
            <v>ROJAS SILVA VANESA ELIZABETH</v>
          </cell>
          <cell r="E1393" t="str">
            <v>VDE400009</v>
          </cell>
          <cell r="F1393">
            <v>44</v>
          </cell>
          <cell r="G1393">
            <v>30</v>
          </cell>
          <cell r="H1393" t="str">
            <v>VANESA.ROJAS@UTALCA.CL</v>
          </cell>
          <cell r="I1393">
            <v>44830</v>
          </cell>
          <cell r="J1393">
            <v>46387</v>
          </cell>
          <cell r="K1393" t="str">
            <v>CONTRATA</v>
          </cell>
          <cell r="L1393" t="str">
            <v>PROFESIONAL</v>
          </cell>
          <cell r="M1393" t="str">
            <v>PROFESIONAL</v>
          </cell>
          <cell r="N1393" t="str">
            <v>GRADO I.17</v>
          </cell>
          <cell r="O1393" t="str">
            <v>TÍTULO PROFESIONAL</v>
          </cell>
          <cell r="P1393" t="str">
            <v>ENFERMERA</v>
          </cell>
          <cell r="Q1393" t="str">
            <v>COLCHAGUA</v>
          </cell>
          <cell r="R1393" t="str">
            <v>VICERRECTORÍA DE DESARROLLO ESTUDIANTIL</v>
          </cell>
          <cell r="S1393" t="str">
            <v>DIRECCIÓN DE SALUD ESTUDIANTIL</v>
          </cell>
        </row>
        <row r="1394">
          <cell r="A1394">
            <v>19697790</v>
          </cell>
          <cell r="B1394" t="str">
            <v>19697790</v>
          </cell>
          <cell r="C1394" t="str">
            <v>2</v>
          </cell>
          <cell r="D1394" t="str">
            <v>NAVARRO CASTILLO ROCIO BELEN</v>
          </cell>
          <cell r="E1394" t="str">
            <v>VDE400009</v>
          </cell>
          <cell r="F1394">
            <v>33</v>
          </cell>
          <cell r="G1394">
            <v>30</v>
          </cell>
          <cell r="H1394" t="str">
            <v/>
          </cell>
          <cell r="I1394">
            <v>45748</v>
          </cell>
          <cell r="J1394">
            <v>46387</v>
          </cell>
          <cell r="K1394" t="str">
            <v>CONTRATA</v>
          </cell>
          <cell r="L1394" t="str">
            <v>PROFESIONAL</v>
          </cell>
          <cell r="M1394" t="str">
            <v>PROFESIONAL</v>
          </cell>
          <cell r="N1394" t="str">
            <v>GRADO I.17</v>
          </cell>
          <cell r="O1394" t="str">
            <v>TÍTULO PROFESIONAL</v>
          </cell>
          <cell r="P1394" t="str">
            <v>PSICOLOGA</v>
          </cell>
          <cell r="Q1394" t="str">
            <v>TALCA</v>
          </cell>
          <cell r="R1394" t="str">
            <v>VICERRECTORÍA DE DESARROLLO ESTUDIANTIL</v>
          </cell>
          <cell r="S1394" t="str">
            <v>DIRECCIÓN DE SALUD ESTUDIANTIL</v>
          </cell>
        </row>
        <row r="1395">
          <cell r="A1395">
            <v>19698006</v>
          </cell>
          <cell r="B1395" t="str">
            <v>19698006</v>
          </cell>
          <cell r="C1395" t="str">
            <v>7</v>
          </cell>
          <cell r="D1395" t="str">
            <v>ROJAS VILLALOBOS JAVIERA FRANC</v>
          </cell>
          <cell r="E1395" t="str">
            <v/>
          </cell>
          <cell r="F1395">
            <v>44</v>
          </cell>
          <cell r="G1395">
            <v>30</v>
          </cell>
          <cell r="H1395" t="str">
            <v/>
          </cell>
          <cell r="I1395">
            <v>46082</v>
          </cell>
          <cell r="J1395">
            <v>46387</v>
          </cell>
          <cell r="K1395" t="str">
            <v>CONTRATA</v>
          </cell>
          <cell r="L1395" t="str">
            <v>PROFESIONAL</v>
          </cell>
          <cell r="M1395" t="str">
            <v>PROFESIONAL</v>
          </cell>
          <cell r="N1395" t="str">
            <v>GRADO I.17</v>
          </cell>
          <cell r="O1395" t="str">
            <v>TÍTULO PROFESIONAL</v>
          </cell>
          <cell r="P1395" t="str">
            <v>CONTADOR PÚBLICO Y AUDITOR</v>
          </cell>
          <cell r="Q1395" t="str">
            <v>TALCA</v>
          </cell>
          <cell r="R1395" t="str">
            <v>DIRECCIÓN DE ASEGURAMIENTO DE LA CALIDAD</v>
          </cell>
          <cell r="S1395" t="str">
            <v>DPTO. DE ANÁLISIS Y ASEGU. DE LA CALIDAD</v>
          </cell>
        </row>
        <row r="1396">
          <cell r="A1396">
            <v>19718264</v>
          </cell>
          <cell r="B1396" t="str">
            <v>19718264</v>
          </cell>
          <cell r="C1396" t="str">
            <v>4</v>
          </cell>
          <cell r="D1396" t="str">
            <v>GONZALEZ TOLOZA ADOLFO EDUARDO</v>
          </cell>
          <cell r="E1396" t="str">
            <v>VDE400002</v>
          </cell>
          <cell r="F1396">
            <v>44</v>
          </cell>
          <cell r="G1396">
            <v>30</v>
          </cell>
          <cell r="H1396" t="str">
            <v>ADOLFO.GONZALEZ@UTALCA.CL</v>
          </cell>
          <cell r="I1396">
            <v>45853</v>
          </cell>
          <cell r="J1396">
            <v>46387</v>
          </cell>
          <cell r="K1396" t="str">
            <v>CONTRATA</v>
          </cell>
          <cell r="L1396" t="str">
            <v>PROFESIONAL</v>
          </cell>
          <cell r="M1396" t="str">
            <v>PROFESIONAL</v>
          </cell>
          <cell r="N1396" t="str">
            <v>GRADO I.17</v>
          </cell>
          <cell r="O1396" t="str">
            <v>TÍTULO PROFESIONAL</v>
          </cell>
          <cell r="P1396" t="str">
            <v>SOCIÓLOGO</v>
          </cell>
          <cell r="Q1396" t="str">
            <v>CURICO</v>
          </cell>
          <cell r="R1396" t="str">
            <v>VICERRECTORÍA DE DESARROLLO ESTUDIANTIL</v>
          </cell>
          <cell r="S1396" t="str">
            <v>DRCCIÓN. APOYO A ORG. E INICIA. ESTUD.</v>
          </cell>
        </row>
        <row r="1397">
          <cell r="A1397">
            <v>19718627</v>
          </cell>
          <cell r="B1397" t="str">
            <v>19718627</v>
          </cell>
          <cell r="C1397" t="str">
            <v>5</v>
          </cell>
          <cell r="D1397" t="str">
            <v>CERPA ARAVENA TABITA BELEN</v>
          </cell>
          <cell r="E1397" t="str">
            <v>ADC021001</v>
          </cell>
          <cell r="F1397">
            <v>44</v>
          </cell>
          <cell r="G1397">
            <v>30</v>
          </cell>
          <cell r="H1397" t="str">
            <v>TABITA.CEDRPA@UTALCA.CL</v>
          </cell>
          <cell r="I1397">
            <v>45717</v>
          </cell>
          <cell r="J1397">
            <v>46387</v>
          </cell>
          <cell r="K1397" t="str">
            <v>CONTRATA</v>
          </cell>
          <cell r="L1397" t="str">
            <v>PROFESIONAL</v>
          </cell>
          <cell r="M1397" t="str">
            <v>PROFESIONAL</v>
          </cell>
          <cell r="N1397" t="str">
            <v>GRADO I.17</v>
          </cell>
          <cell r="O1397" t="str">
            <v>TÍTULO PROFESIONAL</v>
          </cell>
          <cell r="P1397" t="str">
            <v>COMUNICADORA AUDIOVISUAL DIGITAL</v>
          </cell>
          <cell r="Q1397" t="str">
            <v>TALCA</v>
          </cell>
          <cell r="R1397" t="str">
            <v>DIRECCIÓN DE COMUNICACIONES CORPORATIVAS</v>
          </cell>
          <cell r="S1397" t="str">
            <v>DIRECCIÓN DE COMUNICACIONES CORPORATIVAS</v>
          </cell>
        </row>
        <row r="1398">
          <cell r="A1398">
            <v>19803246</v>
          </cell>
          <cell r="B1398" t="str">
            <v>19803246</v>
          </cell>
          <cell r="C1398" t="str">
            <v>8</v>
          </cell>
          <cell r="D1398" t="str">
            <v>OLIVARES HORMAZABAL ESMERALDA</v>
          </cell>
          <cell r="E1398" t="str">
            <v>IAM320001</v>
          </cell>
          <cell r="F1398">
            <v>44</v>
          </cell>
          <cell r="G1398">
            <v>30</v>
          </cell>
          <cell r="H1398" t="str">
            <v>ESMERALDA.OLIVARES@UTALCA.CL</v>
          </cell>
          <cell r="I1398">
            <v>45754</v>
          </cell>
          <cell r="J1398">
            <v>46387</v>
          </cell>
          <cell r="K1398" t="str">
            <v>CONTRATA</v>
          </cell>
          <cell r="L1398" t="str">
            <v>PROFESIONAL</v>
          </cell>
          <cell r="M1398" t="str">
            <v>PROFESIONAL</v>
          </cell>
          <cell r="N1398" t="str">
            <v>GRADO I.17</v>
          </cell>
          <cell r="O1398" t="str">
            <v>TÍTULO PROFESIONAL</v>
          </cell>
          <cell r="P1398" t="str">
            <v>BIBLIOTECARIA DOCUMENTALISTA</v>
          </cell>
          <cell r="Q1398" t="str">
            <v>TALCA</v>
          </cell>
          <cell r="R1398" t="str">
            <v>INST. ESTUDIOS HUMANÍSTICOS ABATE J.I.M.</v>
          </cell>
          <cell r="S1398" t="str">
            <v>CENTRO DE DOCUMENTACIÓN PATRIMONIAL</v>
          </cell>
        </row>
        <row r="1399">
          <cell r="A1399">
            <v>19805936</v>
          </cell>
          <cell r="B1399" t="str">
            <v>19805936</v>
          </cell>
          <cell r="C1399" t="str">
            <v>6</v>
          </cell>
          <cell r="D1399" t="str">
            <v>ARENAS QUIJADA JAVIERA PAZ</v>
          </cell>
          <cell r="E1399" t="str">
            <v>FOD200001</v>
          </cell>
          <cell r="F1399">
            <v>44</v>
          </cell>
          <cell r="G1399">
            <v>30</v>
          </cell>
          <cell r="H1399" t="str">
            <v>JAVIERA.ARENAS@UTALCA.CL</v>
          </cell>
          <cell r="I1399">
            <v>44927</v>
          </cell>
          <cell r="J1399">
            <v>46387</v>
          </cell>
          <cell r="K1399" t="str">
            <v>CONTRATA</v>
          </cell>
          <cell r="L1399" t="str">
            <v>PROFESIONAL</v>
          </cell>
          <cell r="M1399" t="str">
            <v>PROFESIONAL</v>
          </cell>
          <cell r="N1399" t="str">
            <v>GRADO I.17</v>
          </cell>
          <cell r="O1399" t="str">
            <v>TÍTULO PROFESIONAL</v>
          </cell>
          <cell r="P1399" t="str">
            <v>PERIODISTA</v>
          </cell>
          <cell r="Q1399" t="str">
            <v>TALCA</v>
          </cell>
          <cell r="R1399" t="str">
            <v>FACULTAD DE ODONTOLOGÍA</v>
          </cell>
          <cell r="S1399" t="str">
            <v>FACULTAD DE ODONTOLOGÍA</v>
          </cell>
        </row>
        <row r="1400">
          <cell r="A1400">
            <v>19806047</v>
          </cell>
          <cell r="B1400" t="str">
            <v>19806047</v>
          </cell>
          <cell r="C1400" t="str">
            <v>K</v>
          </cell>
          <cell r="D1400" t="str">
            <v>FUENTES FUENTES ISAI SALOMON</v>
          </cell>
          <cell r="E1400" t="str">
            <v>FOD400003</v>
          </cell>
          <cell r="F1400">
            <v>44</v>
          </cell>
          <cell r="G1400">
            <v>30</v>
          </cell>
          <cell r="H1400" t="str">
            <v>ISAI.FUENTES@UTALCA.CL</v>
          </cell>
          <cell r="I1400">
            <v>44197</v>
          </cell>
          <cell r="J1400">
            <v>46387</v>
          </cell>
          <cell r="K1400" t="str">
            <v>CONTRATA</v>
          </cell>
          <cell r="L1400" t="str">
            <v>TÉCNICO</v>
          </cell>
          <cell r="M1400" t="str">
            <v>PROFESIONAL</v>
          </cell>
          <cell r="N1400" t="str">
            <v>GRADO I.17</v>
          </cell>
          <cell r="O1400" t="str">
            <v>TÉC. NIVEL SUPERIOR</v>
          </cell>
          <cell r="P1400" t="str">
            <v>TECNICO EN ADMINISTRACION</v>
          </cell>
          <cell r="Q1400" t="str">
            <v>TALCA</v>
          </cell>
          <cell r="R1400" t="str">
            <v>FACULTAD DE ODONTOLOGÍA</v>
          </cell>
          <cell r="S1400" t="str">
            <v>ESC. POSGRADO FACULTAD DE ODONTOLOGÍA</v>
          </cell>
        </row>
        <row r="1401">
          <cell r="A1401">
            <v>19806108</v>
          </cell>
          <cell r="B1401" t="str">
            <v>19806108</v>
          </cell>
          <cell r="C1401" t="str">
            <v>5</v>
          </cell>
          <cell r="D1401" t="str">
            <v>VALENZUELA VALENZUELA FERNANDO</v>
          </cell>
          <cell r="E1401" t="str">
            <v>VRF400044</v>
          </cell>
          <cell r="F1401">
            <v>44</v>
          </cell>
          <cell r="G1401">
            <v>30</v>
          </cell>
          <cell r="H1401" t="str">
            <v>FERNANDO.VALENZUELA@UTALCA.CL</v>
          </cell>
          <cell r="I1401">
            <v>45413</v>
          </cell>
          <cell r="J1401">
            <v>46387</v>
          </cell>
          <cell r="K1401" t="str">
            <v>CONTRATA</v>
          </cell>
          <cell r="L1401" t="str">
            <v>PROFESIONAL</v>
          </cell>
          <cell r="M1401" t="str">
            <v>PROFESIONAL</v>
          </cell>
          <cell r="N1401" t="str">
            <v>GRADO I.17</v>
          </cell>
          <cell r="O1401" t="str">
            <v>TÍTULO PROFESIONAL</v>
          </cell>
          <cell r="P1401" t="str">
            <v>INGENIERO INFORMATICO EMPRESARIAL</v>
          </cell>
          <cell r="Q1401" t="str">
            <v>TALCA</v>
          </cell>
          <cell r="R1401" t="str">
            <v>VICERRECTORÍA DE FORMACIÓN</v>
          </cell>
          <cell r="S1401" t="str">
            <v>UNIDAD ALUMNI E INSERCIÓN LABORAL</v>
          </cell>
        </row>
        <row r="1402">
          <cell r="A1402">
            <v>19807000</v>
          </cell>
          <cell r="B1402" t="str">
            <v>19807000</v>
          </cell>
          <cell r="C1402" t="str">
            <v>9</v>
          </cell>
          <cell r="D1402" t="str">
            <v>CATALAN INAREJO JAVIERA CONSTA</v>
          </cell>
          <cell r="E1402" t="str">
            <v>ADC030190</v>
          </cell>
          <cell r="F1402">
            <v>44</v>
          </cell>
          <cell r="G1402">
            <v>30</v>
          </cell>
          <cell r="H1402" t="str">
            <v>JAVIERA.CATALAN@UTALCA.CL</v>
          </cell>
          <cell r="I1402">
            <v>45614</v>
          </cell>
          <cell r="J1402">
            <v>46387</v>
          </cell>
          <cell r="K1402" t="str">
            <v>CONTRATA</v>
          </cell>
          <cell r="L1402" t="str">
            <v>PROFESIONAL</v>
          </cell>
          <cell r="M1402" t="str">
            <v>PROFESIONAL</v>
          </cell>
          <cell r="N1402" t="str">
            <v>GRADO I.17</v>
          </cell>
          <cell r="O1402" t="str">
            <v>TÍTULO PROFESIONAL</v>
          </cell>
          <cell r="P1402" t="str">
            <v>ABOGADO</v>
          </cell>
          <cell r="Q1402" t="str">
            <v>TALCA</v>
          </cell>
          <cell r="R1402" t="str">
            <v>SECRETARÍA GENERAL</v>
          </cell>
          <cell r="S1402" t="str">
            <v>DIRECCIÓN DE GÉNERO</v>
          </cell>
        </row>
        <row r="1403">
          <cell r="A1403">
            <v>19807830</v>
          </cell>
          <cell r="B1403" t="str">
            <v>19807830</v>
          </cell>
          <cell r="C1403" t="str">
            <v>1</v>
          </cell>
          <cell r="D1403" t="str">
            <v>GUTIERREZ ZUÑIGA FERNANDA IGNA</v>
          </cell>
          <cell r="E1403" t="str">
            <v>FOD200001</v>
          </cell>
          <cell r="F1403">
            <v>44</v>
          </cell>
          <cell r="G1403">
            <v>30</v>
          </cell>
          <cell r="H1403" t="str">
            <v>FERNANDA.GUTIERREZ@UTALCA.CL</v>
          </cell>
          <cell r="I1403">
            <v>45658</v>
          </cell>
          <cell r="J1403">
            <v>46387</v>
          </cell>
          <cell r="K1403" t="str">
            <v>CONTRATA</v>
          </cell>
          <cell r="L1403" t="str">
            <v>ADMINISTRATIVO</v>
          </cell>
          <cell r="M1403" t="str">
            <v>ADMINISTRATIVO</v>
          </cell>
          <cell r="N1403" t="str">
            <v>GRADO I.21</v>
          </cell>
          <cell r="O1403" t="str">
            <v>TÍTULO PROFESIONAL</v>
          </cell>
          <cell r="P1403" t="str">
            <v>INGENIERÍA EN ADMINISTRACIÓN DE EMPRESAS</v>
          </cell>
          <cell r="Q1403" t="str">
            <v>TALCA</v>
          </cell>
          <cell r="R1403" t="str">
            <v>FACULTAD DE ODONTOLOGÍA</v>
          </cell>
          <cell r="S1403" t="str">
            <v>FACULTAD DE ODONTOLOGÍA</v>
          </cell>
        </row>
        <row r="1404">
          <cell r="A1404">
            <v>19865161</v>
          </cell>
          <cell r="B1404" t="str">
            <v>19865161</v>
          </cell>
          <cell r="C1404" t="str">
            <v>3</v>
          </cell>
          <cell r="D1404" t="str">
            <v>BARRA ROJAS EMILIO JOSÉ</v>
          </cell>
          <cell r="E1404" t="str">
            <v>FPS310001</v>
          </cell>
          <cell r="F1404">
            <v>44</v>
          </cell>
          <cell r="G1404">
            <v>30</v>
          </cell>
          <cell r="H1404" t="str">
            <v>EMILIO.BARRA@UTALCA.CL</v>
          </cell>
          <cell r="I1404">
            <v>44927</v>
          </cell>
          <cell r="J1404">
            <v>46387</v>
          </cell>
          <cell r="K1404" t="str">
            <v>CONTRATA</v>
          </cell>
          <cell r="L1404" t="str">
            <v>PROFESIONAL</v>
          </cell>
          <cell r="M1404" t="str">
            <v>PROFESIONAL</v>
          </cell>
          <cell r="N1404" t="str">
            <v>GRADO I.17</v>
          </cell>
          <cell r="O1404" t="str">
            <v>TÍTULO PROFESIONAL</v>
          </cell>
          <cell r="P1404" t="str">
            <v>PSICÓLOGO</v>
          </cell>
          <cell r="Q1404" t="str">
            <v>TALCA</v>
          </cell>
          <cell r="R1404" t="str">
            <v>FACULTAD DE PSICOLOGÍA</v>
          </cell>
          <cell r="S1404" t="str">
            <v>ESCUELA DE PSICOLOGÍA</v>
          </cell>
        </row>
        <row r="1405">
          <cell r="A1405">
            <v>19895448</v>
          </cell>
          <cell r="B1405" t="str">
            <v>19895448</v>
          </cell>
          <cell r="C1405" t="str">
            <v>9</v>
          </cell>
          <cell r="D1405" t="str">
            <v>CASTILLO ZUÑIGA JAVIERA ALEJAN</v>
          </cell>
          <cell r="E1405" t="str">
            <v>VAC400062</v>
          </cell>
          <cell r="F1405">
            <v>44</v>
          </cell>
          <cell r="G1405">
            <v>30</v>
          </cell>
          <cell r="H1405" t="str">
            <v/>
          </cell>
          <cell r="I1405">
            <v>45778</v>
          </cell>
          <cell r="J1405">
            <v>46387</v>
          </cell>
          <cell r="K1405" t="str">
            <v>CONTRATA</v>
          </cell>
          <cell r="L1405" t="str">
            <v>PROFESIONAL</v>
          </cell>
          <cell r="M1405" t="str">
            <v>PROFESIONAL</v>
          </cell>
          <cell r="N1405" t="str">
            <v>GRADO I.17</v>
          </cell>
          <cell r="O1405" t="str">
            <v>TÍTULO PROFESIONAL</v>
          </cell>
          <cell r="P1405" t="str">
            <v>INGENIERO COMERCIAL</v>
          </cell>
          <cell r="Q1405" t="str">
            <v>TALCA</v>
          </cell>
          <cell r="R1405" t="str">
            <v>VICERRECTORÍA ACADÉMICA</v>
          </cell>
          <cell r="S1405" t="str">
            <v>UNIDAD DE COOPERACIÓN INTERNACIONAL</v>
          </cell>
        </row>
        <row r="1406">
          <cell r="A1406">
            <v>19923200</v>
          </cell>
          <cell r="B1406" t="str">
            <v>19923200</v>
          </cell>
          <cell r="C1406" t="str">
            <v>2</v>
          </cell>
          <cell r="D1406" t="str">
            <v>ZUÑIGA INOSTROZA OSCAR IGNACIO</v>
          </cell>
          <cell r="E1406" t="str">
            <v>VGE400057</v>
          </cell>
          <cell r="F1406">
            <v>44</v>
          </cell>
          <cell r="G1406">
            <v>30</v>
          </cell>
          <cell r="H1406" t="str">
            <v>OSCAR.ZUNIGA@UTALCA.CL</v>
          </cell>
          <cell r="I1406">
            <v>45505</v>
          </cell>
          <cell r="J1406">
            <v>46387</v>
          </cell>
          <cell r="K1406" t="str">
            <v>CONTRATA</v>
          </cell>
          <cell r="L1406" t="str">
            <v>PROFESIONAL</v>
          </cell>
          <cell r="M1406" t="str">
            <v>PROFESIONAL</v>
          </cell>
          <cell r="N1406" t="str">
            <v>GRADO I.17</v>
          </cell>
          <cell r="O1406" t="str">
            <v>TÍTULO PROFESIONAL</v>
          </cell>
          <cell r="P1406" t="str">
            <v>UNIVERSIDAD DE VALPARAISO</v>
          </cell>
          <cell r="Q1406" t="str">
            <v>TALCA</v>
          </cell>
          <cell r="R1406" t="str">
            <v>VIC. GESTIÓN ECONÓMICA Y ADMINISTRACIÓN</v>
          </cell>
          <cell r="S1406" t="str">
            <v>UNIDAD DE COMPRAS ESTRATÉGICAS</v>
          </cell>
        </row>
        <row r="1407">
          <cell r="A1407">
            <v>19938907</v>
          </cell>
          <cell r="B1407" t="str">
            <v>19938907</v>
          </cell>
          <cell r="C1407" t="str">
            <v>6</v>
          </cell>
          <cell r="D1407" t="str">
            <v>LOPEZ RETAMAL RUTH ESTRELLA AN</v>
          </cell>
          <cell r="E1407" t="str">
            <v>VGE400008</v>
          </cell>
          <cell r="F1407">
            <v>44</v>
          </cell>
          <cell r="G1407">
            <v>30</v>
          </cell>
          <cell r="H1407" t="str">
            <v>RUTH.LOPEZ@UTALCA.CL</v>
          </cell>
          <cell r="I1407">
            <v>44927</v>
          </cell>
          <cell r="J1407">
            <v>46387</v>
          </cell>
          <cell r="K1407" t="str">
            <v>CONTRATA</v>
          </cell>
          <cell r="L1407" t="str">
            <v>PROFESIONAL</v>
          </cell>
          <cell r="M1407" t="str">
            <v>PROFESIONAL</v>
          </cell>
          <cell r="N1407" t="str">
            <v>GRADO I.17</v>
          </cell>
          <cell r="O1407" t="str">
            <v>TÍTULO PROFESIONAL</v>
          </cell>
          <cell r="P1407" t="str">
            <v>CONTADOR PUBLICO Y AUDITOR</v>
          </cell>
          <cell r="Q1407" t="str">
            <v>TALCA</v>
          </cell>
          <cell r="R1407" t="str">
            <v>VIC. GESTIÓN ECONÓMICA Y ADMINISTRACIÓN</v>
          </cell>
          <cell r="S1407" t="str">
            <v>BIENESTAR DEL PERSONAL</v>
          </cell>
        </row>
        <row r="1408">
          <cell r="A1408">
            <v>19939110</v>
          </cell>
          <cell r="B1408" t="str">
            <v>19939110</v>
          </cell>
          <cell r="C1408" t="str">
            <v>0</v>
          </cell>
          <cell r="D1408" t="str">
            <v>ARAVENA ESPINOSA CATALINA DEL</v>
          </cell>
          <cell r="E1408" t="str">
            <v>FOD350001</v>
          </cell>
          <cell r="F1408">
            <v>44</v>
          </cell>
          <cell r="G1408">
            <v>30</v>
          </cell>
          <cell r="H1408" t="str">
            <v>CATALINA.ARAVENA@UTALCAQ.CL</v>
          </cell>
          <cell r="I1408">
            <v>45992</v>
          </cell>
          <cell r="J1408">
            <v>46387</v>
          </cell>
          <cell r="K1408" t="str">
            <v>CONTRATA</v>
          </cell>
          <cell r="L1408" t="str">
            <v>TÉCNICO</v>
          </cell>
          <cell r="M1408" t="str">
            <v>TÉCNICO</v>
          </cell>
          <cell r="N1408" t="str">
            <v>GRADO I.23</v>
          </cell>
          <cell r="O1408" t="str">
            <v>TÉC. NIVEL SUPERIOR</v>
          </cell>
          <cell r="P1408" t="str">
            <v>TÉCNICO DE NIVEL SUPERIOR EN ODONTOLOGÍA</v>
          </cell>
          <cell r="Q1408" t="str">
            <v>TALCA</v>
          </cell>
          <cell r="R1408" t="str">
            <v>FACULTAD DE ODONTOLOGÍA</v>
          </cell>
          <cell r="S1408" t="str">
            <v>CLÍNICAS ODONTOLÓGICAS</v>
          </cell>
        </row>
        <row r="1409">
          <cell r="A1409">
            <v>19965486</v>
          </cell>
          <cell r="B1409" t="str">
            <v>19965486</v>
          </cell>
          <cell r="C1409" t="str">
            <v>1</v>
          </cell>
          <cell r="D1409" t="str">
            <v>VALDES CACERES TAMARA ISABEL</v>
          </cell>
          <cell r="E1409" t="str">
            <v>VGE400052</v>
          </cell>
          <cell r="F1409">
            <v>44</v>
          </cell>
          <cell r="G1409">
            <v>30</v>
          </cell>
          <cell r="H1409" t="str">
            <v>TAMARA.VALDES@UTALCA.CL</v>
          </cell>
          <cell r="I1409">
            <v>44927</v>
          </cell>
          <cell r="J1409">
            <v>46387</v>
          </cell>
          <cell r="K1409" t="str">
            <v>CONTRATA</v>
          </cell>
          <cell r="L1409" t="str">
            <v>PROFESIONAL</v>
          </cell>
          <cell r="M1409" t="str">
            <v>PROFESIONAL</v>
          </cell>
          <cell r="N1409" t="str">
            <v>GRADO I.17</v>
          </cell>
          <cell r="O1409" t="str">
            <v>TÍTULO PROFESIONAL</v>
          </cell>
          <cell r="P1409" t="str">
            <v>INGENIERO COMERCIAL</v>
          </cell>
          <cell r="Q1409" t="str">
            <v>TALCA</v>
          </cell>
          <cell r="R1409" t="str">
            <v>VIC. GESTIÓN ECONÓMICA Y ADMINISTRACIÓN</v>
          </cell>
          <cell r="S1409" t="str">
            <v>DEPARTAMENTO DE GESTIÓN DE PERSONAS</v>
          </cell>
        </row>
        <row r="1410">
          <cell r="A1410">
            <v>20003325</v>
          </cell>
          <cell r="B1410" t="str">
            <v>20003325</v>
          </cell>
          <cell r="C1410" t="str">
            <v>6</v>
          </cell>
          <cell r="D1410" t="str">
            <v>FERRADA YÁÑEZ SOFÍA YANET</v>
          </cell>
          <cell r="E1410" t="str">
            <v>VDE400002</v>
          </cell>
          <cell r="F1410">
            <v>22</v>
          </cell>
          <cell r="G1410">
            <v>30</v>
          </cell>
          <cell r="H1410" t="str">
            <v/>
          </cell>
          <cell r="I1410">
            <v>45778</v>
          </cell>
          <cell r="J1410">
            <v>46387</v>
          </cell>
          <cell r="K1410" t="str">
            <v>CONTRATA</v>
          </cell>
          <cell r="L1410" t="str">
            <v>PROFESIONAL</v>
          </cell>
          <cell r="M1410" t="str">
            <v>PROFESIONAL</v>
          </cell>
          <cell r="N1410" t="str">
            <v>GRADO I.17</v>
          </cell>
          <cell r="O1410" t="str">
            <v>TÍTULO PROFESIONAL</v>
          </cell>
          <cell r="P1410" t="str">
            <v>PSICÓLOGA</v>
          </cell>
          <cell r="Q1410" t="str">
            <v>TALCA</v>
          </cell>
          <cell r="R1410" t="str">
            <v>VICERRECTORÍA DE DESARROLLO ESTUDIANTIL</v>
          </cell>
          <cell r="S1410" t="str">
            <v>DRCCIÓN. APOYO A ORG. E INICIA. ESTUD.</v>
          </cell>
        </row>
        <row r="1411">
          <cell r="A1411">
            <v>20008250</v>
          </cell>
          <cell r="B1411" t="str">
            <v>20008250</v>
          </cell>
          <cell r="C1411" t="str">
            <v>8</v>
          </cell>
          <cell r="D1411" t="str">
            <v>CANCINO CHAMORRO PAULINA ALEJA</v>
          </cell>
          <cell r="E1411" t="str">
            <v>VGE400032</v>
          </cell>
          <cell r="F1411">
            <v>22</v>
          </cell>
          <cell r="G1411">
            <v>30</v>
          </cell>
          <cell r="H1411" t="str">
            <v>PAULINA.CANCINO@UTALCA.CL</v>
          </cell>
          <cell r="I1411">
            <v>45536</v>
          </cell>
          <cell r="J1411">
            <v>46387</v>
          </cell>
          <cell r="K1411" t="str">
            <v>CONTRATA</v>
          </cell>
          <cell r="L1411" t="str">
            <v>PROFESIONAL</v>
          </cell>
          <cell r="M1411" t="str">
            <v>PROFESIONAL</v>
          </cell>
          <cell r="N1411" t="str">
            <v>GRADO I.17</v>
          </cell>
          <cell r="O1411" t="str">
            <v>TÍTULO PROFESIONAL</v>
          </cell>
          <cell r="P1411" t="str">
            <v>INGENIERO DE EJECUCION EN ADMINISTRACION DE E</v>
          </cell>
          <cell r="Q1411" t="str">
            <v>TALCA</v>
          </cell>
          <cell r="R1411" t="str">
            <v>VIC. GESTIÓN ECONÓMICA Y ADMINISTRACIÓN</v>
          </cell>
          <cell r="S1411" t="str">
            <v>OFICINA DE GESTIÓN DE PROYECTOS BASALES</v>
          </cell>
        </row>
        <row r="1412">
          <cell r="A1412">
            <v>20008705</v>
          </cell>
          <cell r="B1412" t="str">
            <v>20008705</v>
          </cell>
          <cell r="C1412" t="str">
            <v>4</v>
          </cell>
          <cell r="D1412" t="str">
            <v>RIQUELME VÉLIZ PABLO ISRAEL</v>
          </cell>
          <cell r="E1412" t="str">
            <v>VGE400051</v>
          </cell>
          <cell r="F1412">
            <v>44</v>
          </cell>
          <cell r="G1412">
            <v>30</v>
          </cell>
          <cell r="H1412" t="str">
            <v>PABLORIQUELME748@GMAIL.COM</v>
          </cell>
          <cell r="I1412">
            <v>45748</v>
          </cell>
          <cell r="J1412">
            <v>46387</v>
          </cell>
          <cell r="K1412" t="str">
            <v>CONTRATA</v>
          </cell>
          <cell r="L1412" t="str">
            <v>TÉCNICO</v>
          </cell>
          <cell r="M1412" t="str">
            <v>TÉCNICO</v>
          </cell>
          <cell r="N1412" t="str">
            <v>GRADO I.23</v>
          </cell>
          <cell r="O1412" t="str">
            <v>TÍTULO PROFESIONAL</v>
          </cell>
          <cell r="P1412" t="str">
            <v>INGENIERO EN ELECTRICIDAD MENCIÓN PROYECTOS D</v>
          </cell>
          <cell r="Q1412" t="str">
            <v>TALCA</v>
          </cell>
          <cell r="R1412" t="str">
            <v>VIC. GESTIÓN ECONÓMICA Y ADMINISTRACIÓN</v>
          </cell>
          <cell r="S1412" t="str">
            <v>UNIDAD DE MANTENIMIENTO</v>
          </cell>
        </row>
        <row r="1413">
          <cell r="A1413">
            <v>20009478</v>
          </cell>
          <cell r="B1413" t="str">
            <v>20009478</v>
          </cell>
          <cell r="C1413" t="str">
            <v>6</v>
          </cell>
          <cell r="D1413" t="str">
            <v>CHAMORRO SEPULVEDA IGNACIA CEC</v>
          </cell>
          <cell r="E1413" t="str">
            <v>FCI310006</v>
          </cell>
          <cell r="F1413">
            <v>44</v>
          </cell>
          <cell r="G1413">
            <v>30</v>
          </cell>
          <cell r="H1413" t="str">
            <v/>
          </cell>
          <cell r="I1413">
            <v>45839</v>
          </cell>
          <cell r="J1413">
            <v>46387</v>
          </cell>
          <cell r="K1413" t="str">
            <v>CONTRATA</v>
          </cell>
          <cell r="L1413" t="str">
            <v>PROFESIONAL</v>
          </cell>
          <cell r="M1413" t="str">
            <v>PROFESIONAL</v>
          </cell>
          <cell r="N1413" t="str">
            <v>GRADO I.17</v>
          </cell>
          <cell r="O1413" t="str">
            <v>TÍTULO PROFESIONAL</v>
          </cell>
          <cell r="P1413" t="str">
            <v>INGENIERIA EN BIOTECNOLOGIA</v>
          </cell>
          <cell r="Q1413" t="str">
            <v>TALCA</v>
          </cell>
          <cell r="R1413" t="str">
            <v>FACULTAD DE INGENIERÍA</v>
          </cell>
          <cell r="S1413" t="str">
            <v>ESC. INGENIERÍA CIVIL EN BIOINFORMÁTICA</v>
          </cell>
        </row>
        <row r="1414">
          <cell r="A1414">
            <v>20068791</v>
          </cell>
          <cell r="B1414" t="str">
            <v>20068791</v>
          </cell>
          <cell r="C1414" t="str">
            <v>4</v>
          </cell>
          <cell r="D1414" t="str">
            <v>ROSALES ACUÑA ALICIA ELENA</v>
          </cell>
          <cell r="E1414" t="str">
            <v>FOD350001</v>
          </cell>
          <cell r="F1414">
            <v>44</v>
          </cell>
          <cell r="G1414">
            <v>30</v>
          </cell>
          <cell r="H1414" t="str">
            <v>ALICIA.ROSALES@UTALCA.CL</v>
          </cell>
          <cell r="I1414">
            <v>44927</v>
          </cell>
          <cell r="J1414">
            <v>46387</v>
          </cell>
          <cell r="K1414" t="str">
            <v>CONTRATA</v>
          </cell>
          <cell r="L1414" t="str">
            <v>ADMINISTRATIVO</v>
          </cell>
          <cell r="M1414" t="str">
            <v>TÉCNICO</v>
          </cell>
          <cell r="N1414" t="str">
            <v>GRADO I.23</v>
          </cell>
          <cell r="O1414" t="str">
            <v>TÉC. NIVEL SUPERIOR</v>
          </cell>
          <cell r="P1414" t="str">
            <v>TECNICO EN ODONTOLOGIA</v>
          </cell>
          <cell r="Q1414" t="str">
            <v>TALCA</v>
          </cell>
          <cell r="R1414" t="str">
            <v>FACULTAD DE ODONTOLOGÍA</v>
          </cell>
          <cell r="S1414" t="str">
            <v>CLÍNICAS ODONTOLÓGICAS</v>
          </cell>
        </row>
        <row r="1415">
          <cell r="A1415">
            <v>20069761</v>
          </cell>
          <cell r="B1415" t="str">
            <v>20069761</v>
          </cell>
          <cell r="C1415" t="str">
            <v>8</v>
          </cell>
          <cell r="D1415" t="str">
            <v>ZÚÑIGA AHUMADA VALENTINA DE LO</v>
          </cell>
          <cell r="E1415" t="str">
            <v>VRF400009</v>
          </cell>
          <cell r="F1415">
            <v>44</v>
          </cell>
          <cell r="G1415">
            <v>30</v>
          </cell>
          <cell r="H1415" t="str">
            <v>VALENTINA.ZUNIGA@UTALCA.CL</v>
          </cell>
          <cell r="I1415">
            <v>45352</v>
          </cell>
          <cell r="J1415">
            <v>46387</v>
          </cell>
          <cell r="K1415" t="str">
            <v>CONTRATA</v>
          </cell>
          <cell r="L1415" t="str">
            <v>PROFESIONAL</v>
          </cell>
          <cell r="M1415" t="str">
            <v>PROFESIONAL</v>
          </cell>
          <cell r="N1415" t="str">
            <v>GRADO I.17</v>
          </cell>
          <cell r="O1415" t="str">
            <v>TÍTULO PROFESIONAL</v>
          </cell>
          <cell r="P1415" t="str">
            <v>CIENTISTA POLÍTICA</v>
          </cell>
          <cell r="Q1415" t="str">
            <v>TALCA</v>
          </cell>
          <cell r="R1415" t="str">
            <v>VICERRECTORÍA DE FORMACIÓN</v>
          </cell>
          <cell r="S1415" t="str">
            <v>PROGRAMA DE FORMACIÓN FUNDAMENTAL</v>
          </cell>
        </row>
        <row r="1416">
          <cell r="A1416">
            <v>20070299</v>
          </cell>
          <cell r="B1416" t="str">
            <v>20070299</v>
          </cell>
          <cell r="C1416" t="str">
            <v>9</v>
          </cell>
          <cell r="D1416" t="str">
            <v>RAMOS VALENCIA ALEXANDRA NOEMI</v>
          </cell>
          <cell r="E1416" t="str">
            <v>VGE400008</v>
          </cell>
          <cell r="F1416">
            <v>44</v>
          </cell>
          <cell r="G1416">
            <v>30</v>
          </cell>
          <cell r="H1416" t="str">
            <v>ALEXANDRA.RAMOS@UTALCA.CL</v>
          </cell>
          <cell r="I1416">
            <v>45458</v>
          </cell>
          <cell r="J1416">
            <v>46387</v>
          </cell>
          <cell r="K1416" t="str">
            <v>CONTRATA</v>
          </cell>
          <cell r="L1416" t="str">
            <v>PROFESIONAL</v>
          </cell>
          <cell r="M1416" t="str">
            <v>PROFESIONAL</v>
          </cell>
          <cell r="N1416" t="str">
            <v>GRADO I.17</v>
          </cell>
          <cell r="O1416" t="str">
            <v>TÍTULO PROFESIONAL</v>
          </cell>
          <cell r="P1416" t="str">
            <v>PSICOLOGO</v>
          </cell>
          <cell r="Q1416" t="str">
            <v>TALCA</v>
          </cell>
          <cell r="R1416" t="str">
            <v>VIC. GESTIÓN ECONÓMICA Y ADMINISTRACIÓN</v>
          </cell>
          <cell r="S1416" t="str">
            <v>DEPARTAMENTO DE DESARROLLO DE PERSONAS</v>
          </cell>
        </row>
        <row r="1417">
          <cell r="A1417">
            <v>20070481</v>
          </cell>
          <cell r="B1417" t="str">
            <v>20070481</v>
          </cell>
          <cell r="C1417" t="str">
            <v>9</v>
          </cell>
          <cell r="D1417" t="str">
            <v>FALCON GARRIDO YASNA KYARA</v>
          </cell>
          <cell r="E1417" t="str">
            <v>VGE400054</v>
          </cell>
          <cell r="F1417">
            <v>44</v>
          </cell>
          <cell r="G1417">
            <v>30</v>
          </cell>
          <cell r="H1417" t="str">
            <v>YASNA.FALCON@UTALCA.CL</v>
          </cell>
          <cell r="I1417">
            <v>45839</v>
          </cell>
          <cell r="J1417">
            <v>46387</v>
          </cell>
          <cell r="K1417" t="str">
            <v>CONTRATA</v>
          </cell>
          <cell r="L1417" t="str">
            <v>TÉCNICO</v>
          </cell>
          <cell r="M1417" t="str">
            <v>TÉCNICO</v>
          </cell>
          <cell r="N1417" t="str">
            <v>GRADO I.23</v>
          </cell>
          <cell r="O1417" t="str">
            <v>TÉC. NIVEL SUPERIOR</v>
          </cell>
          <cell r="P1417" t="str">
            <v>TECNICO DE NIVEL SUPERIOR ANALISTA PROGRAMADO</v>
          </cell>
          <cell r="Q1417" t="str">
            <v>TALCA</v>
          </cell>
          <cell r="R1417" t="str">
            <v>VIC. GESTIÓN ECONÓMICA Y ADMINISTRACIÓN</v>
          </cell>
          <cell r="S1417" t="str">
            <v>DEPARTAMENTO DE SERVICIOS  Y PROCESOS TI</v>
          </cell>
        </row>
        <row r="1418">
          <cell r="A1418">
            <v>20070533</v>
          </cell>
          <cell r="B1418" t="str">
            <v>20070533</v>
          </cell>
          <cell r="C1418" t="str">
            <v>5</v>
          </cell>
          <cell r="D1418" t="str">
            <v>ENCINA VALENZUELA NICOLAS ALEJ</v>
          </cell>
          <cell r="E1418" t="str">
            <v>FOD350001</v>
          </cell>
          <cell r="F1418">
            <v>44</v>
          </cell>
          <cell r="G1418">
            <v>30</v>
          </cell>
          <cell r="H1418" t="str">
            <v>NICOLAS.ENCINA@UTALCA.CL</v>
          </cell>
          <cell r="I1418">
            <v>45397</v>
          </cell>
          <cell r="J1418">
            <v>46387</v>
          </cell>
          <cell r="K1418" t="str">
            <v>CONTRATA</v>
          </cell>
          <cell r="L1418" t="str">
            <v>TÉCNICO</v>
          </cell>
          <cell r="M1418" t="str">
            <v>TÉCNICO</v>
          </cell>
          <cell r="N1418" t="str">
            <v>GRADO I.23</v>
          </cell>
          <cell r="O1418" t="str">
            <v>TÉC. NIVEL SUPERIOR</v>
          </cell>
          <cell r="P1418" t="str">
            <v>LABORATORISTA DENTAL</v>
          </cell>
          <cell r="Q1418" t="str">
            <v>TALCA</v>
          </cell>
          <cell r="R1418" t="str">
            <v>FACULTAD DE ODONTOLOGÍA</v>
          </cell>
          <cell r="S1418" t="str">
            <v>CLÍNICAS ODONTOLÓGICAS</v>
          </cell>
        </row>
        <row r="1419">
          <cell r="A1419">
            <v>20104716</v>
          </cell>
          <cell r="B1419" t="str">
            <v>20104716</v>
          </cell>
          <cell r="C1419" t="str">
            <v>1</v>
          </cell>
          <cell r="D1419" t="str">
            <v>CERDA PEREZ LEANDRO ALBERTO</v>
          </cell>
          <cell r="E1419" t="str">
            <v>FPS200001</v>
          </cell>
          <cell r="F1419">
            <v>44</v>
          </cell>
          <cell r="G1419">
            <v>30</v>
          </cell>
          <cell r="H1419" t="str">
            <v>TO.LEANDROCERDA@GMAIL.COM</v>
          </cell>
          <cell r="I1419">
            <v>45931</v>
          </cell>
          <cell r="J1419">
            <v>46387</v>
          </cell>
          <cell r="K1419" t="str">
            <v>CONTRATA</v>
          </cell>
          <cell r="L1419" t="str">
            <v>C ESPECIALES</v>
          </cell>
          <cell r="M1419" t="str">
            <v>TUTOR(A) PRÁCTICA</v>
          </cell>
          <cell r="N1419" t="str">
            <v>SIN GRADO</v>
          </cell>
          <cell r="O1419" t="str">
            <v>TÍTULO PROFESIONAL</v>
          </cell>
          <cell r="P1419" t="str">
            <v>TERAPEUTA OCUPACIONAL</v>
          </cell>
          <cell r="Q1419" t="str">
            <v>TALCA</v>
          </cell>
          <cell r="R1419" t="str">
            <v>FACULTAD DE PSICOLOGÍA</v>
          </cell>
          <cell r="S1419" t="str">
            <v>FACULTAD DE PSICOLOGÍA</v>
          </cell>
        </row>
        <row r="1420">
          <cell r="A1420">
            <v>20169520</v>
          </cell>
          <cell r="B1420" t="str">
            <v>20169520</v>
          </cell>
          <cell r="C1420" t="str">
            <v>1</v>
          </cell>
          <cell r="D1420" t="str">
            <v>CANCINO LOYOLA CAMILA VICTORIA</v>
          </cell>
          <cell r="E1420" t="str">
            <v>FOD350001</v>
          </cell>
          <cell r="F1420">
            <v>44</v>
          </cell>
          <cell r="G1420">
            <v>30</v>
          </cell>
          <cell r="H1420" t="str">
            <v>CAMILA.CANCINO@UTALCA.CL</v>
          </cell>
          <cell r="I1420">
            <v>45519</v>
          </cell>
          <cell r="J1420">
            <v>46387</v>
          </cell>
          <cell r="K1420" t="str">
            <v>CONTRATA</v>
          </cell>
          <cell r="L1420" t="str">
            <v>TÉCNICO</v>
          </cell>
          <cell r="M1420" t="str">
            <v>TÉCNICO</v>
          </cell>
          <cell r="N1420" t="str">
            <v>GRADO I.23</v>
          </cell>
          <cell r="O1420" t="str">
            <v>TÉC. NIVEL SUPERIOR</v>
          </cell>
          <cell r="P1420" t="str">
            <v>TECNICO DE NIVEL SUPERIOR EN ODONTOLOGIA MENC</v>
          </cell>
          <cell r="Q1420" t="str">
            <v>TALCA</v>
          </cell>
          <cell r="R1420" t="str">
            <v>FACULTAD DE ODONTOLOGÍA</v>
          </cell>
          <cell r="S1420" t="str">
            <v>CLÍNICAS ODONTOLÓGICAS</v>
          </cell>
        </row>
        <row r="1421">
          <cell r="A1421">
            <v>20171014</v>
          </cell>
          <cell r="B1421" t="str">
            <v>20171014</v>
          </cell>
          <cell r="C1421" t="str">
            <v>6</v>
          </cell>
          <cell r="D1421" t="str">
            <v>VÁSQUEZ HERMOSILLA JUAN PABLO</v>
          </cell>
          <cell r="E1421" t="str">
            <v>VAC400073</v>
          </cell>
          <cell r="F1421">
            <v>44</v>
          </cell>
          <cell r="G1421">
            <v>30</v>
          </cell>
          <cell r="H1421" t="str">
            <v>JUAN.VASQUEZH@UTALCA.CL</v>
          </cell>
          <cell r="I1421">
            <v>45078</v>
          </cell>
          <cell r="J1421">
            <v>46387</v>
          </cell>
          <cell r="K1421" t="str">
            <v>CONTRATA</v>
          </cell>
          <cell r="L1421" t="str">
            <v>PROFESIONAL</v>
          </cell>
          <cell r="M1421" t="str">
            <v>PROFESIONAL</v>
          </cell>
          <cell r="N1421" t="str">
            <v>GRADO I.17</v>
          </cell>
          <cell r="O1421" t="str">
            <v>TÍTULO PROFESIONAL</v>
          </cell>
          <cell r="P1421" t="str">
            <v>ADMINISTRADOR PUBLICO</v>
          </cell>
          <cell r="Q1421" t="str">
            <v>TALCA</v>
          </cell>
          <cell r="R1421" t="str">
            <v>VICERRECTORÍA ACADÉMICA</v>
          </cell>
          <cell r="S1421" t="str">
            <v>DIRECCIÓN DE INVESTIGACIÓN</v>
          </cell>
        </row>
        <row r="1422">
          <cell r="A1422">
            <v>20171055</v>
          </cell>
          <cell r="B1422" t="str">
            <v>20171055</v>
          </cell>
          <cell r="C1422" t="str">
            <v>3</v>
          </cell>
          <cell r="D1422" t="str">
            <v>ROJAS PEREZ LISBET ALEXANDRA</v>
          </cell>
          <cell r="E1422" t="str">
            <v>VGE400003</v>
          </cell>
          <cell r="F1422">
            <v>44</v>
          </cell>
          <cell r="G1422">
            <v>30</v>
          </cell>
          <cell r="H1422" t="str">
            <v>LROJASP@UTALCA.CL</v>
          </cell>
          <cell r="I1422">
            <v>43466</v>
          </cell>
          <cell r="J1422">
            <v>46387</v>
          </cell>
          <cell r="K1422" t="str">
            <v>CONTRATA</v>
          </cell>
          <cell r="L1422" t="str">
            <v>ADMINISTRATIVO</v>
          </cell>
          <cell r="M1422" t="str">
            <v>ADMINISTRATIVO</v>
          </cell>
          <cell r="N1422" t="str">
            <v>GRADO I.21</v>
          </cell>
          <cell r="O1422" t="str">
            <v>TÉC. NIVEL MEDIO</v>
          </cell>
          <cell r="P1422" t="str">
            <v>TECNICO DE NIVEL MEDIO EN ADMINISTRACION / RE</v>
          </cell>
          <cell r="Q1422" t="str">
            <v>TALCA</v>
          </cell>
          <cell r="R1422" t="str">
            <v>VIC. GESTIÓN ECONÓMICA Y ADMINISTRACIÓN</v>
          </cell>
          <cell r="S1422" t="str">
            <v>DEPARTAMENTO DE GESTIÓN DE PERSONAS</v>
          </cell>
        </row>
        <row r="1423">
          <cell r="A1423">
            <v>20202043</v>
          </cell>
          <cell r="B1423" t="str">
            <v>20202043</v>
          </cell>
          <cell r="C1423" t="str">
            <v>7</v>
          </cell>
          <cell r="D1423" t="str">
            <v>GONZALEZ MADRID JAIME IGNACIO</v>
          </cell>
          <cell r="E1423" t="str">
            <v>VGE400054</v>
          </cell>
          <cell r="F1423">
            <v>44</v>
          </cell>
          <cell r="G1423">
            <v>30</v>
          </cell>
          <cell r="H1423" t="str">
            <v>JAIME.GONZALEZM@UTALCA.CL</v>
          </cell>
          <cell r="I1423">
            <v>45880</v>
          </cell>
          <cell r="J1423">
            <v>46387</v>
          </cell>
          <cell r="K1423" t="str">
            <v>CONTRATA</v>
          </cell>
          <cell r="L1423" t="str">
            <v>TÉCNICO</v>
          </cell>
          <cell r="M1423" t="str">
            <v>TÉCNICO</v>
          </cell>
          <cell r="N1423" t="str">
            <v>GRADO I.23</v>
          </cell>
          <cell r="O1423" t="str">
            <v>TÉC. NIVEL SUPERIOR</v>
          </cell>
          <cell r="P1423" t="str">
            <v>TÉCNICO DE NIVEL SUPERIOR ANALISTA PROGRAMADO</v>
          </cell>
          <cell r="Q1423" t="str">
            <v>CURICO</v>
          </cell>
          <cell r="R1423" t="str">
            <v>VIC. GESTIÓN ECONÓMICA Y ADMINISTRACIÓN</v>
          </cell>
          <cell r="S1423" t="str">
            <v>DEPARTAMENTO DE SERVICIOS  Y PROCESOS TI</v>
          </cell>
        </row>
        <row r="1424">
          <cell r="A1424">
            <v>20206295</v>
          </cell>
          <cell r="B1424" t="str">
            <v>20206295</v>
          </cell>
          <cell r="C1424" t="str">
            <v>4</v>
          </cell>
          <cell r="D1424" t="str">
            <v>HURTADO MORALES MARCELO ANDRES</v>
          </cell>
          <cell r="E1424" t="str">
            <v>ADC030110</v>
          </cell>
          <cell r="F1424">
            <v>44</v>
          </cell>
          <cell r="G1424">
            <v>30</v>
          </cell>
          <cell r="H1424" t="str">
            <v>MARCELO.HURTADO@UTALCA.CL</v>
          </cell>
          <cell r="I1424">
            <v>45383</v>
          </cell>
          <cell r="J1424">
            <v>46387</v>
          </cell>
          <cell r="K1424" t="str">
            <v>CONTRATA</v>
          </cell>
          <cell r="L1424" t="str">
            <v>PROFESIONAL</v>
          </cell>
          <cell r="M1424" t="str">
            <v>PROFESIONAL</v>
          </cell>
          <cell r="N1424" t="str">
            <v>GRADO I.17</v>
          </cell>
          <cell r="O1424" t="str">
            <v>TÍTULO PROFESIONAL</v>
          </cell>
          <cell r="P1424" t="str">
            <v>INGENIERO EN INFORMATICA EMPRESARIAL</v>
          </cell>
          <cell r="Q1424" t="str">
            <v>TALCA</v>
          </cell>
          <cell r="R1424" t="str">
            <v>DIRECCIÓN DE ASEGURAMIENTO DE LA CALIDAD</v>
          </cell>
          <cell r="S1424" t="str">
            <v>DPTO. PLANIFICACIÓN Y PROYECTOS ESTRATÉ.</v>
          </cell>
        </row>
        <row r="1425">
          <cell r="A1425">
            <v>20230780</v>
          </cell>
          <cell r="B1425" t="str">
            <v>20230780</v>
          </cell>
          <cell r="C1425" t="str">
            <v>9</v>
          </cell>
          <cell r="D1425" t="str">
            <v>ZURA QUEZADA IGNACIO ANTONIO</v>
          </cell>
          <cell r="E1425" t="str">
            <v/>
          </cell>
          <cell r="F1425">
            <v>44</v>
          </cell>
          <cell r="G1425">
            <v>30</v>
          </cell>
          <cell r="H1425" t="str">
            <v/>
          </cell>
          <cell r="I1425">
            <v>46082</v>
          </cell>
          <cell r="J1425">
            <v>46387</v>
          </cell>
          <cell r="K1425" t="str">
            <v>CONTRATA</v>
          </cell>
          <cell r="L1425" t="str">
            <v>PROFESIONAL</v>
          </cell>
          <cell r="M1425" t="str">
            <v>PROFESIONAL</v>
          </cell>
          <cell r="N1425" t="str">
            <v>GRADO I.17</v>
          </cell>
          <cell r="O1425" t="str">
            <v>TÍTULO PROFESIONAL</v>
          </cell>
          <cell r="P1425" t="str">
            <v>INGENIERO EN INFORMÁTICA EMPRESARIAL</v>
          </cell>
          <cell r="Q1425" t="str">
            <v>TALCA</v>
          </cell>
          <cell r="R1425" t="str">
            <v>DIRECCIÓN DE ASEGURAMIENTO DE LA CALIDAD</v>
          </cell>
          <cell r="S1425" t="str">
            <v>DPTO. PLANIFICACIÓN Y PROYECTOS ESTRATÉ.</v>
          </cell>
        </row>
        <row r="1426">
          <cell r="A1426">
            <v>20269312</v>
          </cell>
          <cell r="B1426" t="str">
            <v>20269312</v>
          </cell>
          <cell r="C1426" t="str">
            <v>1</v>
          </cell>
          <cell r="D1426" t="str">
            <v>FIERRO VALENZUELA CAROLINA AND</v>
          </cell>
          <cell r="E1426" t="str">
            <v>VGE400003</v>
          </cell>
          <cell r="F1426">
            <v>44</v>
          </cell>
          <cell r="G1426">
            <v>30</v>
          </cell>
          <cell r="H1426" t="str">
            <v>CAROLINA.FIERRO@UTALCA.CL</v>
          </cell>
          <cell r="I1426">
            <v>45047</v>
          </cell>
          <cell r="J1426">
            <v>46387</v>
          </cell>
          <cell r="K1426" t="str">
            <v>CONTRATA</v>
          </cell>
          <cell r="L1426" t="str">
            <v>PROFESIONAL</v>
          </cell>
          <cell r="M1426" t="str">
            <v>PROFESIONAL</v>
          </cell>
          <cell r="N1426" t="str">
            <v>GRADO I.17</v>
          </cell>
          <cell r="O1426" t="str">
            <v>TÍTULO PROFESIONAL</v>
          </cell>
          <cell r="P1426" t="str">
            <v>ADMINISTRADORA PÚBLICA</v>
          </cell>
          <cell r="Q1426" t="str">
            <v>TALCA</v>
          </cell>
          <cell r="R1426" t="str">
            <v>VIC. GESTIÓN ECONÓMICA Y ADMINISTRACIÓN</v>
          </cell>
          <cell r="S1426" t="str">
            <v>UNIDAD DE REMUNERACIONES</v>
          </cell>
        </row>
        <row r="1427">
          <cell r="A1427">
            <v>20307287</v>
          </cell>
          <cell r="B1427" t="str">
            <v>20307287</v>
          </cell>
          <cell r="C1427" t="str">
            <v>2</v>
          </cell>
          <cell r="D1427" t="str">
            <v>CASTRO MIRANDA IAN LUCIANO</v>
          </cell>
          <cell r="E1427" t="str">
            <v>ADC017001</v>
          </cell>
          <cell r="F1427">
            <v>44</v>
          </cell>
          <cell r="G1427">
            <v>30</v>
          </cell>
          <cell r="H1427" t="str">
            <v/>
          </cell>
          <cell r="I1427">
            <v>45839</v>
          </cell>
          <cell r="J1427">
            <v>46387</v>
          </cell>
          <cell r="K1427" t="str">
            <v>CONTRATA</v>
          </cell>
          <cell r="L1427" t="str">
            <v>PROFESIONAL</v>
          </cell>
          <cell r="M1427" t="str">
            <v>PROFESIONAL</v>
          </cell>
          <cell r="N1427" t="str">
            <v>GRADO I.17</v>
          </cell>
          <cell r="O1427" t="str">
            <v>TÍTULO PROFESIONAL</v>
          </cell>
          <cell r="P1427" t="str">
            <v>ADMINISTRADOR PÚBLICO</v>
          </cell>
          <cell r="Q1427" t="str">
            <v>TALCA</v>
          </cell>
          <cell r="R1427" t="str">
            <v>FISCALÍA UNIVERSITARIA</v>
          </cell>
          <cell r="S1427" t="str">
            <v>FISCALÍA UNIVERSITARIA</v>
          </cell>
        </row>
        <row r="1428">
          <cell r="A1428">
            <v>20307304</v>
          </cell>
          <cell r="B1428" t="str">
            <v>20307304</v>
          </cell>
          <cell r="C1428" t="str">
            <v>6</v>
          </cell>
          <cell r="D1428" t="str">
            <v>CHAVEZ ROJAS PEDRO PABLO</v>
          </cell>
          <cell r="E1428" t="str">
            <v>VGE400054</v>
          </cell>
          <cell r="F1428">
            <v>44</v>
          </cell>
          <cell r="G1428">
            <v>30</v>
          </cell>
          <cell r="H1428" t="str">
            <v>PEDRO.CHAVEZ@UTALCA.CL</v>
          </cell>
          <cell r="I1428">
            <v>45383</v>
          </cell>
          <cell r="J1428">
            <v>46387</v>
          </cell>
          <cell r="K1428" t="str">
            <v>CONTRATA</v>
          </cell>
          <cell r="L1428" t="str">
            <v>PROFESIONAL</v>
          </cell>
          <cell r="M1428" t="str">
            <v>PROFESIONAL</v>
          </cell>
          <cell r="N1428" t="str">
            <v>GRADO I.17</v>
          </cell>
          <cell r="O1428" t="str">
            <v>TÍTULO PROFESIONAL</v>
          </cell>
          <cell r="P1428" t="str">
            <v>INGENIERO CIVIL INDUSTRIAL</v>
          </cell>
          <cell r="Q1428" t="str">
            <v>TALCA</v>
          </cell>
          <cell r="R1428" t="str">
            <v>VIC. GESTIÓN ECONÓMICA Y ADMINISTRACIÓN</v>
          </cell>
          <cell r="S1428" t="str">
            <v>DEPARTAMENTO DE SERVICIOS  Y PROCESOS TI</v>
          </cell>
        </row>
        <row r="1429">
          <cell r="A1429">
            <v>20349209</v>
          </cell>
          <cell r="B1429" t="str">
            <v>20349209</v>
          </cell>
          <cell r="C1429" t="str">
            <v>K</v>
          </cell>
          <cell r="D1429" t="str">
            <v>BUSTAMANTE RODRIGUEZ FRANCO GA</v>
          </cell>
          <cell r="E1429" t="str">
            <v>VGE400031</v>
          </cell>
          <cell r="F1429">
            <v>44</v>
          </cell>
          <cell r="G1429">
            <v>30</v>
          </cell>
          <cell r="H1429" t="str">
            <v>FRANCO.BUSTAMANTE@UTALCA.CL</v>
          </cell>
          <cell r="I1429">
            <v>45627</v>
          </cell>
          <cell r="J1429">
            <v>46387</v>
          </cell>
          <cell r="K1429" t="str">
            <v>CONTRATA</v>
          </cell>
          <cell r="L1429" t="str">
            <v>PROFESIONAL</v>
          </cell>
          <cell r="M1429" t="str">
            <v>PROFESIONAL</v>
          </cell>
          <cell r="N1429" t="str">
            <v>GRADO I.17</v>
          </cell>
          <cell r="O1429" t="str">
            <v>TÍTULO PROFESIONAL</v>
          </cell>
          <cell r="P1429" t="str">
            <v>CONTADOR PÚBLICO Y AUDITOR.</v>
          </cell>
          <cell r="Q1429" t="str">
            <v>TALCA</v>
          </cell>
          <cell r="R1429" t="str">
            <v>VIC. GESTIÓN ECONÓMICA Y ADMINISTRACIÓN</v>
          </cell>
          <cell r="S1429" t="str">
            <v>DPTO. DE APOYO FINANCIERO AL ESTUDIANTE</v>
          </cell>
        </row>
        <row r="1430">
          <cell r="A1430">
            <v>20350222</v>
          </cell>
          <cell r="B1430" t="str">
            <v>20350222</v>
          </cell>
          <cell r="C1430" t="str">
            <v>2</v>
          </cell>
          <cell r="D1430" t="str">
            <v>ARAVENA MOLINA MATÍAS ADOLFO</v>
          </cell>
          <cell r="E1430" t="str">
            <v>VGE400003</v>
          </cell>
          <cell r="F1430">
            <v>44</v>
          </cell>
          <cell r="G1430">
            <v>30</v>
          </cell>
          <cell r="H1430" t="str">
            <v/>
          </cell>
          <cell r="I1430">
            <v>45839</v>
          </cell>
          <cell r="J1430">
            <v>46387</v>
          </cell>
          <cell r="K1430" t="str">
            <v>CONTRATA</v>
          </cell>
          <cell r="L1430" t="str">
            <v>PROFESIONAL</v>
          </cell>
          <cell r="M1430" t="str">
            <v>PROFESIONAL</v>
          </cell>
          <cell r="N1430" t="str">
            <v>GRADO I.17</v>
          </cell>
          <cell r="O1430" t="str">
            <v>TÍTULO PROFESIONAL</v>
          </cell>
          <cell r="P1430" t="str">
            <v>CONTADOR PÚBLICO Y AUDITOR</v>
          </cell>
          <cell r="Q1430" t="str">
            <v>TALCA</v>
          </cell>
          <cell r="R1430" t="str">
            <v>VIC. GESTIÓN ECONÓMICA Y ADMINISTRACIÓN</v>
          </cell>
          <cell r="S1430" t="str">
            <v>UNIDAD DE REMUNERACIONES</v>
          </cell>
        </row>
        <row r="1431">
          <cell r="A1431">
            <v>20462673</v>
          </cell>
          <cell r="B1431" t="str">
            <v>20462673</v>
          </cell>
          <cell r="C1431" t="str">
            <v>1</v>
          </cell>
          <cell r="D1431" t="str">
            <v>PALOMINOS MAUREIRA MATIAS CRIS</v>
          </cell>
          <cell r="E1431" t="str">
            <v>FCS200001</v>
          </cell>
          <cell r="F1431">
            <v>44</v>
          </cell>
          <cell r="G1431">
            <v>30</v>
          </cell>
          <cell r="H1431" t="str">
            <v>MATIAS.PALOMINOS@UTALCA.CL</v>
          </cell>
          <cell r="I1431">
            <v>45474</v>
          </cell>
          <cell r="J1431">
            <v>46387</v>
          </cell>
          <cell r="K1431" t="str">
            <v>CONTRATA</v>
          </cell>
          <cell r="L1431" t="str">
            <v>C ESPECIALES</v>
          </cell>
          <cell r="M1431" t="str">
            <v>TUTOR(A) PRÁCTICA</v>
          </cell>
          <cell r="N1431" t="str">
            <v>SIN GRADO</v>
          </cell>
          <cell r="O1431" t="str">
            <v>TÍTULO PROFESIONAL</v>
          </cell>
          <cell r="P1431" t="str">
            <v>KINESIOLOGO</v>
          </cell>
          <cell r="Q1431" t="str">
            <v>TALCA</v>
          </cell>
          <cell r="R1431" t="str">
            <v>FACULTAD DE CIENCIAS DE LA SALUD</v>
          </cell>
          <cell r="S1431" t="str">
            <v>FACULTAD DE CIENCIAS DE LA SALUD</v>
          </cell>
        </row>
        <row r="1432">
          <cell r="A1432">
            <v>20463044</v>
          </cell>
          <cell r="B1432" t="str">
            <v>20463044</v>
          </cell>
          <cell r="C1432" t="str">
            <v>5</v>
          </cell>
          <cell r="D1432" t="str">
            <v>MATURANA VENEGAS KRISHNA ARACE</v>
          </cell>
          <cell r="E1432" t="str">
            <v>VGE400008</v>
          </cell>
          <cell r="F1432">
            <v>44</v>
          </cell>
          <cell r="G1432">
            <v>30</v>
          </cell>
          <cell r="H1432" t="str">
            <v/>
          </cell>
          <cell r="I1432">
            <v>45839</v>
          </cell>
          <cell r="J1432">
            <v>46387</v>
          </cell>
          <cell r="K1432" t="str">
            <v>CONTRATA</v>
          </cell>
          <cell r="L1432" t="str">
            <v>PROFESIONAL</v>
          </cell>
          <cell r="M1432" t="str">
            <v>PROFESIONAL</v>
          </cell>
          <cell r="N1432" t="str">
            <v>GRADO I.17</v>
          </cell>
          <cell r="O1432" t="str">
            <v>TÍTULO PROFESIONAL</v>
          </cell>
          <cell r="P1432" t="str">
            <v>PSICOLOGA</v>
          </cell>
          <cell r="Q1432" t="str">
            <v>TALCA</v>
          </cell>
          <cell r="R1432" t="str">
            <v>VIC. GESTIÓN ECONÓMICA Y ADMINISTRACIÓN</v>
          </cell>
          <cell r="S1432" t="str">
            <v>DEPARTAMENTO DE DESARROLLO DE PERSONAS</v>
          </cell>
        </row>
        <row r="1433">
          <cell r="A1433">
            <v>20481910</v>
          </cell>
          <cell r="B1433" t="str">
            <v>20481910</v>
          </cell>
          <cell r="C1433" t="str">
            <v>6</v>
          </cell>
          <cell r="D1433" t="str">
            <v>DIAZ MERCADO JOAQUIN IGNACIO</v>
          </cell>
          <cell r="E1433" t="str">
            <v>ADC022001</v>
          </cell>
          <cell r="F1433">
            <v>44</v>
          </cell>
          <cell r="G1433">
            <v>30</v>
          </cell>
          <cell r="H1433" t="str">
            <v/>
          </cell>
          <cell r="I1433">
            <v>45778</v>
          </cell>
          <cell r="J1433">
            <v>46387</v>
          </cell>
          <cell r="K1433" t="str">
            <v>CONTRATA</v>
          </cell>
          <cell r="L1433" t="str">
            <v>TÉCNICO</v>
          </cell>
          <cell r="M1433" t="str">
            <v>TÉCNICO</v>
          </cell>
          <cell r="N1433" t="str">
            <v>GRADO I.23</v>
          </cell>
          <cell r="O1433" t="str">
            <v>TÍTULO PROFESIONAL</v>
          </cell>
          <cell r="P1433" t="str">
            <v>TÉCNICO EN SONIDO</v>
          </cell>
          <cell r="Q1433" t="str">
            <v>TALCA</v>
          </cell>
          <cell r="R1433" t="str">
            <v>DIRECCIÓN DE EXTENSIÓN</v>
          </cell>
          <cell r="S1433" t="str">
            <v>DIRECCIÓN DE EXTENSIÓN</v>
          </cell>
        </row>
        <row r="1434">
          <cell r="A1434">
            <v>20519144</v>
          </cell>
          <cell r="B1434" t="str">
            <v>20519144</v>
          </cell>
          <cell r="C1434" t="str">
            <v>5</v>
          </cell>
          <cell r="D1434" t="str">
            <v>LOPEZ VERGARA FELIPE IGNACIO</v>
          </cell>
          <cell r="E1434" t="str">
            <v>FCI310002</v>
          </cell>
          <cell r="F1434">
            <v>44</v>
          </cell>
          <cell r="G1434">
            <v>30</v>
          </cell>
          <cell r="H1434" t="str">
            <v>FELIPE.LOPEZ@UTALCA.CL</v>
          </cell>
          <cell r="I1434">
            <v>45809</v>
          </cell>
          <cell r="J1434">
            <v>46387</v>
          </cell>
          <cell r="K1434" t="str">
            <v>CONTRATA</v>
          </cell>
          <cell r="L1434" t="str">
            <v>PROFESIONAL</v>
          </cell>
          <cell r="M1434" t="str">
            <v>PROFESIONAL</v>
          </cell>
          <cell r="N1434" t="str">
            <v>GRADO I.17</v>
          </cell>
          <cell r="O1434" t="str">
            <v>TÍTULO PROFESIONAL</v>
          </cell>
          <cell r="P1434" t="str">
            <v>INGENIERO CIVIL INFORMATICO</v>
          </cell>
          <cell r="Q1434" t="str">
            <v>CURICO</v>
          </cell>
          <cell r="R1434" t="str">
            <v>FACULTAD DE INGENIERÍA</v>
          </cell>
          <cell r="S1434" t="str">
            <v>ESC. DE INGENIERÍA CIVIL EN COMPUTACIÓN</v>
          </cell>
        </row>
        <row r="1435">
          <cell r="A1435">
            <v>20683095</v>
          </cell>
          <cell r="B1435" t="str">
            <v>20683095</v>
          </cell>
          <cell r="C1435" t="str">
            <v>6</v>
          </cell>
          <cell r="D1435" t="str">
            <v>CONTALBA GOMEZ KATHERINA IVON</v>
          </cell>
          <cell r="E1435" t="str">
            <v>VGE400005</v>
          </cell>
          <cell r="F1435">
            <v>44</v>
          </cell>
          <cell r="G1435">
            <v>30</v>
          </cell>
          <cell r="H1435" t="str">
            <v>KCONTALBA@UTALCA.CL</v>
          </cell>
          <cell r="I1435">
            <v>41355</v>
          </cell>
          <cell r="J1435">
            <v>46387</v>
          </cell>
          <cell r="K1435" t="str">
            <v>CONTRATA</v>
          </cell>
          <cell r="L1435" t="str">
            <v>ADMINISTRATIVO</v>
          </cell>
          <cell r="M1435" t="str">
            <v>ADMINISTRATIVO</v>
          </cell>
          <cell r="N1435" t="str">
            <v>GRADO I.21</v>
          </cell>
          <cell r="O1435" t="str">
            <v>TÍTULO PROFESIONAL</v>
          </cell>
          <cell r="P1435" t="str">
            <v>INGENIERO EN ADMINISTRACION DE EMPRESAS</v>
          </cell>
          <cell r="Q1435" t="str">
            <v>TALCA</v>
          </cell>
          <cell r="R1435" t="str">
            <v>VIC. GESTIÓN ECONÓMICA Y ADMINISTRACIÓN</v>
          </cell>
          <cell r="S1435" t="str">
            <v>DEPARTAMENTO DE GESTIÓN DE COMPRAS</v>
          </cell>
        </row>
        <row r="1436">
          <cell r="A1436">
            <v>20729651</v>
          </cell>
          <cell r="B1436" t="str">
            <v>20729651</v>
          </cell>
          <cell r="C1436" t="str">
            <v>1</v>
          </cell>
          <cell r="D1436" t="str">
            <v>MONTECINOS LARA JOSÍAS NATANAE</v>
          </cell>
          <cell r="E1436" t="str">
            <v>ADC030113</v>
          </cell>
          <cell r="F1436">
            <v>44</v>
          </cell>
          <cell r="G1436">
            <v>30</v>
          </cell>
          <cell r="H1436" t="str">
            <v/>
          </cell>
          <cell r="I1436">
            <v>46082</v>
          </cell>
          <cell r="J1436">
            <v>46387</v>
          </cell>
          <cell r="K1436" t="str">
            <v>CONTRATA</v>
          </cell>
          <cell r="L1436" t="str">
            <v>PROFESIONAL</v>
          </cell>
          <cell r="M1436" t="str">
            <v>PROFESIONAL</v>
          </cell>
          <cell r="N1436" t="str">
            <v>GRADO I.17</v>
          </cell>
          <cell r="O1436" t="str">
            <v>TÍTULO PROFESIONAL</v>
          </cell>
          <cell r="P1436" t="str">
            <v>CONTADOR PÚBLICO Y AUDITOR</v>
          </cell>
          <cell r="Q1436" t="str">
            <v>TALCA</v>
          </cell>
          <cell r="R1436" t="str">
            <v>DIRECCIÓN DE ASEGURAMIENTO DE LA CALIDAD</v>
          </cell>
          <cell r="S1436" t="str">
            <v>DPTO. PLANIFICACIÓN Y PROYECTOS ESTRATÉ.</v>
          </cell>
        </row>
        <row r="1437">
          <cell r="A1437">
            <v>20744516</v>
          </cell>
          <cell r="B1437" t="str">
            <v>20744516</v>
          </cell>
          <cell r="C1437" t="str">
            <v>9</v>
          </cell>
          <cell r="D1437" t="str">
            <v>ESPINOZA ZAMBRANO PAULETTE ELI</v>
          </cell>
          <cell r="E1437" t="str">
            <v>VAC400074</v>
          </cell>
          <cell r="F1437">
            <v>44</v>
          </cell>
          <cell r="G1437">
            <v>30</v>
          </cell>
          <cell r="H1437" t="str">
            <v>PAULETTE.ESPINOZA@UTALCA.CL</v>
          </cell>
          <cell r="I1437">
            <v>45536</v>
          </cell>
          <cell r="J1437">
            <v>46387</v>
          </cell>
          <cell r="K1437" t="str">
            <v>CONTRATA</v>
          </cell>
          <cell r="L1437" t="str">
            <v>PROFESIONAL</v>
          </cell>
          <cell r="M1437" t="str">
            <v>PROFESIONAL</v>
          </cell>
          <cell r="N1437" t="str">
            <v>GRADO I.17</v>
          </cell>
          <cell r="O1437" t="str">
            <v>TÍTULO PROFESIONAL</v>
          </cell>
          <cell r="P1437" t="str">
            <v>INGENIERA EN CONTROL DE GESTIÓN</v>
          </cell>
          <cell r="Q1437" t="str">
            <v>TALCA</v>
          </cell>
          <cell r="R1437" t="str">
            <v>VICERRECTORÍA ACADÉMICA</v>
          </cell>
          <cell r="S1437" t="str">
            <v>DIRECCIÓN DE INVESTIGACIÓN</v>
          </cell>
        </row>
        <row r="1438">
          <cell r="A1438">
            <v>20802495</v>
          </cell>
          <cell r="B1438" t="str">
            <v>20802495</v>
          </cell>
          <cell r="C1438" t="str">
            <v>7</v>
          </cell>
          <cell r="D1438" t="str">
            <v>CASTRO AGUILERA FRANCISCO NICO</v>
          </cell>
          <cell r="E1438" t="str">
            <v>VGE400054</v>
          </cell>
          <cell r="F1438">
            <v>44</v>
          </cell>
          <cell r="G1438">
            <v>30</v>
          </cell>
          <cell r="H1438" t="str">
            <v>FRANCISCO.CASTRO@UTALCA.CL</v>
          </cell>
          <cell r="I1438">
            <v>45778</v>
          </cell>
          <cell r="J1438">
            <v>46387</v>
          </cell>
          <cell r="K1438" t="str">
            <v>CONTRATA</v>
          </cell>
          <cell r="L1438" t="str">
            <v>TÉCNICO</v>
          </cell>
          <cell r="M1438" t="str">
            <v>TÉCNICO</v>
          </cell>
          <cell r="N1438" t="str">
            <v>GRADO I.23</v>
          </cell>
          <cell r="O1438" t="str">
            <v>TÉC. NIVEL SUPERIOR</v>
          </cell>
          <cell r="P1438" t="str">
            <v>TECNICO DE NIVEL SUPERIOR ANALISTA PROGRAMADO</v>
          </cell>
          <cell r="Q1438" t="str">
            <v>TALCA</v>
          </cell>
          <cell r="R1438" t="str">
            <v>VIC. GESTIÓN ECONÓMICA Y ADMINISTRACIÓN</v>
          </cell>
          <cell r="S1438" t="str">
            <v>DEPARTAMENTO DE SERVICIOS  Y PROCESOS TI</v>
          </cell>
        </row>
        <row r="1439">
          <cell r="A1439">
            <v>21103803</v>
          </cell>
          <cell r="B1439" t="str">
            <v>21103803</v>
          </cell>
          <cell r="C1439" t="str">
            <v>9</v>
          </cell>
          <cell r="D1439" t="str">
            <v>ACEVEDO CORTES JESICA VALERIA</v>
          </cell>
          <cell r="E1439" t="str">
            <v>ADC040001</v>
          </cell>
          <cell r="F1439">
            <v>22</v>
          </cell>
          <cell r="G1439">
            <v>30</v>
          </cell>
          <cell r="H1439" t="str">
            <v>JEACEVEDO@UTALCA.CL</v>
          </cell>
          <cell r="I1439">
            <v>43466</v>
          </cell>
          <cell r="J1439">
            <v>46387</v>
          </cell>
          <cell r="K1439" t="str">
            <v>CONTRATA</v>
          </cell>
          <cell r="L1439" t="str">
            <v>ADMINISTRATIVO</v>
          </cell>
          <cell r="M1439" t="str">
            <v>ADMINISTRATIVO</v>
          </cell>
          <cell r="N1439" t="str">
            <v>GRADO I.21</v>
          </cell>
          <cell r="O1439" t="str">
            <v>TÉC. NIVEL SUPERIOR</v>
          </cell>
          <cell r="P1439" t="str">
            <v>SECRETARIA EJECUTIVA MENCION MÉDICA</v>
          </cell>
          <cell r="Q1439" t="str">
            <v>COLCHAGUA</v>
          </cell>
          <cell r="R1439" t="str">
            <v>DIRECCIÓN DE SEDE SANTA CRUZ</v>
          </cell>
          <cell r="S1439" t="str">
            <v>DIRECCIÓN DE SEDE SANTA CRUZ</v>
          </cell>
        </row>
        <row r="1440">
          <cell r="A1440">
            <v>21141756</v>
          </cell>
          <cell r="B1440" t="str">
            <v>21141756</v>
          </cell>
          <cell r="C1440" t="str">
            <v>0</v>
          </cell>
          <cell r="D1440" t="str">
            <v>CABRERA GONZALEZ NURI ELENA</v>
          </cell>
          <cell r="E1440" t="str">
            <v>ICB300001</v>
          </cell>
          <cell r="F1440">
            <v>44</v>
          </cell>
          <cell r="G1440">
            <v>30</v>
          </cell>
          <cell r="H1440" t="str">
            <v>NCABRERA@UTALCA.CL</v>
          </cell>
          <cell r="I1440">
            <v>43466</v>
          </cell>
          <cell r="J1440">
            <v>46387</v>
          </cell>
          <cell r="K1440" t="str">
            <v>CONTRATA</v>
          </cell>
          <cell r="L1440" t="str">
            <v>PROFESIONAL</v>
          </cell>
          <cell r="M1440" t="str">
            <v>PROFESIONAL</v>
          </cell>
          <cell r="N1440" t="str">
            <v>GRADO I.17</v>
          </cell>
          <cell r="O1440" t="str">
            <v>LICENCIADO</v>
          </cell>
          <cell r="P1440" t="str">
            <v>LICENCIADA EN GENÉTICA</v>
          </cell>
          <cell r="Q1440" t="str">
            <v>TALCA</v>
          </cell>
          <cell r="R1440" t="str">
            <v>INSTITUTO DE CIENCIAS BIOLÓGICAS</v>
          </cell>
          <cell r="S1440" t="str">
            <v>INSTITUTO DE CIENCIAS BIOLÓGICAS</v>
          </cell>
        </row>
        <row r="1441">
          <cell r="A1441">
            <v>21163252</v>
          </cell>
          <cell r="B1441" t="str">
            <v>21163252</v>
          </cell>
          <cell r="C1441" t="str">
            <v>6</v>
          </cell>
          <cell r="D1441" t="str">
            <v>PIPER BUSICO FRIDA INGRID</v>
          </cell>
          <cell r="E1441" t="str">
            <v>ICB300001</v>
          </cell>
          <cell r="F1441">
            <v>44</v>
          </cell>
          <cell r="G1441">
            <v>30</v>
          </cell>
          <cell r="H1441" t="str">
            <v>FRIDA.PIPER@UTALCA.CL</v>
          </cell>
          <cell r="I1441">
            <v>44317</v>
          </cell>
          <cell r="J1441">
            <v>2958465</v>
          </cell>
          <cell r="K1441" t="str">
            <v>PLANTA</v>
          </cell>
          <cell r="L1441" t="str">
            <v>CA ORDINARIA</v>
          </cell>
          <cell r="M1441" t="str">
            <v>PROFESOR ASOCIADO</v>
          </cell>
          <cell r="N1441" t="str">
            <v>GRADO B</v>
          </cell>
          <cell r="O1441" t="str">
            <v>DOCTORADO</v>
          </cell>
          <cell r="P1441" t="str">
            <v>DOCTORA EN CIENCIAS BIOLÓGICAS</v>
          </cell>
          <cell r="Q1441" t="str">
            <v>TALCA</v>
          </cell>
          <cell r="R1441" t="str">
            <v>INSTITUTO DE CIENCIAS BIOLÓGICAS</v>
          </cell>
          <cell r="S1441" t="str">
            <v>INSTITUTO DE CIENCIAS BIOLÓGICAS</v>
          </cell>
        </row>
        <row r="1442">
          <cell r="A1442">
            <v>21222255</v>
          </cell>
          <cell r="B1442" t="str">
            <v>21222255</v>
          </cell>
          <cell r="C1442" t="str">
            <v>0</v>
          </cell>
          <cell r="D1442" t="str">
            <v>BRAVO SALINAS FELIPE ARIEL</v>
          </cell>
          <cell r="E1442" t="str">
            <v>VGE400054</v>
          </cell>
          <cell r="F1442">
            <v>44</v>
          </cell>
          <cell r="G1442">
            <v>30</v>
          </cell>
          <cell r="H1442" t="str">
            <v>FELIPE.BRAVOSALINAS@UTALCA.CL</v>
          </cell>
          <cell r="I1442">
            <v>45748</v>
          </cell>
          <cell r="J1442">
            <v>46387</v>
          </cell>
          <cell r="K1442" t="str">
            <v>CONTRATA</v>
          </cell>
          <cell r="L1442" t="str">
            <v>TÉCNICO</v>
          </cell>
          <cell r="M1442" t="str">
            <v>TÉCNICO</v>
          </cell>
          <cell r="N1442" t="str">
            <v>GRADO I.23</v>
          </cell>
          <cell r="O1442" t="str">
            <v>TÉC. NIVEL SUPERIOR</v>
          </cell>
          <cell r="P1442" t="str">
            <v>TECNICO DE NIVEL SUPERIOR EN CONECTIVIDAD Y R</v>
          </cell>
          <cell r="Q1442" t="str">
            <v>CURICO</v>
          </cell>
          <cell r="R1442" t="str">
            <v>VIC. GESTIÓN ECONÓMICA Y ADMINISTRACIÓN</v>
          </cell>
          <cell r="S1442" t="str">
            <v>DEPARTAMENTO DE SERVICIOS  Y PROCESOS TI</v>
          </cell>
        </row>
        <row r="1443">
          <cell r="A1443">
            <v>21280946</v>
          </cell>
          <cell r="B1443" t="str">
            <v>21280946</v>
          </cell>
          <cell r="C1443" t="str">
            <v>2</v>
          </cell>
          <cell r="D1443" t="str">
            <v>MELERO LEAL FERMIN MANUEL</v>
          </cell>
          <cell r="E1443" t="str">
            <v>VRF400009</v>
          </cell>
          <cell r="F1443">
            <v>44</v>
          </cell>
          <cell r="G1443">
            <v>30</v>
          </cell>
          <cell r="H1443" t="str">
            <v>FMELERO@UTALCA.CL</v>
          </cell>
          <cell r="I1443">
            <v>43525</v>
          </cell>
          <cell r="J1443">
            <v>46446</v>
          </cell>
          <cell r="K1443" t="str">
            <v>CONTRATA</v>
          </cell>
          <cell r="L1443" t="str">
            <v>CA DOCENTE</v>
          </cell>
          <cell r="M1443" t="str">
            <v>INSTRUCTOR</v>
          </cell>
          <cell r="N1443" t="str">
            <v>GRADO D</v>
          </cell>
          <cell r="O1443" t="str">
            <v>MAGISTER</v>
          </cell>
          <cell r="P1443" t="str">
            <v>MAGISTER INTERNACIONAL EN PSICOLOGÍA APLICADA</v>
          </cell>
          <cell r="Q1443" t="str">
            <v>TALCA</v>
          </cell>
          <cell r="R1443" t="str">
            <v>DIRECCIÓN DE PREGRADO</v>
          </cell>
          <cell r="S1443" t="str">
            <v>PROGRAMA DE FORMACIÓN FUNDAMENTAL</v>
          </cell>
        </row>
        <row r="1444">
          <cell r="A1444">
            <v>21281094</v>
          </cell>
          <cell r="B1444" t="str">
            <v>21281094</v>
          </cell>
          <cell r="C1444" t="str">
            <v>0</v>
          </cell>
          <cell r="D1444" t="str">
            <v>ALVA GALVEZ ORLANDO</v>
          </cell>
          <cell r="E1444" t="str">
            <v>ICB300001</v>
          </cell>
          <cell r="F1444">
            <v>44</v>
          </cell>
          <cell r="G1444">
            <v>30</v>
          </cell>
          <cell r="H1444" t="str">
            <v>OALVA@UTALCA.CL</v>
          </cell>
          <cell r="I1444">
            <v>42370</v>
          </cell>
          <cell r="J1444">
            <v>46752</v>
          </cell>
          <cell r="K1444" t="str">
            <v>CONTRATA</v>
          </cell>
          <cell r="L1444" t="str">
            <v>CA DOCENTE</v>
          </cell>
          <cell r="M1444" t="str">
            <v>INSTRUCTOR</v>
          </cell>
          <cell r="N1444" t="str">
            <v>GRADO D</v>
          </cell>
          <cell r="O1444" t="str">
            <v>DOCTORADO</v>
          </cell>
          <cell r="P1444" t="str">
            <v>DOCTOR EN CIENCIAS, MENCIÓN INGENIERÍA GENÉTI</v>
          </cell>
          <cell r="Q1444" t="str">
            <v>TALCA</v>
          </cell>
          <cell r="R1444" t="str">
            <v>INSTITUTO DE CIENCIAS BIOLÓGICAS</v>
          </cell>
          <cell r="S1444" t="str">
            <v>INSTITUTO DE CIENCIAS BIOLÓGICAS</v>
          </cell>
        </row>
        <row r="1445">
          <cell r="A1445">
            <v>21295178</v>
          </cell>
          <cell r="B1445" t="str">
            <v>21295178</v>
          </cell>
          <cell r="C1445" t="str">
            <v>1</v>
          </cell>
          <cell r="D1445" t="str">
            <v>ESCALANTE MENDOZA NELSON MAURI</v>
          </cell>
          <cell r="E1445" t="str">
            <v>FCS320007</v>
          </cell>
          <cell r="F1445">
            <v>44</v>
          </cell>
          <cell r="G1445">
            <v>30</v>
          </cell>
          <cell r="H1445" t="str">
            <v>NESCALANTE@UTALCA.CL</v>
          </cell>
          <cell r="I1445">
            <v>41913</v>
          </cell>
          <cell r="J1445">
            <v>46446</v>
          </cell>
          <cell r="K1445" t="str">
            <v>CONTRATA</v>
          </cell>
          <cell r="L1445" t="str">
            <v>CA DOCENTE</v>
          </cell>
          <cell r="M1445" t="str">
            <v>INSTRUCTOR</v>
          </cell>
          <cell r="N1445" t="str">
            <v>GRADO D</v>
          </cell>
          <cell r="O1445" t="str">
            <v>MAGISTER</v>
          </cell>
          <cell r="P1445" t="str">
            <v>MAGISTER EN CIENCIAS MENCION MORFOLOGIA</v>
          </cell>
          <cell r="Q1445" t="str">
            <v>TALCA</v>
          </cell>
          <cell r="R1445" t="str">
            <v>FACULTAD DE CIENCIAS DE LA SALUD</v>
          </cell>
          <cell r="S1445" t="str">
            <v>DPTO. DE CIENCIAS BÁSICAS BIOMÉDICAS</v>
          </cell>
        </row>
        <row r="1446">
          <cell r="A1446">
            <v>21304675</v>
          </cell>
          <cell r="B1446" t="str">
            <v>21304675</v>
          </cell>
          <cell r="C1446" t="str">
            <v>6</v>
          </cell>
          <cell r="D1446" t="str">
            <v>PERTINO . MARIANO WALTER</v>
          </cell>
          <cell r="E1446" t="str">
            <v>IQR300001</v>
          </cell>
          <cell r="F1446">
            <v>44</v>
          </cell>
          <cell r="G1446">
            <v>30</v>
          </cell>
          <cell r="H1446" t="str">
            <v>MWALTER@UTALCA.CL</v>
          </cell>
          <cell r="I1446">
            <v>40544</v>
          </cell>
          <cell r="J1446">
            <v>46446</v>
          </cell>
          <cell r="K1446" t="str">
            <v>CONTRATA</v>
          </cell>
          <cell r="L1446" t="str">
            <v>CA DOCENTE</v>
          </cell>
          <cell r="M1446" t="str">
            <v>PROFESOR ASOCIADO</v>
          </cell>
          <cell r="N1446" t="str">
            <v>GRADO B</v>
          </cell>
          <cell r="O1446" t="str">
            <v>DOCTORADO</v>
          </cell>
          <cell r="P1446" t="str">
            <v>DOCTOR EN INVESTIGACIÓN Y DESARROLLO DE PRODU</v>
          </cell>
          <cell r="Q1446" t="str">
            <v>TALCA</v>
          </cell>
          <cell r="R1446" t="str">
            <v>INSTITUTO QUÍMICA DE RECURSOS NATURALES</v>
          </cell>
          <cell r="S1446" t="str">
            <v>INSTITUTO QUÍMICA DE RECURSOS NATURALES</v>
          </cell>
        </row>
        <row r="1447">
          <cell r="A1447">
            <v>21333268</v>
          </cell>
          <cell r="B1447" t="str">
            <v>21333268</v>
          </cell>
          <cell r="C1447" t="str">
            <v>6</v>
          </cell>
          <cell r="D1447" t="str">
            <v>PABEN . TODD GREGORY</v>
          </cell>
          <cell r="E1447" t="str">
            <v>VRF400008</v>
          </cell>
          <cell r="F1447">
            <v>44</v>
          </cell>
          <cell r="G1447">
            <v>30</v>
          </cell>
          <cell r="H1447" t="str">
            <v>TODD.GREGORY@UTALCA.CL</v>
          </cell>
          <cell r="I1447">
            <v>43466</v>
          </cell>
          <cell r="J1447">
            <v>46446</v>
          </cell>
          <cell r="K1447" t="str">
            <v>CONTRATA</v>
          </cell>
          <cell r="L1447" t="str">
            <v>CA DOCENTE</v>
          </cell>
          <cell r="M1447" t="str">
            <v>INSTRUCTOR</v>
          </cell>
          <cell r="N1447" t="str">
            <v>GRADO D</v>
          </cell>
          <cell r="O1447" t="str">
            <v>MAGISTER</v>
          </cell>
          <cell r="P1447" t="str">
            <v>BACHELOR OF ARTS</v>
          </cell>
          <cell r="Q1447" t="str">
            <v>TALCA</v>
          </cell>
          <cell r="R1447" t="str">
            <v>DIRECCIÓN DE PREGRADO</v>
          </cell>
          <cell r="S1447" t="str">
            <v>PROGRAMA DE IDIOMAS</v>
          </cell>
        </row>
        <row r="1448">
          <cell r="A1448">
            <v>21523658</v>
          </cell>
          <cell r="B1448" t="str">
            <v>21523658</v>
          </cell>
          <cell r="C1448" t="str">
            <v>7</v>
          </cell>
          <cell r="D1448" t="str">
            <v>RYOM-HANSEN . STEEN</v>
          </cell>
          <cell r="E1448" t="str">
            <v>IMF300001</v>
          </cell>
          <cell r="F1448">
            <v>44</v>
          </cell>
          <cell r="G1448">
            <v>30</v>
          </cell>
          <cell r="H1448" t="str">
            <v>SRYOM-HANSEN@UTALCA.CL</v>
          </cell>
          <cell r="I1448">
            <v>38054</v>
          </cell>
          <cell r="J1448">
            <v>2958465</v>
          </cell>
          <cell r="K1448" t="str">
            <v>PLANTA</v>
          </cell>
          <cell r="L1448" t="str">
            <v>CA ORDINARIA</v>
          </cell>
          <cell r="M1448" t="str">
            <v>PROFESOR ASOCIADO</v>
          </cell>
          <cell r="N1448" t="str">
            <v>GRADO B</v>
          </cell>
          <cell r="O1448" t="str">
            <v>DOCTORADO</v>
          </cell>
          <cell r="P1448" t="str">
            <v>DOCTORADO EN CIENCIAS</v>
          </cell>
          <cell r="Q1448" t="str">
            <v>TALCA</v>
          </cell>
          <cell r="R1448" t="str">
            <v>INSTITUTO DE MATEMÁTICAS</v>
          </cell>
          <cell r="S1448" t="str">
            <v>INSTITUTO DE MATEMÁTICAS</v>
          </cell>
        </row>
        <row r="1449">
          <cell r="A1449">
            <v>21534239</v>
          </cell>
          <cell r="B1449" t="str">
            <v>21534239</v>
          </cell>
          <cell r="C1449" t="str">
            <v>5</v>
          </cell>
          <cell r="D1449" t="str">
            <v>LOPEZ CABAÑA ZORAYA ELENA</v>
          </cell>
          <cell r="E1449" t="str">
            <v>IQR300001</v>
          </cell>
          <cell r="F1449">
            <v>44</v>
          </cell>
          <cell r="G1449">
            <v>30</v>
          </cell>
          <cell r="H1449" t="str">
            <v>ZLOPEZ@UTALCA.CL</v>
          </cell>
          <cell r="I1449">
            <v>41395</v>
          </cell>
          <cell r="J1449">
            <v>46446</v>
          </cell>
          <cell r="K1449" t="str">
            <v>CONTRATA</v>
          </cell>
          <cell r="L1449" t="str">
            <v>CA DOCENTE</v>
          </cell>
          <cell r="M1449" t="str">
            <v>PROFESOR ASISTENTE</v>
          </cell>
          <cell r="N1449" t="str">
            <v>GRADO C</v>
          </cell>
          <cell r="O1449" t="str">
            <v>DOCTORADO</v>
          </cell>
          <cell r="P1449" t="str">
            <v>DOCTORA EN QUIMICA</v>
          </cell>
          <cell r="Q1449" t="str">
            <v>TALCA</v>
          </cell>
          <cell r="R1449" t="str">
            <v>INSTITUTO QUÍMICA DE RECURSOS NATURALES</v>
          </cell>
          <cell r="S1449" t="str">
            <v>INSTITUTO QUÍMICA DE RECURSOS NATURALES</v>
          </cell>
        </row>
        <row r="1450">
          <cell r="A1450">
            <v>21560610</v>
          </cell>
          <cell r="B1450" t="str">
            <v>21560610</v>
          </cell>
          <cell r="C1450" t="str">
            <v>4</v>
          </cell>
          <cell r="D1450" t="str">
            <v>ACUÑA RODRIGUEZ IAN SAJID</v>
          </cell>
          <cell r="E1450" t="str">
            <v>VAC400024</v>
          </cell>
          <cell r="F1450">
            <v>44</v>
          </cell>
          <cell r="G1450">
            <v>30</v>
          </cell>
          <cell r="H1450" t="str">
            <v>IACUNA@UTALCA.CL</v>
          </cell>
          <cell r="I1450">
            <v>44440</v>
          </cell>
          <cell r="J1450">
            <v>46387</v>
          </cell>
          <cell r="K1450" t="str">
            <v>CONTRATA</v>
          </cell>
          <cell r="L1450" t="str">
            <v>C ESPECIALES</v>
          </cell>
          <cell r="M1450" t="str">
            <v>INVESTIGADOR</v>
          </cell>
          <cell r="N1450" t="str">
            <v>SIN GRADO</v>
          </cell>
          <cell r="O1450" t="str">
            <v>DOCTORADO</v>
          </cell>
          <cell r="P1450" t="str">
            <v>DOCTOR EN BIOLOGÍA Y ECOLOGÍA APLICADA</v>
          </cell>
          <cell r="Q1450" t="str">
            <v>TALCA</v>
          </cell>
          <cell r="R1450" t="str">
            <v>VICERRECTORÍA ACADÉMICA</v>
          </cell>
          <cell r="S1450" t="str">
            <v>VICERRECTORÍA ACADÉMICA</v>
          </cell>
        </row>
        <row r="1451">
          <cell r="A1451">
            <v>21592957</v>
          </cell>
          <cell r="B1451" t="str">
            <v>21592957</v>
          </cell>
          <cell r="C1451" t="str">
            <v>4</v>
          </cell>
          <cell r="D1451" t="str">
            <v>GONZALEZ DIAZ WENDY</v>
          </cell>
          <cell r="E1451" t="str">
            <v>FCI320001</v>
          </cell>
          <cell r="F1451">
            <v>44</v>
          </cell>
          <cell r="G1451">
            <v>30</v>
          </cell>
          <cell r="H1451" t="str">
            <v>WGONZALEZ@UTALCA.CL</v>
          </cell>
          <cell r="I1451">
            <v>40179</v>
          </cell>
          <cell r="J1451">
            <v>2958465</v>
          </cell>
          <cell r="K1451" t="str">
            <v>PLANTA</v>
          </cell>
          <cell r="L1451" t="str">
            <v>CA ORDINARIA</v>
          </cell>
          <cell r="M1451" t="str">
            <v>PROFESOR TITULAR</v>
          </cell>
          <cell r="N1451" t="str">
            <v>GRADO A</v>
          </cell>
          <cell r="O1451" t="str">
            <v>DOCTORADO</v>
          </cell>
          <cell r="P1451" t="str">
            <v>DOCTOR EN CIENCIAS</v>
          </cell>
          <cell r="Q1451" t="str">
            <v>CURICO</v>
          </cell>
          <cell r="R1451" t="str">
            <v>FACULTAD DE INGENIERÍA</v>
          </cell>
          <cell r="S1451" t="str">
            <v>DEPARTAMENTO DE BIOINFORMÁTICA</v>
          </cell>
        </row>
        <row r="1452">
          <cell r="A1452">
            <v>21599721</v>
          </cell>
          <cell r="B1452" t="str">
            <v>21599721</v>
          </cell>
          <cell r="C1452" t="str">
            <v>9</v>
          </cell>
          <cell r="D1452" t="str">
            <v>DIRON MUNIZ FRANCISCO RAMON</v>
          </cell>
          <cell r="E1452" t="str">
            <v>FAM200001</v>
          </cell>
          <cell r="F1452">
            <v>11</v>
          </cell>
          <cell r="G1452">
            <v>30</v>
          </cell>
          <cell r="H1452" t="str">
            <v>FDIRON@UTALCA.CL</v>
          </cell>
          <cell r="I1452">
            <v>44440</v>
          </cell>
          <cell r="J1452">
            <v>46387</v>
          </cell>
          <cell r="K1452" t="str">
            <v>CONTRATA</v>
          </cell>
          <cell r="L1452" t="str">
            <v>C ESPECIALES</v>
          </cell>
          <cell r="M1452" t="str">
            <v>TUTOR(A) PRÁCTICA</v>
          </cell>
          <cell r="N1452" t="str">
            <v>SIN GRADO</v>
          </cell>
          <cell r="O1452" t="str">
            <v>DOCTORADO</v>
          </cell>
          <cell r="P1452" t="str">
            <v>DOCTOR EN MEDICINA</v>
          </cell>
          <cell r="Q1452" t="str">
            <v>TALCA</v>
          </cell>
          <cell r="R1452" t="str">
            <v>FACULTAD DE MEDICINA</v>
          </cell>
          <cell r="S1452" t="str">
            <v>FACULTAD DE MEDICINA</v>
          </cell>
        </row>
        <row r="1453">
          <cell r="A1453">
            <v>21694281</v>
          </cell>
          <cell r="B1453" t="str">
            <v>21694281</v>
          </cell>
          <cell r="C1453" t="str">
            <v>7</v>
          </cell>
          <cell r="D1453" t="str">
            <v>SAN PELAYO FERRER ELIZABETH</v>
          </cell>
          <cell r="E1453" t="str">
            <v>FPS310001</v>
          </cell>
          <cell r="F1453">
            <v>22</v>
          </cell>
          <cell r="G1453">
            <v>30</v>
          </cell>
          <cell r="H1453" t="str">
            <v>ESANPELAYO@UTALCA.CL</v>
          </cell>
          <cell r="I1453">
            <v>44927</v>
          </cell>
          <cell r="J1453">
            <v>46387</v>
          </cell>
          <cell r="K1453" t="str">
            <v>CONTRATA</v>
          </cell>
          <cell r="L1453" t="str">
            <v>PROFESIONAL</v>
          </cell>
          <cell r="M1453" t="str">
            <v>PROFESIONAL</v>
          </cell>
          <cell r="N1453" t="str">
            <v>GRADO I.17</v>
          </cell>
          <cell r="O1453" t="str">
            <v>MAGISTER</v>
          </cell>
          <cell r="P1453" t="str">
            <v>MASTER EN SEXUALIDAD</v>
          </cell>
          <cell r="Q1453" t="str">
            <v>TALCA</v>
          </cell>
          <cell r="R1453" t="str">
            <v>FACULTAD DE PSICOLOGÍA</v>
          </cell>
          <cell r="S1453" t="str">
            <v>ESCUELA DE PSICOLOGÍA</v>
          </cell>
        </row>
        <row r="1454">
          <cell r="A1454">
            <v>21904914</v>
          </cell>
          <cell r="B1454" t="str">
            <v>21904914</v>
          </cell>
          <cell r="C1454" t="str">
            <v>5</v>
          </cell>
          <cell r="D1454" t="str">
            <v>RONCO . MARIA OFELIA</v>
          </cell>
          <cell r="E1454" t="str">
            <v>IMF300001</v>
          </cell>
          <cell r="F1454">
            <v>44</v>
          </cell>
          <cell r="G1454">
            <v>30</v>
          </cell>
          <cell r="H1454" t="str">
            <v>MRONCO@UTALCA.CL</v>
          </cell>
          <cell r="I1454">
            <v>40603</v>
          </cell>
          <cell r="J1454">
            <v>2958465</v>
          </cell>
          <cell r="K1454" t="str">
            <v>PLANTA</v>
          </cell>
          <cell r="L1454" t="str">
            <v>CA ORDINARIA</v>
          </cell>
          <cell r="M1454" t="str">
            <v>PROFESOR TITULAR</v>
          </cell>
          <cell r="N1454" t="str">
            <v>GRADO A</v>
          </cell>
          <cell r="O1454" t="str">
            <v>DOCTORADO</v>
          </cell>
          <cell r="P1454" t="str">
            <v>DOCTOR EN CIENCIAS MATEMATICAS</v>
          </cell>
          <cell r="Q1454" t="str">
            <v>TALCA</v>
          </cell>
          <cell r="R1454" t="str">
            <v>INSTITUTO DE MATEMÁTICAS</v>
          </cell>
          <cell r="S1454" t="str">
            <v>INSTITUTO DE MATEMÁTICAS</v>
          </cell>
        </row>
        <row r="1455">
          <cell r="A1455">
            <v>21951646</v>
          </cell>
          <cell r="B1455" t="str">
            <v>21951646</v>
          </cell>
          <cell r="C1455" t="str">
            <v>0</v>
          </cell>
          <cell r="D1455" t="str">
            <v>ARIAS BELLO VIRGINIA</v>
          </cell>
          <cell r="E1455" t="str">
            <v>FAM200001</v>
          </cell>
          <cell r="F1455">
            <v>22</v>
          </cell>
          <cell r="G1455">
            <v>30</v>
          </cell>
          <cell r="H1455" t="str">
            <v>VARIAS@UTALCA.CL</v>
          </cell>
          <cell r="I1455">
            <v>41852</v>
          </cell>
          <cell r="J1455">
            <v>46387</v>
          </cell>
          <cell r="K1455" t="str">
            <v>CONTRATA</v>
          </cell>
          <cell r="L1455" t="str">
            <v>C ESPECIALES</v>
          </cell>
          <cell r="M1455" t="str">
            <v>TUTOR(A) PRÁCTICA</v>
          </cell>
          <cell r="N1455" t="str">
            <v>SIN GRADO</v>
          </cell>
          <cell r="O1455" t="str">
            <v>DOCTORADO</v>
          </cell>
          <cell r="P1455" t="str">
            <v>DOCTORA EN MEDICINA</v>
          </cell>
          <cell r="Q1455" t="str">
            <v>TALCA</v>
          </cell>
          <cell r="R1455" t="str">
            <v>FACULTAD DE MEDICINA</v>
          </cell>
          <cell r="S1455" t="str">
            <v>FACULTAD DE MEDICINA</v>
          </cell>
        </row>
        <row r="1456">
          <cell r="A1456">
            <v>22110036</v>
          </cell>
          <cell r="B1456" t="str">
            <v>22110036</v>
          </cell>
          <cell r="C1456" t="str">
            <v>0</v>
          </cell>
          <cell r="D1456" t="str">
            <v>BARDEEN . MATTHEW</v>
          </cell>
          <cell r="E1456" t="str">
            <v>FCI320003</v>
          </cell>
          <cell r="F1456">
            <v>44</v>
          </cell>
          <cell r="G1456">
            <v>30</v>
          </cell>
          <cell r="H1456" t="str">
            <v>MBARDEEN@UTALCA.CL</v>
          </cell>
          <cell r="I1456">
            <v>38899</v>
          </cell>
          <cell r="J1456">
            <v>46446</v>
          </cell>
          <cell r="K1456" t="str">
            <v>CONTRATA</v>
          </cell>
          <cell r="L1456" t="str">
            <v>CA DOCENTE</v>
          </cell>
          <cell r="M1456" t="str">
            <v>INSTRUCTOR</v>
          </cell>
          <cell r="N1456" t="str">
            <v>GRADO D</v>
          </cell>
          <cell r="O1456" t="str">
            <v>DOCTORADO</v>
          </cell>
          <cell r="P1456" t="str">
            <v>DOCTOR OF PHILOSOPHY MENCIÓN EN CS. DE LA COM</v>
          </cell>
          <cell r="Q1456" t="str">
            <v>CURICO</v>
          </cell>
          <cell r="R1456" t="str">
            <v>FACULTAD DE INGENIERÍA</v>
          </cell>
          <cell r="S1456" t="str">
            <v>DPTO. DE CIENCIAS DE LA COMPUTACIÓN</v>
          </cell>
        </row>
        <row r="1457">
          <cell r="A1457">
            <v>22128343</v>
          </cell>
          <cell r="B1457" t="str">
            <v>22128343</v>
          </cell>
          <cell r="C1457" t="str">
            <v>0</v>
          </cell>
          <cell r="D1457" t="str">
            <v>SILVA SANTOS LEONARDO</v>
          </cell>
          <cell r="E1457" t="str">
            <v>IQR300001</v>
          </cell>
          <cell r="F1457">
            <v>44</v>
          </cell>
          <cell r="G1457">
            <v>30</v>
          </cell>
          <cell r="H1457" t="str">
            <v>LSSANTOS@UTALCA.CL</v>
          </cell>
          <cell r="I1457">
            <v>38869</v>
          </cell>
          <cell r="J1457">
            <v>2958465</v>
          </cell>
          <cell r="K1457" t="str">
            <v>PLANTA</v>
          </cell>
          <cell r="L1457" t="str">
            <v>CA ORDINARIA</v>
          </cell>
          <cell r="M1457" t="str">
            <v>PROFESOR TITULAR</v>
          </cell>
          <cell r="N1457" t="str">
            <v>GRADO A</v>
          </cell>
          <cell r="O1457" t="str">
            <v>DOCTORADO</v>
          </cell>
          <cell r="P1457" t="str">
            <v>DOCTOR EN QUÍMICA</v>
          </cell>
          <cell r="Q1457" t="str">
            <v>TALCA</v>
          </cell>
          <cell r="R1457" t="str">
            <v>INSTITUTO QUÍMICA DE RECURSOS NATURALES</v>
          </cell>
          <cell r="S1457" t="str">
            <v>INSTITUTO QUÍMICA DE RECURSOS NATURALES</v>
          </cell>
        </row>
        <row r="1458">
          <cell r="A1458">
            <v>22277695</v>
          </cell>
          <cell r="B1458" t="str">
            <v>22277695</v>
          </cell>
          <cell r="C1458" t="str">
            <v>3</v>
          </cell>
          <cell r="D1458" t="str">
            <v>BENTANCOR CAZENAVE . ANDREA</v>
          </cell>
          <cell r="E1458" t="str">
            <v>FEN310003</v>
          </cell>
          <cell r="F1458">
            <v>44</v>
          </cell>
          <cell r="G1458">
            <v>30</v>
          </cell>
          <cell r="H1458" t="str">
            <v>ANDREA.BENTANCOR@UTALCA.CL</v>
          </cell>
          <cell r="I1458">
            <v>43344</v>
          </cell>
          <cell r="J1458">
            <v>2958465</v>
          </cell>
          <cell r="K1458" t="str">
            <v>PLANTA</v>
          </cell>
          <cell r="L1458" t="str">
            <v>CA ORDINARIA</v>
          </cell>
          <cell r="M1458" t="str">
            <v>PROFESOR ASOCIADO</v>
          </cell>
          <cell r="N1458" t="str">
            <v>GRADO B</v>
          </cell>
          <cell r="O1458" t="str">
            <v>DOCTORADO</v>
          </cell>
          <cell r="P1458" t="str">
            <v>DOCTOR OF PHILOSPPHY</v>
          </cell>
          <cell r="Q1458" t="str">
            <v>SANTIAGO</v>
          </cell>
          <cell r="R1458" t="str">
            <v>FACULTAD DE ECONOMÍA Y NEGOCIOS</v>
          </cell>
          <cell r="S1458" t="str">
            <v>ESC. DE INGENIERÍA COMERCIAL DE SANTIAGO</v>
          </cell>
        </row>
        <row r="1459">
          <cell r="A1459">
            <v>22342843</v>
          </cell>
          <cell r="B1459" t="str">
            <v>22342843</v>
          </cell>
          <cell r="C1459" t="str">
            <v>6</v>
          </cell>
          <cell r="D1459" t="str">
            <v>CABALLERO RUIZ JULIO MIGUEL</v>
          </cell>
          <cell r="E1459" t="str">
            <v>FCI320001</v>
          </cell>
          <cell r="F1459">
            <v>44</v>
          </cell>
          <cell r="G1459">
            <v>30</v>
          </cell>
          <cell r="H1459" t="str">
            <v>JCABALLERO@UTALCA.CL</v>
          </cell>
          <cell r="I1459">
            <v>41000</v>
          </cell>
          <cell r="J1459">
            <v>2958465</v>
          </cell>
          <cell r="K1459" t="str">
            <v>PLANTA</v>
          </cell>
          <cell r="L1459" t="str">
            <v>CA ORDINARIA</v>
          </cell>
          <cell r="M1459" t="str">
            <v>PROFESOR TITULAR</v>
          </cell>
          <cell r="N1459" t="str">
            <v>GRADO A</v>
          </cell>
          <cell r="O1459" t="str">
            <v>DOCTORADO</v>
          </cell>
          <cell r="P1459" t="str">
            <v>DOCTOR EN CIENCIAS APLICADAS</v>
          </cell>
          <cell r="Q1459" t="str">
            <v>TALCA</v>
          </cell>
          <cell r="R1459" t="str">
            <v>FACULTAD DE INGENIERÍA</v>
          </cell>
          <cell r="S1459" t="str">
            <v>DEPARTAMENTO DE BIOINFORMÁTICA</v>
          </cell>
        </row>
        <row r="1460">
          <cell r="A1460">
            <v>22343894</v>
          </cell>
          <cell r="B1460" t="str">
            <v>22343894</v>
          </cell>
          <cell r="C1460" t="str">
            <v>6</v>
          </cell>
          <cell r="D1460" t="str">
            <v>LOPEZ ASTORGA MIGUEL</v>
          </cell>
          <cell r="E1460" t="str">
            <v>IAM300001</v>
          </cell>
          <cell r="F1460">
            <v>44</v>
          </cell>
          <cell r="G1460">
            <v>30</v>
          </cell>
          <cell r="H1460" t="str">
            <v>MILOPEZ@UTALCA.CL</v>
          </cell>
          <cell r="I1460">
            <v>41122</v>
          </cell>
          <cell r="J1460">
            <v>2958465</v>
          </cell>
          <cell r="K1460" t="str">
            <v>PLANTA</v>
          </cell>
          <cell r="L1460" t="str">
            <v>CA ORDINARIA</v>
          </cell>
          <cell r="M1460" t="str">
            <v>PROFESOR TITULAR</v>
          </cell>
          <cell r="N1460" t="str">
            <v>GRADO A</v>
          </cell>
          <cell r="O1460" t="str">
            <v>DOCTORADO</v>
          </cell>
          <cell r="P1460" t="str">
            <v>DOCTOR AREA DE CONOCIMIENTO: LÓGICA Y FILOSOF</v>
          </cell>
          <cell r="Q1460" t="str">
            <v>TALCA</v>
          </cell>
          <cell r="R1460" t="str">
            <v>INST. ESTUDIOS HUMANÍSTICOS ABATE J.I.M.</v>
          </cell>
          <cell r="S1460" t="str">
            <v>INST. ESTUDIOS HUMANÍSTICOS ABATE J.I.M.</v>
          </cell>
        </row>
        <row r="1461">
          <cell r="A1461">
            <v>22472804</v>
          </cell>
          <cell r="B1461" t="str">
            <v>22472804</v>
          </cell>
          <cell r="C1461" t="str">
            <v>2</v>
          </cell>
          <cell r="D1461" t="str">
            <v>GARCIA PEREZ LEIDY YOMARY</v>
          </cell>
          <cell r="E1461" t="str">
            <v>FEN310001</v>
          </cell>
          <cell r="F1461">
            <v>44</v>
          </cell>
          <cell r="G1461">
            <v>30</v>
          </cell>
          <cell r="H1461" t="str">
            <v>LGARCIA@UTALCA.CL</v>
          </cell>
          <cell r="I1461">
            <v>43160</v>
          </cell>
          <cell r="J1461">
            <v>2958465</v>
          </cell>
          <cell r="K1461" t="str">
            <v>PLANTA</v>
          </cell>
          <cell r="L1461" t="str">
            <v>CA ORDINARIA</v>
          </cell>
          <cell r="M1461" t="str">
            <v>PROFESOR ASOCIADO</v>
          </cell>
          <cell r="N1461" t="str">
            <v>GRADO B</v>
          </cell>
          <cell r="O1461" t="str">
            <v>DOCTORADO</v>
          </cell>
          <cell r="P1461" t="str">
            <v>DOCTOR EN ECONOMÍA</v>
          </cell>
          <cell r="Q1461" t="str">
            <v>TALCA</v>
          </cell>
          <cell r="R1461" t="str">
            <v>FACULTAD DE ECONOMÍA Y NEGOCIOS</v>
          </cell>
          <cell r="S1461" t="str">
            <v>ESCUELA DE INGENIERÍA COMERCIAL DE TALCA</v>
          </cell>
        </row>
        <row r="1462">
          <cell r="A1462">
            <v>22676885</v>
          </cell>
          <cell r="B1462" t="str">
            <v>22676885</v>
          </cell>
          <cell r="C1462" t="str">
            <v>8</v>
          </cell>
          <cell r="D1462" t="str">
            <v>HILL . BRIANNA CHRISTINE</v>
          </cell>
          <cell r="E1462" t="str">
            <v>VRF400008</v>
          </cell>
          <cell r="F1462">
            <v>33</v>
          </cell>
          <cell r="G1462">
            <v>30</v>
          </cell>
          <cell r="H1462" t="str">
            <v>BHILL@UTALCA.CL</v>
          </cell>
          <cell r="I1462">
            <v>40664</v>
          </cell>
          <cell r="J1462">
            <v>46446</v>
          </cell>
          <cell r="K1462" t="str">
            <v>CONTRATA</v>
          </cell>
          <cell r="L1462" t="str">
            <v>CA DOCENTE</v>
          </cell>
          <cell r="M1462" t="str">
            <v>INSTRUCTOR</v>
          </cell>
          <cell r="N1462" t="str">
            <v>GRADO D</v>
          </cell>
          <cell r="O1462" t="str">
            <v>MAGISTER</v>
          </cell>
          <cell r="P1462" t="str">
            <v>MAGÍSTER EN EDUCACIÓN BASADA EN COMPETENCIAS</v>
          </cell>
          <cell r="Q1462" t="str">
            <v>TALCA</v>
          </cell>
          <cell r="R1462" t="str">
            <v>DIRECCIÓN DE PREGRADO</v>
          </cell>
          <cell r="S1462" t="str">
            <v>PROGRAMA DE IDIOMAS</v>
          </cell>
        </row>
        <row r="1463">
          <cell r="A1463">
            <v>22961566</v>
          </cell>
          <cell r="B1463" t="str">
            <v>22961566</v>
          </cell>
          <cell r="C1463" t="str">
            <v>1</v>
          </cell>
          <cell r="D1463" t="str">
            <v>SILVESTRE QUIROGA LUIS GREGORI</v>
          </cell>
          <cell r="E1463" t="str">
            <v>FCI320003</v>
          </cell>
          <cell r="F1463">
            <v>44</v>
          </cell>
          <cell r="G1463">
            <v>30</v>
          </cell>
          <cell r="H1463" t="str">
            <v>LSILVESTRE@UTALCA.CL</v>
          </cell>
          <cell r="I1463">
            <v>42795</v>
          </cell>
          <cell r="J1463">
            <v>46446</v>
          </cell>
          <cell r="K1463" t="str">
            <v>CONTRATA</v>
          </cell>
          <cell r="L1463" t="str">
            <v>CA DOCENTE</v>
          </cell>
          <cell r="M1463" t="str">
            <v>PROFESOR ASISTENTE</v>
          </cell>
          <cell r="N1463" t="str">
            <v>GRADO C</v>
          </cell>
          <cell r="O1463" t="str">
            <v>DOCTORADO</v>
          </cell>
          <cell r="P1463" t="str">
            <v>DOCTOR EN CIENCIAS, MENCIÓN COMPUTACIÓN</v>
          </cell>
          <cell r="Q1463" t="str">
            <v>CURICO</v>
          </cell>
          <cell r="R1463" t="str">
            <v>FACULTAD DE INGENIERÍA</v>
          </cell>
          <cell r="S1463" t="str">
            <v>DPTO. DE CIENCIAS DE LA COMPUTACIÓN</v>
          </cell>
        </row>
        <row r="1464">
          <cell r="A1464">
            <v>22962431</v>
          </cell>
          <cell r="B1464" t="str">
            <v>22962431</v>
          </cell>
          <cell r="C1464" t="str">
            <v>8</v>
          </cell>
          <cell r="D1464" t="str">
            <v>OREJARENA CUARTAS CLAUDIA LILI</v>
          </cell>
          <cell r="E1464" t="str">
            <v>VRF400003</v>
          </cell>
          <cell r="F1464">
            <v>33</v>
          </cell>
          <cell r="G1464">
            <v>30</v>
          </cell>
          <cell r="H1464" t="str">
            <v>COREJARENA@UTALCA.CL</v>
          </cell>
          <cell r="I1464">
            <v>44713</v>
          </cell>
          <cell r="J1464">
            <v>46446</v>
          </cell>
          <cell r="K1464" t="str">
            <v>CONTRATA</v>
          </cell>
          <cell r="L1464" t="str">
            <v>CA DOCENTE</v>
          </cell>
          <cell r="M1464" t="str">
            <v>INSTRUCTOR</v>
          </cell>
          <cell r="N1464" t="str">
            <v>GRADO D</v>
          </cell>
          <cell r="O1464" t="str">
            <v>MAGISTER</v>
          </cell>
          <cell r="P1464" t="str">
            <v>MAGISTER EDUCACIÓN CON MENCIÓN EN CURRICULUM</v>
          </cell>
          <cell r="Q1464" t="str">
            <v>TALCA</v>
          </cell>
          <cell r="R1464" t="str">
            <v>FACULTAD DE ODONTOLOGÍA</v>
          </cell>
          <cell r="S1464" t="str">
            <v>ESCUELA DE ODONTOLOGÍA</v>
          </cell>
        </row>
        <row r="1465">
          <cell r="A1465">
            <v>23017961</v>
          </cell>
          <cell r="B1465" t="str">
            <v>23017961</v>
          </cell>
          <cell r="C1465" t="str">
            <v>1</v>
          </cell>
          <cell r="D1465" t="str">
            <v>INGRAM . BENJAMIN RANDALL</v>
          </cell>
          <cell r="E1465" t="str">
            <v>FCI320009</v>
          </cell>
          <cell r="F1465">
            <v>44</v>
          </cell>
          <cell r="G1465">
            <v>30</v>
          </cell>
          <cell r="H1465" t="str">
            <v>BRI@UTALCA.CL</v>
          </cell>
          <cell r="I1465">
            <v>45607</v>
          </cell>
          <cell r="J1465">
            <v>46446</v>
          </cell>
          <cell r="K1465" t="str">
            <v>CONTRATA</v>
          </cell>
          <cell r="L1465" t="str">
            <v>CA DOCENTE</v>
          </cell>
          <cell r="M1465" t="str">
            <v>PROFESOR ASISTENTE</v>
          </cell>
          <cell r="N1465" t="str">
            <v>GRADO C</v>
          </cell>
          <cell r="O1465" t="str">
            <v>DOCTORADO</v>
          </cell>
          <cell r="P1465" t="str">
            <v>DOCTOR OF PHILOSOPHY</v>
          </cell>
          <cell r="Q1465" t="str">
            <v>TALCA</v>
          </cell>
          <cell r="R1465" t="str">
            <v>FACULTAD DE INGENIERÍA</v>
          </cell>
          <cell r="S1465" t="str">
            <v>DPTO. VISUALI. INTERACTIVA Y REA.VIRTUAL</v>
          </cell>
        </row>
        <row r="1466">
          <cell r="A1466">
            <v>23096880</v>
          </cell>
          <cell r="B1466" t="str">
            <v>23096880</v>
          </cell>
          <cell r="C1466" t="str">
            <v>2</v>
          </cell>
          <cell r="D1466" t="str">
            <v>CARAMANTIN SORIANO MARIA DEL P</v>
          </cell>
          <cell r="E1466" t="str">
            <v>IQR300001</v>
          </cell>
          <cell r="F1466">
            <v>44</v>
          </cell>
          <cell r="G1466">
            <v>30</v>
          </cell>
          <cell r="H1466" t="str">
            <v>MCARAMANTIN@UTALCA.CL</v>
          </cell>
          <cell r="I1466">
            <v>40969</v>
          </cell>
          <cell r="J1466">
            <v>46446</v>
          </cell>
          <cell r="K1466" t="str">
            <v>CONTRATA</v>
          </cell>
          <cell r="L1466" t="str">
            <v>CA DOCENTE</v>
          </cell>
          <cell r="M1466" t="str">
            <v>PROFESOR ASISTENTE</v>
          </cell>
          <cell r="N1466" t="str">
            <v>GRADO C</v>
          </cell>
          <cell r="O1466" t="str">
            <v>DOCTORADO</v>
          </cell>
          <cell r="P1466" t="str">
            <v>DOCTOR EN CIENCIAS</v>
          </cell>
          <cell r="Q1466" t="str">
            <v>TALCA</v>
          </cell>
          <cell r="R1466" t="str">
            <v>INSTITUTO QUÍMICA DE RECURSOS NATURALES</v>
          </cell>
          <cell r="S1466" t="str">
            <v>INSTITUTO QUÍMICA DE RECURSOS NATURALES</v>
          </cell>
        </row>
        <row r="1467">
          <cell r="A1467">
            <v>23531888</v>
          </cell>
          <cell r="B1467" t="str">
            <v>23531888</v>
          </cell>
          <cell r="C1467" t="str">
            <v>1</v>
          </cell>
          <cell r="D1467" t="str">
            <v>MERCIER . CLAIRE LEA ANTOINETT</v>
          </cell>
          <cell r="E1467" t="str">
            <v>IAM300001</v>
          </cell>
          <cell r="F1467">
            <v>44</v>
          </cell>
          <cell r="G1467">
            <v>30</v>
          </cell>
          <cell r="H1467" t="str">
            <v>CMERCIER@UTALCA.CL</v>
          </cell>
          <cell r="I1467">
            <v>42948</v>
          </cell>
          <cell r="J1467">
            <v>2958465</v>
          </cell>
          <cell r="K1467" t="str">
            <v>PLANTA</v>
          </cell>
          <cell r="L1467" t="str">
            <v>CA ORDINARIA</v>
          </cell>
          <cell r="M1467" t="str">
            <v>PROFESOR ASOCIADO</v>
          </cell>
          <cell r="N1467" t="str">
            <v>GRADO B</v>
          </cell>
          <cell r="O1467" t="str">
            <v>DOCTORADO</v>
          </cell>
          <cell r="P1467" t="str">
            <v>DOCTORA EN LITERATURA CON MENCIÓN EN LITERATU</v>
          </cell>
          <cell r="Q1467" t="str">
            <v>TALCA</v>
          </cell>
          <cell r="R1467" t="str">
            <v>INST. ESTUDIOS HUMANÍSTICOS ABATE J.I.M.</v>
          </cell>
          <cell r="S1467" t="str">
            <v>INST. ESTUDIOS HUMANÍSTICOS ABATE J.I.M.</v>
          </cell>
        </row>
        <row r="1468">
          <cell r="A1468">
            <v>23534836</v>
          </cell>
          <cell r="B1468" t="str">
            <v>23534836</v>
          </cell>
          <cell r="C1468" t="str">
            <v>5</v>
          </cell>
          <cell r="D1468" t="str">
            <v>OSORIO VARGAS PAULA ALEJANDRA</v>
          </cell>
          <cell r="E1468" t="str">
            <v>IQR300001</v>
          </cell>
          <cell r="F1468">
            <v>44</v>
          </cell>
          <cell r="G1468">
            <v>30</v>
          </cell>
          <cell r="H1468" t="str">
            <v>PAULA.OSORIO@UTALCA.CL</v>
          </cell>
          <cell r="I1468">
            <v>45511</v>
          </cell>
          <cell r="J1468">
            <v>46446</v>
          </cell>
          <cell r="K1468" t="str">
            <v>CONTRATA</v>
          </cell>
          <cell r="L1468" t="str">
            <v>CA DOCENTE</v>
          </cell>
          <cell r="M1468" t="str">
            <v>PROFESOR ASOCIADO</v>
          </cell>
          <cell r="N1468" t="str">
            <v>GRADO B</v>
          </cell>
          <cell r="O1468" t="str">
            <v>DOCTORADO</v>
          </cell>
          <cell r="P1468" t="str">
            <v>DOCTOR EN CIENCIAS CON MENCION EN QUIMICA</v>
          </cell>
          <cell r="Q1468" t="str">
            <v>TALCA</v>
          </cell>
          <cell r="R1468" t="str">
            <v>INSTITUTO QUÍMICA DE RECURSOS NATURALES</v>
          </cell>
          <cell r="S1468" t="str">
            <v>INSTITUTO QUÍMICA DE RECURSOS NATURALES</v>
          </cell>
        </row>
        <row r="1469">
          <cell r="A1469">
            <v>23559830</v>
          </cell>
          <cell r="B1469" t="str">
            <v>23559830</v>
          </cell>
          <cell r="C1469" t="str">
            <v>2</v>
          </cell>
          <cell r="D1469" t="str">
            <v>VASQUEZ ORJUELA DIANA CAROLINA</v>
          </cell>
          <cell r="E1469" t="str">
            <v>FPS310002</v>
          </cell>
          <cell r="F1469">
            <v>44</v>
          </cell>
          <cell r="G1469">
            <v>30</v>
          </cell>
          <cell r="H1469" t="str">
            <v>DIANA.VASQUEZ@UTALCA.CL</v>
          </cell>
          <cell r="I1469">
            <v>43891</v>
          </cell>
          <cell r="J1469">
            <v>46446</v>
          </cell>
          <cell r="K1469" t="str">
            <v>CONTRATA</v>
          </cell>
          <cell r="L1469" t="str">
            <v>CA DOCENTE</v>
          </cell>
          <cell r="M1469" t="str">
            <v>INSTRUCTOR</v>
          </cell>
          <cell r="N1469" t="str">
            <v>GRADO D</v>
          </cell>
          <cell r="O1469" t="str">
            <v>MAGISTER</v>
          </cell>
          <cell r="P1469" t="str">
            <v>MAGISTER EN EDUCACIÓN MENCIÓN DIFICULTADES DE</v>
          </cell>
          <cell r="Q1469" t="str">
            <v>TALCA</v>
          </cell>
          <cell r="R1469" t="str">
            <v>FACULTAD DE PSICOLOGÍA</v>
          </cell>
          <cell r="S1469" t="str">
            <v>ESCUELA DE TERAPIA OCUPACIONAL</v>
          </cell>
        </row>
        <row r="1470">
          <cell r="A1470">
            <v>23576040</v>
          </cell>
          <cell r="B1470" t="str">
            <v>23576040</v>
          </cell>
          <cell r="C1470" t="str">
            <v>1</v>
          </cell>
          <cell r="D1470" t="str">
            <v>VASQUEZ RIFO ELISA</v>
          </cell>
          <cell r="E1470" t="str">
            <v>IMF300001</v>
          </cell>
          <cell r="F1470">
            <v>22</v>
          </cell>
          <cell r="G1470">
            <v>30</v>
          </cell>
          <cell r="H1470" t="str">
            <v>ELVASQUEZ@UTALCA.CL</v>
          </cell>
          <cell r="I1470">
            <v>41275</v>
          </cell>
          <cell r="J1470">
            <v>46446</v>
          </cell>
          <cell r="K1470" t="str">
            <v>CONTRATA</v>
          </cell>
          <cell r="L1470" t="str">
            <v>CA DOCENTE</v>
          </cell>
          <cell r="M1470" t="str">
            <v>INSTRUCTOR</v>
          </cell>
          <cell r="N1470" t="str">
            <v>GRADO D</v>
          </cell>
          <cell r="O1470" t="str">
            <v>DOCTORADO</v>
          </cell>
          <cell r="P1470" t="str">
            <v>DOCTOR OF PHILOSOPHY</v>
          </cell>
          <cell r="Q1470" t="str">
            <v>TALCA</v>
          </cell>
          <cell r="R1470" t="str">
            <v>INSTITUTO DE MATEMÁTICAS</v>
          </cell>
          <cell r="S1470" t="str">
            <v>INSTITUTO DE MATEMÁTICAS</v>
          </cell>
        </row>
        <row r="1471">
          <cell r="A1471">
            <v>23576112</v>
          </cell>
          <cell r="B1471" t="str">
            <v>23576112</v>
          </cell>
          <cell r="C1471" t="str">
            <v>2</v>
          </cell>
          <cell r="D1471" t="str">
            <v>GRIFFETH . STEPHEN</v>
          </cell>
          <cell r="E1471" t="str">
            <v>IMF300001</v>
          </cell>
          <cell r="F1471">
            <v>44</v>
          </cell>
          <cell r="G1471">
            <v>30</v>
          </cell>
          <cell r="H1471" t="str">
            <v>SGRIFFETH@UTALCA.CL</v>
          </cell>
          <cell r="I1471">
            <v>40603</v>
          </cell>
          <cell r="J1471">
            <v>2958465</v>
          </cell>
          <cell r="K1471" t="str">
            <v>PLANTA</v>
          </cell>
          <cell r="L1471" t="str">
            <v>CA ORDINARIA</v>
          </cell>
          <cell r="M1471" t="str">
            <v>PROFESOR TITULAR</v>
          </cell>
          <cell r="N1471" t="str">
            <v>GRADO A</v>
          </cell>
          <cell r="O1471" t="str">
            <v>DOCTORADO</v>
          </cell>
          <cell r="P1471" t="str">
            <v>DOCTOR OF PHILOSOPHY</v>
          </cell>
          <cell r="Q1471" t="str">
            <v>TALCA</v>
          </cell>
          <cell r="R1471" t="str">
            <v>INSTITUTO DE MATEMÁTICAS</v>
          </cell>
          <cell r="S1471" t="str">
            <v>INSTITUTO DE MATEMÁTICAS</v>
          </cell>
        </row>
        <row r="1472">
          <cell r="A1472">
            <v>23713147</v>
          </cell>
          <cell r="B1472" t="str">
            <v>23713147</v>
          </cell>
          <cell r="C1472" t="str">
            <v>9</v>
          </cell>
          <cell r="D1472" t="str">
            <v>AMALRAJ . JOHN</v>
          </cell>
          <cell r="E1472" t="str">
            <v>IQR300001</v>
          </cell>
          <cell r="F1472">
            <v>44</v>
          </cell>
          <cell r="G1472">
            <v>30</v>
          </cell>
          <cell r="H1472" t="str">
            <v>JAMALRAJ@UTALCA.CL</v>
          </cell>
          <cell r="I1472">
            <v>42107</v>
          </cell>
          <cell r="J1472">
            <v>2958465</v>
          </cell>
          <cell r="K1472" t="str">
            <v>PLANTA</v>
          </cell>
          <cell r="L1472" t="str">
            <v>CA ORDINARIA</v>
          </cell>
          <cell r="M1472" t="str">
            <v>PROFESOR ASOCIADO</v>
          </cell>
          <cell r="N1472" t="str">
            <v>GRADO B</v>
          </cell>
          <cell r="O1472" t="str">
            <v>DOCTORADO</v>
          </cell>
          <cell r="P1472" t="str">
            <v>DOCTOR EN QUÍMICA</v>
          </cell>
          <cell r="Q1472" t="str">
            <v>TALCA</v>
          </cell>
          <cell r="R1472" t="str">
            <v>INSTITUTO QUÍMICA DE RECURSOS NATURALES</v>
          </cell>
          <cell r="S1472" t="str">
            <v>INSTITUTO QUÍMICA DE RECURSOS NATURALES</v>
          </cell>
        </row>
        <row r="1473">
          <cell r="A1473">
            <v>23748913</v>
          </cell>
          <cell r="B1473" t="str">
            <v>23748913</v>
          </cell>
          <cell r="C1473" t="str">
            <v>6</v>
          </cell>
          <cell r="D1473" t="str">
            <v>GREEN . GEMMA LOUISE</v>
          </cell>
          <cell r="E1473" t="str">
            <v>VRF400008</v>
          </cell>
          <cell r="F1473">
            <v>44</v>
          </cell>
          <cell r="G1473">
            <v>30</v>
          </cell>
          <cell r="H1473" t="str">
            <v>GGREEN@UTALCA.CL</v>
          </cell>
          <cell r="I1473">
            <v>42217</v>
          </cell>
          <cell r="J1473">
            <v>46446</v>
          </cell>
          <cell r="K1473" t="str">
            <v>CONTRATA</v>
          </cell>
          <cell r="L1473" t="str">
            <v>CA DOCENTE</v>
          </cell>
          <cell r="M1473" t="str">
            <v>INSTRUCTOR</v>
          </cell>
          <cell r="N1473" t="str">
            <v>GRADO D</v>
          </cell>
          <cell r="O1473" t="str">
            <v>MAGISTER</v>
          </cell>
          <cell r="P1473" t="str">
            <v>BACHELOR PF ARTS</v>
          </cell>
          <cell r="Q1473" t="str">
            <v>TALCA</v>
          </cell>
          <cell r="R1473" t="str">
            <v>DIRECCIÓN DE PREGRADO</v>
          </cell>
          <cell r="S1473" t="str">
            <v>PROGRAMA DE IDIOMAS</v>
          </cell>
        </row>
        <row r="1474">
          <cell r="A1474">
            <v>24035057</v>
          </cell>
          <cell r="B1474" t="str">
            <v>24035057</v>
          </cell>
          <cell r="C1474" t="str">
            <v>2</v>
          </cell>
          <cell r="D1474" t="str">
            <v>URIBE VELEZ LINA MARCELA</v>
          </cell>
          <cell r="E1474" t="str">
            <v>FCI310003</v>
          </cell>
          <cell r="F1474">
            <v>44</v>
          </cell>
          <cell r="G1474">
            <v>30</v>
          </cell>
          <cell r="H1474" t="str">
            <v>LURIBE@UTALCA.CL</v>
          </cell>
          <cell r="I1474">
            <v>42795</v>
          </cell>
          <cell r="J1474">
            <v>2958465</v>
          </cell>
          <cell r="K1474" t="str">
            <v>PLANTA</v>
          </cell>
          <cell r="L1474" t="str">
            <v>CA ORDINARIA</v>
          </cell>
          <cell r="M1474" t="str">
            <v>PROFESOR ASOCIADO</v>
          </cell>
          <cell r="N1474" t="str">
            <v>GRADO B</v>
          </cell>
          <cell r="O1474" t="str">
            <v>DOCTORADO</v>
          </cell>
          <cell r="P1474" t="str">
            <v>DOCTOR EN INGENIERÍA METALÚRGICA</v>
          </cell>
          <cell r="Q1474" t="str">
            <v>CURICO</v>
          </cell>
          <cell r="R1474" t="str">
            <v>FACULTAD DE INGENIERÍA</v>
          </cell>
          <cell r="S1474" t="str">
            <v>ESCUELA DE INGENIERÍA CIVIL DE MINAS</v>
          </cell>
        </row>
        <row r="1475">
          <cell r="A1475">
            <v>24069167</v>
          </cell>
          <cell r="B1475" t="str">
            <v>24069167</v>
          </cell>
          <cell r="C1475" t="str">
            <v>1</v>
          </cell>
          <cell r="D1475" t="str">
            <v>FELDMAN . ANA ESTHER</v>
          </cell>
          <cell r="E1475" t="str">
            <v>VDE400002</v>
          </cell>
          <cell r="F1475">
            <v>33</v>
          </cell>
          <cell r="G1475">
            <v>30</v>
          </cell>
          <cell r="H1475" t="str">
            <v>AESTHER@UTALCA.CL</v>
          </cell>
          <cell r="I1475">
            <v>44927</v>
          </cell>
          <cell r="J1475">
            <v>46387</v>
          </cell>
          <cell r="K1475" t="str">
            <v>CONTRATA</v>
          </cell>
          <cell r="L1475" t="str">
            <v>PROFESIONAL</v>
          </cell>
          <cell r="M1475" t="str">
            <v>PROFESIONAL</v>
          </cell>
          <cell r="N1475" t="str">
            <v>GRADO I.17</v>
          </cell>
          <cell r="O1475" t="str">
            <v>TÍTULO PROFESIONAL</v>
          </cell>
          <cell r="P1475" t="str">
            <v>LICENCIADA EN ECONOMIA</v>
          </cell>
          <cell r="Q1475" t="str">
            <v>TALCA</v>
          </cell>
          <cell r="R1475" t="str">
            <v>VICERRECTORÍA DE DESARROLLO ESTUDIANTIL</v>
          </cell>
          <cell r="S1475" t="str">
            <v>DRCCIÓN. APOYO A ORG. E INICIA. ESTUD.</v>
          </cell>
        </row>
        <row r="1476">
          <cell r="A1476">
            <v>24083652</v>
          </cell>
          <cell r="B1476" t="str">
            <v>24083652</v>
          </cell>
          <cell r="C1476" t="str">
            <v>1</v>
          </cell>
          <cell r="D1476" t="str">
            <v>LAMOTTE . DORIAN</v>
          </cell>
          <cell r="E1476" t="str">
            <v>FAD320005</v>
          </cell>
          <cell r="F1476">
            <v>26</v>
          </cell>
          <cell r="G1476">
            <v>30</v>
          </cell>
          <cell r="H1476" t="str">
            <v>DORIAN.LAMOTTE@UTALCA.CL</v>
          </cell>
          <cell r="I1476">
            <v>43922</v>
          </cell>
          <cell r="J1476">
            <v>46446</v>
          </cell>
          <cell r="K1476" t="str">
            <v>CONTRATA</v>
          </cell>
          <cell r="L1476" t="str">
            <v>CA DE LA PROFESIÓN</v>
          </cell>
          <cell r="M1476" t="str">
            <v>PROFESOR ASOCIADO</v>
          </cell>
          <cell r="N1476" t="str">
            <v>GRADO B</v>
          </cell>
          <cell r="O1476" t="str">
            <v>MAGISTER</v>
          </cell>
          <cell r="P1476" t="str">
            <v>MAGISTER EN INTÉRPRETE DE MÚSICA, ESPECIALIDA</v>
          </cell>
          <cell r="Q1476" t="str">
            <v>TALCA</v>
          </cell>
          <cell r="R1476" t="str">
            <v>FACULTAD DE ARQUITECTUR, MÚSICA Y DISEÑO</v>
          </cell>
          <cell r="S1476" t="str">
            <v>DEPTO. DE INTERP. Y FORM. MUSICAL ESPEC.</v>
          </cell>
        </row>
        <row r="1477">
          <cell r="A1477">
            <v>24104366</v>
          </cell>
          <cell r="B1477" t="str">
            <v>24104366</v>
          </cell>
          <cell r="C1477" t="str">
            <v>5</v>
          </cell>
          <cell r="D1477" t="str">
            <v>PEREZ DANIEL ALEJANDRO IVAN</v>
          </cell>
          <cell r="E1477" t="str">
            <v>IAM300001</v>
          </cell>
          <cell r="F1477">
            <v>44</v>
          </cell>
          <cell r="G1477">
            <v>30</v>
          </cell>
          <cell r="H1477" t="str">
            <v>IPEREZ@UTALCA.CL</v>
          </cell>
          <cell r="I1477">
            <v>41218</v>
          </cell>
          <cell r="J1477">
            <v>2958465</v>
          </cell>
          <cell r="K1477" t="str">
            <v>PLANTA</v>
          </cell>
          <cell r="L1477" t="str">
            <v>CA ORDINARIA</v>
          </cell>
          <cell r="M1477" t="str">
            <v>PROFESOR ASISTENTE</v>
          </cell>
          <cell r="N1477" t="str">
            <v>GRADO C</v>
          </cell>
          <cell r="O1477" t="str">
            <v>DOCTORADO</v>
          </cell>
          <cell r="P1477" t="str">
            <v>DOCTOR EN LITERATURA HISPÁNICA</v>
          </cell>
          <cell r="Q1477" t="str">
            <v>TALCA</v>
          </cell>
          <cell r="R1477" t="str">
            <v>INST. ESTUDIOS HUMANÍSTICOS ABATE J.I.M.</v>
          </cell>
          <cell r="S1477" t="str">
            <v>INST. ESTUDIOS HUMANÍSTICOS ABATE J.I.M.</v>
          </cell>
        </row>
        <row r="1478">
          <cell r="A1478">
            <v>24118408</v>
          </cell>
          <cell r="B1478" t="str">
            <v>24118408</v>
          </cell>
          <cell r="C1478" t="str">
            <v>0</v>
          </cell>
          <cell r="D1478" t="str">
            <v>FORERO DORIA OSCAR JAVIER</v>
          </cell>
          <cell r="E1478" t="str">
            <v>VAC400024</v>
          </cell>
          <cell r="F1478">
            <v>44</v>
          </cell>
          <cell r="G1478">
            <v>30</v>
          </cell>
          <cell r="H1478" t="str">
            <v/>
          </cell>
          <cell r="I1478">
            <v>45880</v>
          </cell>
          <cell r="J1478">
            <v>46387</v>
          </cell>
          <cell r="K1478" t="str">
            <v>CONTRATA</v>
          </cell>
          <cell r="L1478" t="str">
            <v>C ESPECIALES</v>
          </cell>
          <cell r="M1478" t="str">
            <v>INVESTIGADOR</v>
          </cell>
          <cell r="N1478" t="str">
            <v>SIN GRADO</v>
          </cell>
          <cell r="O1478" t="str">
            <v>DOCTORADO</v>
          </cell>
          <cell r="P1478" t="str">
            <v>DOCTOR EN CIENCIAS CON MENCIÓN EN INVESTIGACI</v>
          </cell>
          <cell r="Q1478" t="str">
            <v>TALCA</v>
          </cell>
          <cell r="R1478" t="str">
            <v>VICERRECTORÍA ACADÉMICA</v>
          </cell>
          <cell r="S1478" t="str">
            <v>VICERRECTORÍA ACADÉMICA</v>
          </cell>
        </row>
        <row r="1479">
          <cell r="A1479">
            <v>24130471</v>
          </cell>
          <cell r="B1479" t="str">
            <v>24130471</v>
          </cell>
          <cell r="C1479" t="str">
            <v>K</v>
          </cell>
          <cell r="D1479" t="str">
            <v>PLATA GARNICA CAROLINA</v>
          </cell>
          <cell r="E1479" t="str">
            <v>VGE400008</v>
          </cell>
          <cell r="F1479">
            <v>44</v>
          </cell>
          <cell r="G1479">
            <v>30</v>
          </cell>
          <cell r="H1479" t="str">
            <v>CPLATA@UTALCA.CL</v>
          </cell>
          <cell r="I1479">
            <v>43101</v>
          </cell>
          <cell r="J1479">
            <v>46387</v>
          </cell>
          <cell r="K1479" t="str">
            <v>CONTRATA</v>
          </cell>
          <cell r="L1479" t="str">
            <v>PROFESIONAL</v>
          </cell>
          <cell r="M1479" t="str">
            <v>PROFESIONAL</v>
          </cell>
          <cell r="N1479" t="str">
            <v>GRADO I.17</v>
          </cell>
          <cell r="O1479" t="str">
            <v>MAGISTER</v>
          </cell>
          <cell r="P1479" t="str">
            <v>MÁSTER EN DIRECCIÓN DE RECURSOS HUMANOS</v>
          </cell>
          <cell r="Q1479" t="str">
            <v>TALCA</v>
          </cell>
          <cell r="R1479" t="str">
            <v>VIC. GESTIÓN ECONÓMICA Y ADMINISTRACIÓN</v>
          </cell>
          <cell r="S1479" t="str">
            <v>DEPARTAMENTO DE DESARROLLO DE PERSONAS</v>
          </cell>
        </row>
        <row r="1480">
          <cell r="A1480">
            <v>24571154</v>
          </cell>
          <cell r="B1480" t="str">
            <v>24571154</v>
          </cell>
          <cell r="C1480" t="str">
            <v>9</v>
          </cell>
          <cell r="D1480" t="str">
            <v>RIVAS VALLECILLO DANIELA SVEET</v>
          </cell>
          <cell r="E1480" t="str">
            <v/>
          </cell>
          <cell r="F1480">
            <v>44</v>
          </cell>
          <cell r="G1480">
            <v>30</v>
          </cell>
          <cell r="H1480" t="str">
            <v>DRIVAS@UTALCA.CL</v>
          </cell>
          <cell r="I1480">
            <v>45474</v>
          </cell>
          <cell r="J1480">
            <v>46387</v>
          </cell>
          <cell r="K1480" t="str">
            <v>CONTRATA</v>
          </cell>
          <cell r="L1480" t="str">
            <v>PROFESIONAL</v>
          </cell>
          <cell r="M1480" t="str">
            <v>PROFESIONAL</v>
          </cell>
          <cell r="N1480" t="str">
            <v>GRADO I.17</v>
          </cell>
          <cell r="O1480" t="str">
            <v>MAGISTER</v>
          </cell>
          <cell r="P1480" t="str">
            <v>MAGISTER EN EDUCACIÓN BASADO EN COMPETENCIAS.</v>
          </cell>
          <cell r="Q1480" t="str">
            <v>TALCA</v>
          </cell>
          <cell r="R1480" t="str">
            <v>VICERRECTORÍA DE FORMACIÓN</v>
          </cell>
          <cell r="S1480" t="str">
            <v>U. DE DESARROLLO CURRICULAR DE POSTGRADO</v>
          </cell>
        </row>
        <row r="1481">
          <cell r="A1481">
            <v>24615440</v>
          </cell>
          <cell r="B1481" t="str">
            <v>24615440</v>
          </cell>
          <cell r="C1481" t="str">
            <v>6</v>
          </cell>
          <cell r="D1481" t="str">
            <v>RIEDELSBERGER . JANIN</v>
          </cell>
          <cell r="E1481" t="str">
            <v>FCI320001</v>
          </cell>
          <cell r="F1481">
            <v>44</v>
          </cell>
          <cell r="G1481">
            <v>30</v>
          </cell>
          <cell r="H1481" t="str">
            <v>JRIEDELSBERGER@UTALCA.CL</v>
          </cell>
          <cell r="I1481">
            <v>43040</v>
          </cell>
          <cell r="J1481">
            <v>2958465</v>
          </cell>
          <cell r="K1481" t="str">
            <v>PLANTA</v>
          </cell>
          <cell r="L1481" t="str">
            <v>CA ORDINARIA</v>
          </cell>
          <cell r="M1481" t="str">
            <v>PROFESOR ASISTENTE</v>
          </cell>
          <cell r="N1481" t="str">
            <v>GRADO C</v>
          </cell>
          <cell r="O1481" t="str">
            <v>DOCTORADO</v>
          </cell>
          <cell r="P1481" t="str">
            <v>DOCTORADO EN CIENCIAS NATURALES</v>
          </cell>
          <cell r="Q1481" t="str">
            <v>TALCA</v>
          </cell>
          <cell r="R1481" t="str">
            <v>FACULTAD DE INGENIERÍA</v>
          </cell>
          <cell r="S1481" t="str">
            <v>DEPARTAMENTO DE BIOINFORMÁTICA</v>
          </cell>
        </row>
        <row r="1482">
          <cell r="A1482">
            <v>24780035</v>
          </cell>
          <cell r="B1482" t="str">
            <v>24780035</v>
          </cell>
          <cell r="C1482" t="str">
            <v>2</v>
          </cell>
          <cell r="D1482" t="str">
            <v>RESTREPO PATIÑO CARLOS ALBERTO</v>
          </cell>
          <cell r="E1482" t="str">
            <v>FCI320007</v>
          </cell>
          <cell r="F1482">
            <v>44</v>
          </cell>
          <cell r="G1482">
            <v>30</v>
          </cell>
          <cell r="H1482" t="str">
            <v>CRESTREPO@UTALCA.CL</v>
          </cell>
          <cell r="I1482">
            <v>42430</v>
          </cell>
          <cell r="J1482">
            <v>2958465</v>
          </cell>
          <cell r="K1482" t="str">
            <v>PLANTA</v>
          </cell>
          <cell r="L1482" t="str">
            <v>CA ORDINARIA</v>
          </cell>
          <cell r="M1482" t="str">
            <v>PROFESOR ASOCIADO</v>
          </cell>
          <cell r="N1482" t="str">
            <v>GRADO B</v>
          </cell>
          <cell r="O1482" t="str">
            <v>DOCTORADO</v>
          </cell>
          <cell r="P1482" t="str">
            <v>DOCTOR DEL PROGRAMA EN INGENIERIA ELECTRÓNICA</v>
          </cell>
          <cell r="Q1482" t="str">
            <v>CURICO</v>
          </cell>
          <cell r="R1482" t="str">
            <v>FACULTAD DE INGENIERÍA</v>
          </cell>
          <cell r="S1482" t="str">
            <v>DEPARTAMENTO DE INGENIERÍA ELÉCTRICA</v>
          </cell>
        </row>
        <row r="1483">
          <cell r="A1483">
            <v>24862567</v>
          </cell>
          <cell r="B1483" t="str">
            <v>24862567</v>
          </cell>
          <cell r="C1483" t="str">
            <v>8</v>
          </cell>
          <cell r="D1483" t="str">
            <v>DREYER . INGO</v>
          </cell>
          <cell r="E1483" t="str">
            <v>FCI320001</v>
          </cell>
          <cell r="F1483">
            <v>44</v>
          </cell>
          <cell r="G1483">
            <v>30</v>
          </cell>
          <cell r="H1483" t="str">
            <v>IDREYER@UTALCA.CL</v>
          </cell>
          <cell r="I1483">
            <v>42018</v>
          </cell>
          <cell r="J1483">
            <v>2958465</v>
          </cell>
          <cell r="K1483" t="str">
            <v>PLANTA</v>
          </cell>
          <cell r="L1483" t="str">
            <v>CA ORDINARIA</v>
          </cell>
          <cell r="M1483" t="str">
            <v>PROFESOR TITULAR</v>
          </cell>
          <cell r="N1483" t="str">
            <v>GRADO A</v>
          </cell>
          <cell r="O1483" t="str">
            <v>DOCTORADO</v>
          </cell>
          <cell r="P1483" t="str">
            <v>DOKTORS DER NATURWISSENSCHAFTEN</v>
          </cell>
          <cell r="Q1483" t="str">
            <v>TALCA</v>
          </cell>
          <cell r="R1483" t="str">
            <v>FACULTAD DE INGENIERÍA</v>
          </cell>
          <cell r="S1483" t="str">
            <v>DEPARTAMENTO DE BIOINFORMÁTICA</v>
          </cell>
        </row>
        <row r="1484">
          <cell r="A1484">
            <v>24923842</v>
          </cell>
          <cell r="B1484" t="str">
            <v>24923842</v>
          </cell>
          <cell r="C1484" t="str">
            <v>2</v>
          </cell>
          <cell r="D1484" t="str">
            <v>PERERA SARDIÑA YUNIER</v>
          </cell>
          <cell r="E1484" t="str">
            <v>FCS320007</v>
          </cell>
          <cell r="F1484">
            <v>44</v>
          </cell>
          <cell r="G1484">
            <v>30</v>
          </cell>
          <cell r="H1484" t="str">
            <v>YUNIER.PERERA@UTALCA.CL</v>
          </cell>
          <cell r="I1484">
            <v>44562</v>
          </cell>
          <cell r="J1484">
            <v>46446</v>
          </cell>
          <cell r="K1484" t="str">
            <v>CONTRATA</v>
          </cell>
          <cell r="L1484" t="str">
            <v>CA DOCENTE</v>
          </cell>
          <cell r="M1484" t="str">
            <v>INSTRUCTOR</v>
          </cell>
          <cell r="N1484" t="str">
            <v>GRADO D</v>
          </cell>
          <cell r="O1484" t="str">
            <v>DOCTORADO</v>
          </cell>
          <cell r="P1484" t="str">
            <v>DOCTOR EN FISICO QUIMICA MOLECULAR</v>
          </cell>
          <cell r="Q1484" t="str">
            <v>TALCA</v>
          </cell>
          <cell r="R1484" t="str">
            <v>FACULTAD DE CIENCIAS DE LA SALUD</v>
          </cell>
          <cell r="S1484" t="str">
            <v>DPTO. DE CIENCIAS BÁSICAS BIOMÉDICAS</v>
          </cell>
        </row>
        <row r="1485">
          <cell r="A1485">
            <v>25130888</v>
          </cell>
          <cell r="B1485" t="str">
            <v>25130888</v>
          </cell>
          <cell r="C1485" t="str">
            <v>8</v>
          </cell>
          <cell r="D1485" t="str">
            <v>GUTIERREZ RAMIREZ GONZALO JOSE</v>
          </cell>
          <cell r="E1485" t="str">
            <v>FAM320002</v>
          </cell>
          <cell r="F1485">
            <v>28</v>
          </cell>
          <cell r="G1485">
            <v>30</v>
          </cell>
          <cell r="H1485" t="str">
            <v>GOGUTIERREZ@UTALCA.CL</v>
          </cell>
          <cell r="I1485">
            <v>44197</v>
          </cell>
          <cell r="J1485">
            <v>46446</v>
          </cell>
          <cell r="K1485" t="str">
            <v>CONTRATA</v>
          </cell>
          <cell r="L1485" t="str">
            <v>CA DOCENTE</v>
          </cell>
          <cell r="M1485" t="str">
            <v>INSTRUCTOR</v>
          </cell>
          <cell r="N1485" t="str">
            <v>GRADO D</v>
          </cell>
          <cell r="O1485" t="str">
            <v>ESPECIAL. MÉDICA</v>
          </cell>
          <cell r="P1485" t="str">
            <v>ESPECIALISTA EN PUERICULTURA Y PEDIATRIA</v>
          </cell>
          <cell r="Q1485" t="str">
            <v>TALCA</v>
          </cell>
          <cell r="R1485" t="str">
            <v>FACULTAD DE MEDICINA</v>
          </cell>
          <cell r="S1485" t="str">
            <v>DEPARTAMENTO DE MEDICINA CLÍNICA</v>
          </cell>
        </row>
        <row r="1486">
          <cell r="A1486">
            <v>25184028</v>
          </cell>
          <cell r="B1486" t="str">
            <v>25184028</v>
          </cell>
          <cell r="C1486" t="str">
            <v>8</v>
          </cell>
          <cell r="D1486" t="str">
            <v>COOPER . MICHAEL BRET</v>
          </cell>
          <cell r="E1486" t="str">
            <v>FAD320005</v>
          </cell>
          <cell r="F1486">
            <v>44</v>
          </cell>
          <cell r="G1486">
            <v>30</v>
          </cell>
          <cell r="H1486" t="str">
            <v>MCOOPER@UTALCA.CL</v>
          </cell>
          <cell r="I1486">
            <v>42370</v>
          </cell>
          <cell r="J1486">
            <v>46446</v>
          </cell>
          <cell r="K1486" t="str">
            <v>CONTRATA</v>
          </cell>
          <cell r="L1486" t="str">
            <v>CA DE LA PROFESIÓN</v>
          </cell>
          <cell r="M1486" t="str">
            <v>PROFESOR ASISTENTE</v>
          </cell>
          <cell r="N1486" t="str">
            <v>GRADO C</v>
          </cell>
          <cell r="O1486" t="str">
            <v>MAGISTER</v>
          </cell>
          <cell r="P1486" t="str">
            <v>MASTER OF MUSIC</v>
          </cell>
          <cell r="Q1486" t="str">
            <v>TALCA</v>
          </cell>
          <cell r="R1486" t="str">
            <v>FACULTAD DE ARQUITECTUR, MÚSICA Y DISEÑO</v>
          </cell>
          <cell r="S1486" t="str">
            <v>DEPTO. DE INTERP. Y FORM. MUSICAL ESPEC.</v>
          </cell>
        </row>
        <row r="1487">
          <cell r="A1487">
            <v>25186883</v>
          </cell>
          <cell r="B1487" t="str">
            <v>25186883</v>
          </cell>
          <cell r="C1487" t="str">
            <v>2</v>
          </cell>
          <cell r="D1487" t="str">
            <v>ARELLANO SANCHEZ ANTONIO JOSE</v>
          </cell>
          <cell r="E1487" t="str">
            <v>FAM200001</v>
          </cell>
          <cell r="F1487">
            <v>22</v>
          </cell>
          <cell r="G1487">
            <v>30</v>
          </cell>
          <cell r="H1487" t="str">
            <v>ANTONIO.ARELLANO@UTALCA.CL</v>
          </cell>
          <cell r="I1487">
            <v>45383</v>
          </cell>
          <cell r="J1487">
            <v>46387</v>
          </cell>
          <cell r="K1487" t="str">
            <v>CONTRATA</v>
          </cell>
          <cell r="L1487" t="str">
            <v>C ESPECIALES</v>
          </cell>
          <cell r="M1487" t="str">
            <v>TUTOR(A) PRÁCTICA</v>
          </cell>
          <cell r="N1487" t="str">
            <v>SIN GRADO</v>
          </cell>
          <cell r="O1487" t="str">
            <v>ESPECIAL. MÉDICA</v>
          </cell>
          <cell r="P1487" t="str">
            <v>MEDICO CIRUJANO ESPECIALISTA EN PSIQUIATRÍA</v>
          </cell>
          <cell r="Q1487" t="str">
            <v>TALCA</v>
          </cell>
          <cell r="R1487" t="str">
            <v>FACULTAD DE MEDICINA</v>
          </cell>
          <cell r="S1487" t="str">
            <v>FACULTAD DE MEDICINA</v>
          </cell>
        </row>
        <row r="1488">
          <cell r="A1488">
            <v>25349827</v>
          </cell>
          <cell r="B1488" t="str">
            <v>25349827</v>
          </cell>
          <cell r="C1488" t="str">
            <v>7</v>
          </cell>
          <cell r="D1488" t="str">
            <v>CUBILLAN PEDRAÑEZ KERLY CAROLI</v>
          </cell>
          <cell r="E1488" t="str">
            <v>FAM200001</v>
          </cell>
          <cell r="F1488">
            <v>22</v>
          </cell>
          <cell r="G1488">
            <v>15</v>
          </cell>
          <cell r="H1488" t="str">
            <v>KERLY.CUBILLAN@UTALCA.CL</v>
          </cell>
          <cell r="I1488">
            <v>44986</v>
          </cell>
          <cell r="J1488">
            <v>46096</v>
          </cell>
          <cell r="K1488" t="str">
            <v>CONTRATA</v>
          </cell>
          <cell r="L1488" t="str">
            <v>C ESPECIALES</v>
          </cell>
          <cell r="M1488" t="str">
            <v>TUTOR(A) PRÁCTICA</v>
          </cell>
          <cell r="N1488" t="str">
            <v>SIN GRADO</v>
          </cell>
          <cell r="O1488" t="str">
            <v>ESPECIAL. MÉDICA</v>
          </cell>
          <cell r="P1488" t="str">
            <v>MEDICINA INTERNA</v>
          </cell>
          <cell r="Q1488" t="str">
            <v>TALCA</v>
          </cell>
          <cell r="R1488" t="str">
            <v>FACULTAD DE MEDICINA</v>
          </cell>
          <cell r="S1488" t="str">
            <v>FACULTAD DE MEDICINA</v>
          </cell>
        </row>
        <row r="1489">
          <cell r="A1489">
            <v>25369222</v>
          </cell>
          <cell r="B1489" t="str">
            <v>25369222</v>
          </cell>
          <cell r="C1489" t="str">
            <v>7</v>
          </cell>
          <cell r="D1489" t="str">
            <v>NUNES BOTELHO JULIANA</v>
          </cell>
          <cell r="E1489" t="str">
            <v>FOD320003</v>
          </cell>
          <cell r="F1489">
            <v>44</v>
          </cell>
          <cell r="G1489">
            <v>30</v>
          </cell>
          <cell r="H1489" t="str">
            <v>JBOTELHO@UTALCA.CL</v>
          </cell>
          <cell r="I1489">
            <v>42800</v>
          </cell>
          <cell r="J1489">
            <v>46446</v>
          </cell>
          <cell r="K1489" t="str">
            <v>CONTRATA</v>
          </cell>
          <cell r="L1489" t="str">
            <v>CA DOCENTE</v>
          </cell>
          <cell r="M1489" t="str">
            <v>PROFESOR ASOCIADO</v>
          </cell>
          <cell r="N1489" t="str">
            <v>GRADO B</v>
          </cell>
          <cell r="O1489" t="str">
            <v>DOCTORADO</v>
          </cell>
          <cell r="P1489" t="str">
            <v>DOCTOR EN ODONTOLOGIA</v>
          </cell>
          <cell r="Q1489" t="str">
            <v>TALCA</v>
          </cell>
          <cell r="R1489" t="str">
            <v>FACULTAD DE ODONTOLOGÍA</v>
          </cell>
          <cell r="S1489" t="str">
            <v>DEPARTAMENTO DE PEDIATRÍA ESTOMATOLÓGICA</v>
          </cell>
        </row>
        <row r="1490">
          <cell r="A1490">
            <v>25503818</v>
          </cell>
          <cell r="B1490" t="str">
            <v>25503818</v>
          </cell>
          <cell r="C1490" t="str">
            <v>4</v>
          </cell>
          <cell r="D1490" t="str">
            <v>WONG . IENG WAI</v>
          </cell>
          <cell r="E1490" t="str">
            <v>FAD320005</v>
          </cell>
          <cell r="F1490">
            <v>44</v>
          </cell>
          <cell r="G1490">
            <v>30</v>
          </cell>
          <cell r="H1490" t="str">
            <v>IWONG@UTALCA.CL</v>
          </cell>
          <cell r="I1490">
            <v>42938</v>
          </cell>
          <cell r="J1490">
            <v>46446</v>
          </cell>
          <cell r="K1490" t="str">
            <v>CONTRATA</v>
          </cell>
          <cell r="L1490" t="str">
            <v>CA DE LA PROFESIÓN</v>
          </cell>
          <cell r="M1490" t="str">
            <v>PROFESOR ASOCIADO</v>
          </cell>
          <cell r="N1490" t="str">
            <v>GRADO B</v>
          </cell>
          <cell r="O1490" t="str">
            <v>MAGISTER</v>
          </cell>
          <cell r="P1490" t="str">
            <v>MASTER OF MUSIC</v>
          </cell>
          <cell r="Q1490" t="str">
            <v>TALCA</v>
          </cell>
          <cell r="R1490" t="str">
            <v>FACULTAD DE ARQUITECTUR, MÚSICA Y DISEÑO</v>
          </cell>
          <cell r="S1490" t="str">
            <v>DEPTO. DE INTERP. Y FORM. MUSICAL ESPEC.</v>
          </cell>
        </row>
        <row r="1491">
          <cell r="A1491">
            <v>25573796</v>
          </cell>
          <cell r="B1491" t="str">
            <v>25573796</v>
          </cell>
          <cell r="C1491" t="str">
            <v>1</v>
          </cell>
          <cell r="D1491" t="str">
            <v>CORREA PLATA BELKYS ITHAMAR</v>
          </cell>
          <cell r="E1491" t="str">
            <v>FOD200001</v>
          </cell>
          <cell r="F1491">
            <v>18</v>
          </cell>
          <cell r="G1491">
            <v>30</v>
          </cell>
          <cell r="H1491" t="str">
            <v>BCORREA@UTALCA.CL</v>
          </cell>
          <cell r="I1491">
            <v>45047</v>
          </cell>
          <cell r="J1491">
            <v>46387</v>
          </cell>
          <cell r="K1491" t="str">
            <v>CONTRATA</v>
          </cell>
          <cell r="L1491" t="str">
            <v>C ESPECIALES</v>
          </cell>
          <cell r="M1491" t="str">
            <v>TUTOR(A) PRÁCTICA</v>
          </cell>
          <cell r="N1491" t="str">
            <v>SIN GRADO</v>
          </cell>
          <cell r="O1491" t="str">
            <v>ESPECIAL. ODONTOLÓG.</v>
          </cell>
          <cell r="P1491" t="str">
            <v>ESPECIALISTA EN REHABILITACIÓN ORAL CON MENCI</v>
          </cell>
          <cell r="Q1491" t="str">
            <v>TALCA</v>
          </cell>
          <cell r="R1491" t="str">
            <v>FACULTAD DE ODONTOLOGÍA</v>
          </cell>
          <cell r="S1491" t="str">
            <v>FACULTAD DE ODONTOLOGÍA</v>
          </cell>
        </row>
        <row r="1492">
          <cell r="A1492">
            <v>25670512</v>
          </cell>
          <cell r="B1492" t="str">
            <v>25670512</v>
          </cell>
          <cell r="C1492" t="str">
            <v>5</v>
          </cell>
          <cell r="D1492" t="str">
            <v>MACHADO BOSCAN DAYANA COROMOTO</v>
          </cell>
          <cell r="E1492" t="str">
            <v>FAM320002</v>
          </cell>
          <cell r="F1492">
            <v>28</v>
          </cell>
          <cell r="G1492">
            <v>30</v>
          </cell>
          <cell r="H1492" t="str">
            <v>DMACHADO@UTALCA.CL</v>
          </cell>
          <cell r="I1492">
            <v>44562</v>
          </cell>
          <cell r="J1492">
            <v>46446</v>
          </cell>
          <cell r="K1492" t="str">
            <v>CONTRATA</v>
          </cell>
          <cell r="L1492" t="str">
            <v>CA DOCENTE</v>
          </cell>
          <cell r="M1492" t="str">
            <v>INSTRUCTOR</v>
          </cell>
          <cell r="N1492" t="str">
            <v>GRADO D</v>
          </cell>
          <cell r="O1492" t="str">
            <v>MAGISTER</v>
          </cell>
          <cell r="P1492" t="str">
            <v>MAGISTER SCIENTIARUM EN CIENCIAS DE LA EDUCAC</v>
          </cell>
          <cell r="Q1492" t="str">
            <v>TALCA</v>
          </cell>
          <cell r="R1492" t="str">
            <v>FACULTAD DE MEDICINA</v>
          </cell>
          <cell r="S1492" t="str">
            <v>DEPARTAMENTO DE MEDICINA CLÍNICA</v>
          </cell>
        </row>
        <row r="1493">
          <cell r="A1493">
            <v>25728350</v>
          </cell>
          <cell r="B1493" t="str">
            <v>25728350</v>
          </cell>
          <cell r="C1493" t="str">
            <v>K</v>
          </cell>
          <cell r="D1493" t="str">
            <v>SALGUEIRO SICILIA YAMISLEYDI</v>
          </cell>
          <cell r="E1493" t="str">
            <v>FCI320002</v>
          </cell>
          <cell r="F1493">
            <v>44</v>
          </cell>
          <cell r="G1493">
            <v>30</v>
          </cell>
          <cell r="H1493" t="str">
            <v>YSALGUEIRO@UTALCA.CL</v>
          </cell>
          <cell r="I1493">
            <v>43160</v>
          </cell>
          <cell r="J1493">
            <v>2958465</v>
          </cell>
          <cell r="K1493" t="str">
            <v>PLANTA</v>
          </cell>
          <cell r="L1493" t="str">
            <v>CA ORDINARIA</v>
          </cell>
          <cell r="M1493" t="str">
            <v>PROFESOR ASISTENTE</v>
          </cell>
          <cell r="N1493" t="str">
            <v>GRADO C</v>
          </cell>
          <cell r="O1493" t="str">
            <v>DOCTORADO</v>
          </cell>
          <cell r="P1493" t="str">
            <v>DOCTOR EN CIENCIAS TECNICAS</v>
          </cell>
          <cell r="Q1493" t="str">
            <v>CURICO</v>
          </cell>
          <cell r="R1493" t="str">
            <v>FACULTAD DE INGENIERÍA</v>
          </cell>
          <cell r="S1493" t="str">
            <v>DEPARTAMENTO DE INGENIERÍA INDUSTRIAL</v>
          </cell>
        </row>
        <row r="1494">
          <cell r="A1494">
            <v>25770135</v>
          </cell>
          <cell r="B1494" t="str">
            <v>25770135</v>
          </cell>
          <cell r="C1494" t="str">
            <v>2</v>
          </cell>
          <cell r="D1494" t="str">
            <v>RODRIGUEZ PEREZ LYANNE</v>
          </cell>
          <cell r="E1494" t="str">
            <v>VAC400024</v>
          </cell>
          <cell r="F1494">
            <v>44</v>
          </cell>
          <cell r="G1494">
            <v>30</v>
          </cell>
          <cell r="H1494" t="str">
            <v>LYRODRIGUEZ@UTALCA.CL</v>
          </cell>
          <cell r="I1494">
            <v>45880</v>
          </cell>
          <cell r="J1494">
            <v>46387</v>
          </cell>
          <cell r="K1494" t="str">
            <v>CONTRATA</v>
          </cell>
          <cell r="L1494" t="str">
            <v>C ESPECIALES</v>
          </cell>
          <cell r="M1494" t="str">
            <v>INVESTIGADOR</v>
          </cell>
          <cell r="N1494" t="str">
            <v>SIN GRADO</v>
          </cell>
          <cell r="O1494" t="str">
            <v>DOCTORADO</v>
          </cell>
          <cell r="P1494" t="str">
            <v>DOCTOR EN CIENCIAS MENCION EN INVESTIGACION Y</v>
          </cell>
          <cell r="Q1494" t="str">
            <v>TALCA</v>
          </cell>
          <cell r="R1494" t="str">
            <v>VICERRECTORÍA ACADÉMICA</v>
          </cell>
          <cell r="S1494" t="str">
            <v>VICERRECTORÍA ACADÉMICA</v>
          </cell>
        </row>
        <row r="1495">
          <cell r="A1495">
            <v>25789488</v>
          </cell>
          <cell r="B1495" t="str">
            <v>25789488</v>
          </cell>
          <cell r="C1495" t="str">
            <v>6</v>
          </cell>
          <cell r="D1495" t="str">
            <v>PEREZ TERAN DANIEL DARIO</v>
          </cell>
          <cell r="E1495" t="str">
            <v>ADC021005</v>
          </cell>
          <cell r="F1495">
            <v>44</v>
          </cell>
          <cell r="G1495">
            <v>30</v>
          </cell>
          <cell r="H1495" t="str">
            <v>DANIELPEREZ@UTALCA.CL</v>
          </cell>
          <cell r="I1495">
            <v>43466</v>
          </cell>
          <cell r="J1495">
            <v>46387</v>
          </cell>
          <cell r="K1495" t="str">
            <v>CONTRATA</v>
          </cell>
          <cell r="L1495" t="str">
            <v>PROFESIONAL</v>
          </cell>
          <cell r="M1495" t="str">
            <v>PROFESIONAL</v>
          </cell>
          <cell r="N1495" t="str">
            <v>GRADO I.17</v>
          </cell>
          <cell r="O1495" t="str">
            <v>LICENCIADO</v>
          </cell>
          <cell r="P1495" t="str">
            <v>LICENCIADO EN COMUNICACIÓN SOCIAL</v>
          </cell>
          <cell r="Q1495" t="str">
            <v>TALCA</v>
          </cell>
          <cell r="R1495" t="str">
            <v>DIRECCIÓN DE COMUNICACIONES CORPORATIVAS</v>
          </cell>
          <cell r="S1495" t="str">
            <v>DPTO. DE COMUNICACIÓN EXTERNA Y MEDIOS</v>
          </cell>
        </row>
        <row r="1496">
          <cell r="A1496">
            <v>25911148</v>
          </cell>
          <cell r="B1496" t="str">
            <v>25911148</v>
          </cell>
          <cell r="C1496" t="str">
            <v>K</v>
          </cell>
          <cell r="D1496" t="str">
            <v>PAGUA ROJAS FRAYMAR GERALDINE</v>
          </cell>
          <cell r="E1496" t="str">
            <v/>
          </cell>
          <cell r="F1496">
            <v>44</v>
          </cell>
          <cell r="G1496">
            <v>30</v>
          </cell>
          <cell r="H1496" t="str">
            <v>FRAYMAR.PAGUA@UTALCA.CL</v>
          </cell>
          <cell r="I1496">
            <v>44927</v>
          </cell>
          <cell r="J1496">
            <v>46387</v>
          </cell>
          <cell r="K1496" t="str">
            <v>CONTRATA</v>
          </cell>
          <cell r="L1496" t="str">
            <v>PROFESIONAL</v>
          </cell>
          <cell r="M1496" t="str">
            <v>PROFESIONAL</v>
          </cell>
          <cell r="N1496" t="str">
            <v>GRADO I.17</v>
          </cell>
          <cell r="O1496" t="str">
            <v>TÍTULO PROFESIONAL</v>
          </cell>
          <cell r="P1496" t="str">
            <v>LICENCIADO EN COMUNICACION SOCIAL (PERIODISTA</v>
          </cell>
          <cell r="Q1496" t="str">
            <v>TALCA</v>
          </cell>
          <cell r="R1496" t="str">
            <v>VICERRECTORÍA DE FORMACIÓN</v>
          </cell>
          <cell r="S1496" t="str">
            <v>DIRECCIÓN DE CICLO DE VIDA ESTUDIANTIL</v>
          </cell>
        </row>
        <row r="1497">
          <cell r="A1497">
            <v>25944987</v>
          </cell>
          <cell r="B1497" t="str">
            <v>25944987</v>
          </cell>
          <cell r="C1497" t="str">
            <v>1</v>
          </cell>
          <cell r="D1497" t="str">
            <v>KOLLMAR . KATHRIN AGNES</v>
          </cell>
          <cell r="E1497" t="str">
            <v>VRF400008</v>
          </cell>
          <cell r="F1497">
            <v>44</v>
          </cell>
          <cell r="G1497">
            <v>30</v>
          </cell>
          <cell r="H1497" t="str">
            <v>KATHRIN.KOLLMAR@UTALCA.CL</v>
          </cell>
          <cell r="I1497">
            <v>43525</v>
          </cell>
          <cell r="J1497">
            <v>46446</v>
          </cell>
          <cell r="K1497" t="str">
            <v>CONTRATA</v>
          </cell>
          <cell r="L1497" t="str">
            <v>CA DOCENTE</v>
          </cell>
          <cell r="M1497" t="str">
            <v>INSTRUCTOR</v>
          </cell>
          <cell r="N1497" t="str">
            <v>GRADO D</v>
          </cell>
          <cell r="O1497" t="str">
            <v>MAGISTER</v>
          </cell>
          <cell r="P1497" t="str">
            <v>BACHELOR OF ARTS</v>
          </cell>
          <cell r="Q1497" t="str">
            <v>TALCA</v>
          </cell>
          <cell r="R1497" t="str">
            <v>DIRECCIÓN DE PREGRADO</v>
          </cell>
          <cell r="S1497" t="str">
            <v>PROGRAMA DE IDIOMAS</v>
          </cell>
        </row>
        <row r="1498">
          <cell r="A1498">
            <v>26005381</v>
          </cell>
          <cell r="B1498" t="str">
            <v>26005381</v>
          </cell>
          <cell r="C1498" t="str">
            <v>7</v>
          </cell>
          <cell r="D1498" t="str">
            <v>PEREZ GUZMAN RICARDO ENRIQUE</v>
          </cell>
          <cell r="E1498" t="str">
            <v>FCI320003</v>
          </cell>
          <cell r="F1498">
            <v>44</v>
          </cell>
          <cell r="G1498">
            <v>30</v>
          </cell>
          <cell r="H1498" t="str">
            <v>RIPEREZ@UTALCA.CL</v>
          </cell>
          <cell r="I1498">
            <v>44986</v>
          </cell>
          <cell r="J1498">
            <v>46446</v>
          </cell>
          <cell r="K1498" t="str">
            <v>CONTRATA</v>
          </cell>
          <cell r="L1498" t="str">
            <v>CA DOCENTE</v>
          </cell>
          <cell r="M1498" t="str">
            <v>PROFESOR ASISTENTE</v>
          </cell>
          <cell r="N1498" t="str">
            <v>GRADO C</v>
          </cell>
          <cell r="O1498" t="str">
            <v>DOCTORADO</v>
          </cell>
          <cell r="P1498" t="str">
            <v>DOCTOR EN SISTEMAS DE INGENIERÍA</v>
          </cell>
          <cell r="Q1498" t="str">
            <v>CURICO</v>
          </cell>
          <cell r="R1498" t="str">
            <v>FACULTAD DE INGENIERÍA</v>
          </cell>
          <cell r="S1498" t="str">
            <v>DPTO. DE CIENCIAS DE LA COMPUTACIÓN</v>
          </cell>
        </row>
        <row r="1499">
          <cell r="A1499">
            <v>26036914</v>
          </cell>
          <cell r="B1499" t="str">
            <v>26036914</v>
          </cell>
          <cell r="C1499" t="str">
            <v>8</v>
          </cell>
          <cell r="D1499" t="str">
            <v>SOLIS AÑEZ ERNESTO ADRIAN</v>
          </cell>
          <cell r="E1499" t="str">
            <v>FAM320002</v>
          </cell>
          <cell r="F1499">
            <v>44</v>
          </cell>
          <cell r="G1499">
            <v>30</v>
          </cell>
          <cell r="H1499" t="str">
            <v>ESOLIS@UTALCA.CL</v>
          </cell>
          <cell r="I1499">
            <v>44562</v>
          </cell>
          <cell r="J1499">
            <v>46446</v>
          </cell>
          <cell r="K1499" t="str">
            <v>CONTRATA</v>
          </cell>
          <cell r="L1499" t="str">
            <v>CA DOCENTE</v>
          </cell>
          <cell r="M1499" t="str">
            <v>PROFESOR ASISTENTE</v>
          </cell>
          <cell r="N1499" t="str">
            <v>GRADO C</v>
          </cell>
          <cell r="O1499" t="str">
            <v>DOCTORADO</v>
          </cell>
          <cell r="P1499" t="str">
            <v>DOCTOR EN CIENCIAS MÉDICAS</v>
          </cell>
          <cell r="Q1499" t="str">
            <v>TALCA</v>
          </cell>
          <cell r="R1499" t="str">
            <v>FACULTAD DE MEDICINA</v>
          </cell>
          <cell r="S1499" t="str">
            <v>DEPARTAMENTO DE MEDICINA CLÍNICA</v>
          </cell>
        </row>
        <row r="1500">
          <cell r="A1500">
            <v>26340509</v>
          </cell>
          <cell r="B1500" t="str">
            <v>26340509</v>
          </cell>
          <cell r="C1500" t="str">
            <v>9</v>
          </cell>
          <cell r="D1500" t="str">
            <v>CENTENO DUBEN MARCO EMILIO</v>
          </cell>
          <cell r="E1500" t="str">
            <v>VRF400062</v>
          </cell>
          <cell r="F1500">
            <v>44</v>
          </cell>
          <cell r="G1500">
            <v>30</v>
          </cell>
          <cell r="H1500" t="str">
            <v>MARCO.CENTENO@UTALCA.CL</v>
          </cell>
          <cell r="I1500">
            <v>44287</v>
          </cell>
          <cell r="J1500">
            <v>46387</v>
          </cell>
          <cell r="K1500" t="str">
            <v>CONTRATA</v>
          </cell>
          <cell r="L1500" t="str">
            <v>PROFESIONAL</v>
          </cell>
          <cell r="M1500" t="str">
            <v>PROFESIONAL</v>
          </cell>
          <cell r="N1500" t="str">
            <v>GRADO I.17</v>
          </cell>
          <cell r="O1500" t="str">
            <v>TÍTULO PROFESIONAL</v>
          </cell>
          <cell r="P1500" t="str">
            <v>PROFESOR ESPECIALIDAD: FÍSICA</v>
          </cell>
          <cell r="Q1500" t="str">
            <v>TALCA</v>
          </cell>
          <cell r="R1500" t="str">
            <v>VICERRECTORÍA DE FORMACIÓN</v>
          </cell>
          <cell r="S1500" t="str">
            <v>UNIDAD DE APLICACIONES</v>
          </cell>
        </row>
        <row r="1501">
          <cell r="A1501">
            <v>26545610</v>
          </cell>
          <cell r="B1501" t="str">
            <v>26545610</v>
          </cell>
          <cell r="C1501" t="str">
            <v>3</v>
          </cell>
          <cell r="D1501" t="str">
            <v>ARRIETA PINEDA JOHANA</v>
          </cell>
          <cell r="E1501" t="str">
            <v>ADC021004</v>
          </cell>
          <cell r="F1501">
            <v>44</v>
          </cell>
          <cell r="G1501">
            <v>30</v>
          </cell>
          <cell r="H1501" t="str">
            <v>JOHANA.ARRIETA@UTALCA.CL</v>
          </cell>
          <cell r="I1501">
            <v>44197</v>
          </cell>
          <cell r="J1501">
            <v>46387</v>
          </cell>
          <cell r="K1501" t="str">
            <v>CONTRATA</v>
          </cell>
          <cell r="L1501" t="str">
            <v>PROFESIONAL</v>
          </cell>
          <cell r="M1501" t="str">
            <v>ADMINISTRATIVO</v>
          </cell>
          <cell r="N1501" t="str">
            <v>GRADO I.21</v>
          </cell>
          <cell r="O1501" t="str">
            <v>TÍTULO PROFESIONAL</v>
          </cell>
          <cell r="P1501" t="str">
            <v>INGENIERA EN INFORMÁTICA</v>
          </cell>
          <cell r="Q1501" t="str">
            <v>TALCA</v>
          </cell>
          <cell r="R1501" t="str">
            <v>DIRECCIÓN DE COMUNICACIONES CORPORATIVAS</v>
          </cell>
          <cell r="S1501" t="str">
            <v>DEPARTAMENTO DE BRANDING</v>
          </cell>
        </row>
        <row r="1502">
          <cell r="A1502">
            <v>26790953</v>
          </cell>
          <cell r="B1502" t="str">
            <v>26790953</v>
          </cell>
          <cell r="C1502" t="str">
            <v>9</v>
          </cell>
          <cell r="D1502" t="str">
            <v>SANCHEZ MUSTELLER YAIMA</v>
          </cell>
          <cell r="E1502" t="str">
            <v/>
          </cell>
          <cell r="F1502">
            <v>44</v>
          </cell>
          <cell r="G1502">
            <v>30</v>
          </cell>
          <cell r="H1502" t="str">
            <v>YAIMA.MUSTELIER@UTALCA.CL</v>
          </cell>
          <cell r="I1502">
            <v>45153</v>
          </cell>
          <cell r="J1502">
            <v>46387</v>
          </cell>
          <cell r="K1502" t="str">
            <v>CONTRATA</v>
          </cell>
          <cell r="L1502" t="str">
            <v>PROFESIONAL</v>
          </cell>
          <cell r="M1502" t="str">
            <v>PROFESIONAL</v>
          </cell>
          <cell r="N1502" t="str">
            <v>GRADO I.17</v>
          </cell>
          <cell r="O1502" t="str">
            <v>LICENCIADO</v>
          </cell>
          <cell r="P1502" t="str">
            <v>LICENCIADO EN CIENCIAS FARMACEUTICAS</v>
          </cell>
          <cell r="Q1502" t="str">
            <v>TALCA</v>
          </cell>
          <cell r="R1502" t="str">
            <v>INSTITUTO QUÍMICA DE RECURSOS NATURALES</v>
          </cell>
          <cell r="S1502" t="str">
            <v>INSTITUTO QUÍMICA DE RECURSOS NATURALES</v>
          </cell>
        </row>
        <row r="1503">
          <cell r="A1503">
            <v>26878389</v>
          </cell>
          <cell r="B1503" t="str">
            <v>26878389</v>
          </cell>
          <cell r="C1503" t="str">
            <v>K</v>
          </cell>
          <cell r="D1503" t="str">
            <v>RIOBUENO MARTINEZ LEAFAR ANTON</v>
          </cell>
          <cell r="E1503" t="str">
            <v>FAD320005</v>
          </cell>
          <cell r="F1503">
            <v>44</v>
          </cell>
          <cell r="G1503">
            <v>30</v>
          </cell>
          <cell r="H1503" t="str">
            <v>LEAFAR.RIOBUENO@UTALCA.CL</v>
          </cell>
          <cell r="I1503">
            <v>43572</v>
          </cell>
          <cell r="J1503">
            <v>46446</v>
          </cell>
          <cell r="K1503" t="str">
            <v>CONTRATA</v>
          </cell>
          <cell r="L1503" t="str">
            <v>CA DOCENTE</v>
          </cell>
          <cell r="M1503" t="str">
            <v>PROFESOR ASOCIADO</v>
          </cell>
          <cell r="N1503" t="str">
            <v>GRADO B</v>
          </cell>
          <cell r="O1503" t="str">
            <v>MAGISTER</v>
          </cell>
          <cell r="P1503" t="str">
            <v>MASTER EN INTERPRETACIÓN E INVESTIGACIÓN MUSI</v>
          </cell>
          <cell r="Q1503" t="str">
            <v>TALCA</v>
          </cell>
          <cell r="R1503" t="str">
            <v>FACULTAD DE ARQUITECTUR, MÚSICA Y DISEÑO</v>
          </cell>
          <cell r="S1503" t="str">
            <v>DEPTO. DE INTERP. Y FORM. MUSICAL ESPEC.</v>
          </cell>
        </row>
        <row r="1504">
          <cell r="A1504">
            <v>27527140</v>
          </cell>
          <cell r="B1504" t="str">
            <v>27527140</v>
          </cell>
          <cell r="C1504" t="str">
            <v>3</v>
          </cell>
          <cell r="D1504" t="str">
            <v>LUCENA BARBOZA FERNANDO JOSE</v>
          </cell>
          <cell r="E1504" t="str">
            <v>ADC030112</v>
          </cell>
          <cell r="F1504">
            <v>44</v>
          </cell>
          <cell r="G1504">
            <v>30</v>
          </cell>
          <cell r="H1504" t="str">
            <v>FERNANDO.LUCENA@UTALCA.CL</v>
          </cell>
          <cell r="I1504">
            <v>45413</v>
          </cell>
          <cell r="J1504">
            <v>46387</v>
          </cell>
          <cell r="K1504" t="str">
            <v>CONTRATA</v>
          </cell>
          <cell r="L1504" t="str">
            <v>TÉCNICO</v>
          </cell>
          <cell r="M1504" t="str">
            <v>TÉCNICO</v>
          </cell>
          <cell r="N1504" t="str">
            <v>GRADO I.23</v>
          </cell>
          <cell r="O1504" t="str">
            <v>TÉC. NIVEL SUPERIOR</v>
          </cell>
          <cell r="P1504" t="str">
            <v>TÉCNICO SUPERIOR EN PROGRAMACIÓN Y ANÁLISIS D</v>
          </cell>
          <cell r="Q1504" t="str">
            <v>TALCA</v>
          </cell>
          <cell r="R1504" t="str">
            <v>DIRECCIÓN DE ASEGURAMIENTO DE LA CALIDAD</v>
          </cell>
          <cell r="S1504" t="str">
            <v>DPTO. DE ANÁLISIS Y ASEGU. DE LA CALIDAD</v>
          </cell>
        </row>
        <row r="1505">
          <cell r="A1505">
            <v>27613744</v>
          </cell>
          <cell r="B1505" t="str">
            <v>27613744</v>
          </cell>
          <cell r="C1505" t="str">
            <v>1</v>
          </cell>
          <cell r="D1505" t="str">
            <v>MICHARD . ERWAN</v>
          </cell>
          <cell r="E1505" t="str">
            <v>ICB300001</v>
          </cell>
          <cell r="F1505">
            <v>44</v>
          </cell>
          <cell r="G1505">
            <v>30</v>
          </cell>
          <cell r="H1505" t="str">
            <v>ERWAN.MICHARD@UTALCA.CL</v>
          </cell>
          <cell r="I1505">
            <v>44409</v>
          </cell>
          <cell r="J1505">
            <v>2958465</v>
          </cell>
          <cell r="K1505" t="str">
            <v>PLANTA</v>
          </cell>
          <cell r="L1505" t="str">
            <v>CA ORDINARIA</v>
          </cell>
          <cell r="M1505" t="str">
            <v>PROFESOR ASOCIADO</v>
          </cell>
          <cell r="N1505" t="str">
            <v>GRADO B</v>
          </cell>
          <cell r="O1505" t="str">
            <v>DOCTORADO</v>
          </cell>
          <cell r="P1505" t="str">
            <v>DEVELOPPEMENT ET ADAPTATION DES PLANTES BIOOG</v>
          </cell>
          <cell r="Q1505" t="str">
            <v>TALCA</v>
          </cell>
          <cell r="R1505" t="str">
            <v>INSTITUTO DE CIENCIAS BIOLÓGICAS</v>
          </cell>
          <cell r="S1505" t="str">
            <v>INSTITUTO DE CIENCIAS BIOLÓGICAS</v>
          </cell>
        </row>
        <row r="1506">
          <cell r="A1506">
            <v>27846683</v>
          </cell>
          <cell r="B1506" t="str">
            <v>27846683</v>
          </cell>
          <cell r="C1506" t="str">
            <v>3</v>
          </cell>
          <cell r="D1506" t="str">
            <v>DUQUE FRANCO JORGE ARMANDO</v>
          </cell>
          <cell r="E1506" t="str">
            <v>VAC100001</v>
          </cell>
          <cell r="F1506">
            <v>44</v>
          </cell>
          <cell r="G1506">
            <v>30</v>
          </cell>
          <cell r="H1506" t="str">
            <v/>
          </cell>
          <cell r="I1506">
            <v>45880</v>
          </cell>
          <cell r="J1506">
            <v>46387</v>
          </cell>
          <cell r="K1506" t="str">
            <v>CONTRATA</v>
          </cell>
          <cell r="L1506" t="str">
            <v>C ESPECIALES</v>
          </cell>
          <cell r="M1506" t="str">
            <v>INVESTIGADOR</v>
          </cell>
          <cell r="N1506" t="str">
            <v>SIN GRADO</v>
          </cell>
          <cell r="O1506" t="str">
            <v>DOCTORADO</v>
          </cell>
          <cell r="P1506" t="str">
            <v>DOUTOR EM CIENCIAS</v>
          </cell>
          <cell r="Q1506" t="str">
            <v>TALCA</v>
          </cell>
          <cell r="R1506" t="str">
            <v>VICERRECTORÍA ACADÉMICA</v>
          </cell>
          <cell r="S1506" t="str">
            <v>VICERRECTORÍA ACADÉMICA</v>
          </cell>
        </row>
        <row r="1507">
          <cell r="A1507">
            <v>28260228</v>
          </cell>
          <cell r="B1507" t="str">
            <v>28260228</v>
          </cell>
          <cell r="C1507" t="str">
            <v>8</v>
          </cell>
          <cell r="D1507" t="str">
            <v>BAKHSHI  ELHAM</v>
          </cell>
          <cell r="E1507" t="str">
            <v>FCI320008</v>
          </cell>
          <cell r="F1507">
            <v>33</v>
          </cell>
          <cell r="G1507">
            <v>30</v>
          </cell>
          <cell r="H1507" t="str">
            <v>ELHAM.BAKHSHI@UTALCA.CL</v>
          </cell>
          <cell r="I1507">
            <v>45536</v>
          </cell>
          <cell r="J1507">
            <v>46446</v>
          </cell>
          <cell r="K1507" t="str">
            <v>CONTRATA</v>
          </cell>
          <cell r="L1507" t="str">
            <v>CA DOCENTE</v>
          </cell>
          <cell r="M1507" t="str">
            <v>INSTRUCTOR</v>
          </cell>
          <cell r="N1507" t="str">
            <v>GRADO D</v>
          </cell>
          <cell r="O1507" t="str">
            <v>DOCTORADO</v>
          </cell>
          <cell r="P1507" t="str">
            <v>PH.D MINING ENGINEERING-MINERAL EXPLORATION</v>
          </cell>
          <cell r="Q1507" t="str">
            <v>CURICO</v>
          </cell>
          <cell r="R1507" t="str">
            <v>FACULTAD DE INGENIERÍA</v>
          </cell>
          <cell r="S1507" t="str">
            <v>DEPARTAMENTO DE INGENIERÍA DE MINAS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suma total afiliados mas cargas"/>
    </sheetNames>
    <sheetDataSet>
      <sheetData sheetId="0">
        <row r="1">
          <cell r="E1" t="str">
            <v/>
          </cell>
        </row>
        <row r="2">
          <cell r="E2">
            <v>0</v>
          </cell>
        </row>
        <row r="3">
          <cell r="E3" t="str">
            <v/>
          </cell>
        </row>
        <row r="4">
          <cell r="E4" t="str">
            <v/>
          </cell>
        </row>
        <row r="5">
          <cell r="E5" t="str">
            <v>RUT</v>
          </cell>
          <cell r="AC5" t="str">
            <v>TOTAl + IVA</v>
          </cell>
        </row>
        <row r="7">
          <cell r="E7" t="str">
            <v>16997754-2</v>
          </cell>
          <cell r="AC7">
            <v>76677.258496900002</v>
          </cell>
        </row>
        <row r="9">
          <cell r="E9" t="str">
            <v>11288477-7</v>
          </cell>
          <cell r="AC9">
            <v>23114.217786699999</v>
          </cell>
        </row>
        <row r="10">
          <cell r="E10" t="str">
            <v>16454320-K</v>
          </cell>
          <cell r="AC10">
            <v>89946.505424200004</v>
          </cell>
        </row>
        <row r="12">
          <cell r="E12" t="str">
            <v>13454341-8</v>
          </cell>
          <cell r="AC12">
            <v>46396.156534599999</v>
          </cell>
        </row>
        <row r="13">
          <cell r="E13" t="str">
            <v>13699261-9</v>
          </cell>
          <cell r="AC13">
            <v>23114.217786699999</v>
          </cell>
        </row>
        <row r="14">
          <cell r="E14" t="str">
            <v>14096334-8</v>
          </cell>
          <cell r="AC14">
            <v>46396.156534599999</v>
          </cell>
        </row>
        <row r="15">
          <cell r="E15" t="str">
            <v>14372571-5</v>
          </cell>
          <cell r="AC15">
            <v>33126.909607299996</v>
          </cell>
        </row>
        <row r="16">
          <cell r="E16" t="str">
            <v>15991682-0</v>
          </cell>
          <cell r="AC16">
            <v>89946.505424200004</v>
          </cell>
        </row>
        <row r="18">
          <cell r="E18" t="str">
            <v>11320798-1</v>
          </cell>
          <cell r="AC18">
            <v>33126.909607299996</v>
          </cell>
        </row>
        <row r="19">
          <cell r="E19" t="str">
            <v>12109784-2</v>
          </cell>
          <cell r="AC19">
            <v>46396.156534599999</v>
          </cell>
        </row>
        <row r="20">
          <cell r="E20" t="str">
            <v>9270305-3</v>
          </cell>
          <cell r="AC20">
            <v>23114.217786699999</v>
          </cell>
        </row>
        <row r="21">
          <cell r="E21" t="str">
            <v>8879757-4</v>
          </cell>
          <cell r="AC21">
            <v>46396.156534599999</v>
          </cell>
        </row>
        <row r="22">
          <cell r="E22" t="str">
            <v>9545383-K</v>
          </cell>
          <cell r="AC22">
            <v>33126.909607299996</v>
          </cell>
        </row>
        <row r="23">
          <cell r="E23" t="str">
            <v>16270756-6</v>
          </cell>
          <cell r="AC23">
            <v>46396.156534599999</v>
          </cell>
        </row>
        <row r="24">
          <cell r="E24" t="str">
            <v>13206803-8</v>
          </cell>
          <cell r="AC24">
            <v>46396.156534599999</v>
          </cell>
        </row>
        <row r="25">
          <cell r="E25" t="str">
            <v>15805362-4</v>
          </cell>
          <cell r="AC25">
            <v>54902.084052099992</v>
          </cell>
        </row>
        <row r="27">
          <cell r="E27" t="str">
            <v>7097392-8</v>
          </cell>
          <cell r="AC27">
            <v>32832.3614887</v>
          </cell>
        </row>
        <row r="28">
          <cell r="E28" t="str">
            <v>13459074-2</v>
          </cell>
          <cell r="AC28">
            <v>46396.156534599999</v>
          </cell>
        </row>
        <row r="29">
          <cell r="E29" t="str">
            <v>16350400-6</v>
          </cell>
          <cell r="AC29">
            <v>89946.505424200004</v>
          </cell>
        </row>
        <row r="31">
          <cell r="E31" t="str">
            <v>14555025-4</v>
          </cell>
          <cell r="AC31">
            <v>46396.156534599999</v>
          </cell>
        </row>
        <row r="32">
          <cell r="E32" t="str">
            <v>11729069-7</v>
          </cell>
          <cell r="AC32">
            <v>54902.084052099992</v>
          </cell>
        </row>
        <row r="34">
          <cell r="E34" t="str">
            <v>14399417-1</v>
          </cell>
          <cell r="AC34">
            <v>46396.156534599999</v>
          </cell>
        </row>
        <row r="35">
          <cell r="E35" t="str">
            <v>16001930-1</v>
          </cell>
          <cell r="AC35">
            <v>46396.156534599999</v>
          </cell>
        </row>
        <row r="36">
          <cell r="E36" t="str">
            <v>15130564-4</v>
          </cell>
          <cell r="AC36">
            <v>46396.156534599999</v>
          </cell>
        </row>
        <row r="37">
          <cell r="E37" t="str">
            <v>8186262-1</v>
          </cell>
          <cell r="AC37">
            <v>23114.217786699999</v>
          </cell>
        </row>
        <row r="38">
          <cell r="E38" t="str">
            <v>9098526-4</v>
          </cell>
          <cell r="AC38">
            <v>46396.156534599999</v>
          </cell>
        </row>
        <row r="39">
          <cell r="E39" t="str">
            <v>10960782-7</v>
          </cell>
          <cell r="AC39">
            <v>68171.330979399994</v>
          </cell>
        </row>
        <row r="41">
          <cell r="E41" t="str">
            <v>13458926-4</v>
          </cell>
          <cell r="AC41">
            <v>33126.909607299996</v>
          </cell>
        </row>
        <row r="42">
          <cell r="E42" t="str">
            <v>15991561-1</v>
          </cell>
          <cell r="AC42">
            <v>46396.156534599999</v>
          </cell>
        </row>
        <row r="43">
          <cell r="E43" t="str">
            <v>15991561-1</v>
          </cell>
          <cell r="AC43" t="str">
            <v/>
          </cell>
        </row>
        <row r="44">
          <cell r="E44" t="str">
            <v>16298280-K</v>
          </cell>
          <cell r="AC44">
            <v>46396.156534599999</v>
          </cell>
        </row>
        <row r="45">
          <cell r="E45" t="str">
            <v>10212771-4</v>
          </cell>
          <cell r="AC45">
            <v>66664.56667629999</v>
          </cell>
        </row>
        <row r="47">
          <cell r="E47" t="str">
            <v>15791635-1</v>
          </cell>
          <cell r="AC47">
            <v>23114.217786699999</v>
          </cell>
        </row>
        <row r="48">
          <cell r="E48" t="str">
            <v>10087812-7</v>
          </cell>
          <cell r="AC48">
            <v>46396.156534599999</v>
          </cell>
        </row>
        <row r="49">
          <cell r="E49" t="str">
            <v>14495469-6</v>
          </cell>
          <cell r="AC49">
            <v>46396.156534599999</v>
          </cell>
        </row>
        <row r="50">
          <cell r="E50" t="str">
            <v>11130062-3</v>
          </cell>
          <cell r="AC50">
            <v>33126.909607299996</v>
          </cell>
        </row>
        <row r="51">
          <cell r="E51" t="str">
            <v>15809256-5</v>
          </cell>
          <cell r="AC51">
            <v>68171.330979399994</v>
          </cell>
        </row>
        <row r="53">
          <cell r="E53" t="str">
            <v>16938969-1</v>
          </cell>
          <cell r="AC53">
            <v>89946.505424200004</v>
          </cell>
        </row>
        <row r="55">
          <cell r="E55" t="str">
            <v>13766079-2</v>
          </cell>
          <cell r="AC55">
            <v>46396.156534599999</v>
          </cell>
        </row>
        <row r="56">
          <cell r="E56" t="str">
            <v>17884886-0</v>
          </cell>
          <cell r="AC56">
            <v>33126.909607299996</v>
          </cell>
        </row>
        <row r="57">
          <cell r="E57" t="str">
            <v>16299001-2</v>
          </cell>
          <cell r="AC57">
            <v>33126.909607299996</v>
          </cell>
        </row>
        <row r="58">
          <cell r="E58" t="str">
            <v>10030300-0</v>
          </cell>
          <cell r="AC58">
            <v>46396.156534599999</v>
          </cell>
        </row>
        <row r="59">
          <cell r="E59" t="str">
            <v>15630786-6</v>
          </cell>
          <cell r="AC59">
            <v>89946.505424200004</v>
          </cell>
        </row>
        <row r="61">
          <cell r="E61" t="str">
            <v>12920799-K</v>
          </cell>
          <cell r="AC61">
            <v>68171.330979399994</v>
          </cell>
        </row>
        <row r="63">
          <cell r="E63" t="str">
            <v>13938939-5</v>
          </cell>
          <cell r="AC63">
            <v>46396.156534599999</v>
          </cell>
        </row>
        <row r="64">
          <cell r="E64" t="str">
            <v>9517837-5</v>
          </cell>
          <cell r="AC64">
            <v>23114.217786699999</v>
          </cell>
        </row>
        <row r="65">
          <cell r="E65" t="str">
            <v>10801551-9</v>
          </cell>
          <cell r="AC65">
            <v>33126.909607299996</v>
          </cell>
        </row>
        <row r="66">
          <cell r="E66" t="str">
            <v>13858469-0</v>
          </cell>
          <cell r="AC66">
            <v>46396.156534599999</v>
          </cell>
        </row>
        <row r="67">
          <cell r="E67" t="str">
            <v>13305460-K</v>
          </cell>
          <cell r="AC67">
            <v>68171.330979399994</v>
          </cell>
        </row>
        <row r="69">
          <cell r="E69" t="str">
            <v>16555109-5</v>
          </cell>
          <cell r="AC69">
            <v>89946.505424200004</v>
          </cell>
        </row>
        <row r="71">
          <cell r="E71" t="str">
            <v>15943002-2</v>
          </cell>
          <cell r="AC71">
            <v>68171.330979399994</v>
          </cell>
        </row>
        <row r="73">
          <cell r="E73" t="str">
            <v>15155720-1</v>
          </cell>
          <cell r="AC73">
            <v>46396.156534599999</v>
          </cell>
        </row>
        <row r="74">
          <cell r="E74" t="str">
            <v>16001476-8</v>
          </cell>
          <cell r="AC74">
            <v>46396.156534599999</v>
          </cell>
        </row>
        <row r="75">
          <cell r="E75" t="str">
            <v>14200190-K</v>
          </cell>
          <cell r="AC75">
            <v>46396.156534599999</v>
          </cell>
        </row>
        <row r="77">
          <cell r="AC77">
            <v>2637326.2260827012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FD6EE-4197-4D36-B84A-19566007032C}" name="Tabla1" displayName="Tabla1" ref="B1:H229" totalsRowShown="0">
  <autoFilter ref="B1:H229" xr:uid="{6A3FD6EE-4197-4D36-B84A-19566007032C}"/>
  <sortState xmlns:xlrd2="http://schemas.microsoft.com/office/spreadsheetml/2017/richdata2" ref="B2:F229">
    <sortCondition ref="C2:C229"/>
  </sortState>
  <tableColumns count="7">
    <tableColumn id="1" xr3:uid="{D8CE6798-F882-4D92-8295-0002F7DBE375}" name="NRO. PERSONAL" dataDxfId="5" totalsRowDxfId="4"/>
    <tableColumn id="2" xr3:uid="{3228B7E1-0C8E-46B0-AAE1-C673FE12228C}" name="APELLIDO NOMBRE"/>
    <tableColumn id="3" xr3:uid="{57B4D092-EEC3-43CC-A39B-A210305D5EBD}" name="MAIL">
      <calculatedColumnFormula>VLOOKUP(B2,[1]Sheet1!$B:$H,7,FALSE)</calculatedColumnFormula>
    </tableColumn>
    <tableColumn id="4" xr3:uid="{044AB5A9-BAB3-4EF0-9037-C3E9B40ABDC6}" name="DIVISION SUPERIOR" dataDxfId="3">
      <calculatedColumnFormula>VLOOKUP(Tabla1[[#This Row],[NRO. PERSONAL]],[2]Sheet1!$A:$R,18,FALSE)</calculatedColumnFormula>
    </tableColumn>
    <tableColumn id="5" xr3:uid="{8B542DC3-3901-4323-A43B-D61BC06F0D2D}" name="UNIDAD PERTENENCIA" dataDxfId="2">
      <calculatedColumnFormula>VLOOKUP(Tabla1[[#This Row],[NRO. PERSONAL]],[2]Sheet1!$A:$S,19,FALSE)</calculatedColumnFormula>
    </tableColumn>
    <tableColumn id="6" xr3:uid="{EF45CAE5-D6B2-4F3F-B3AF-300CF8213BBB}" name="Cuota Asociación" dataDxfId="1"/>
    <tableColumn id="7" xr3:uid="{635866B6-100A-494D-92E0-625158C5E57C}" name="Seguro Salud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NDREACERDA@UTALC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67CA-287A-4629-85CF-D99B0AEE7ECB}">
  <dimension ref="A1:H229"/>
  <sheetViews>
    <sheetView workbookViewId="0">
      <selection sqref="A1:XFD1048576"/>
    </sheetView>
  </sheetViews>
  <sheetFormatPr baseColWidth="10" defaultRowHeight="14.5" x14ac:dyDescent="0.35"/>
  <cols>
    <col min="1" max="1" width="4.81640625" bestFit="1" customWidth="1"/>
    <col min="2" max="2" width="16.6328125" bestFit="1" customWidth="1"/>
    <col min="3" max="3" width="35" bestFit="1" customWidth="1"/>
    <col min="4" max="4" width="30.81640625" bestFit="1" customWidth="1"/>
    <col min="5" max="5" width="40.36328125" bestFit="1" customWidth="1"/>
    <col min="6" max="6" width="42.6328125" bestFit="1" customWidth="1"/>
  </cols>
  <sheetData>
    <row r="1" spans="1:8" x14ac:dyDescent="0.35">
      <c r="A1" t="s">
        <v>193</v>
      </c>
      <c r="B1" t="s">
        <v>192</v>
      </c>
      <c r="C1" t="s">
        <v>191</v>
      </c>
      <c r="D1" t="s">
        <v>190</v>
      </c>
      <c r="E1" t="s">
        <v>214</v>
      </c>
      <c r="F1" t="s">
        <v>215</v>
      </c>
      <c r="G1" t="s">
        <v>235</v>
      </c>
      <c r="H1" t="s">
        <v>236</v>
      </c>
    </row>
    <row r="2" spans="1:8" x14ac:dyDescent="0.35">
      <c r="A2">
        <v>1</v>
      </c>
      <c r="B2">
        <v>13077406</v>
      </c>
      <c r="C2" t="s">
        <v>119</v>
      </c>
      <c r="D2" t="str">
        <f>VLOOKUP(B2,[1]Sheet1!$B:$H,7,FALSE)</f>
        <v>PABACA@UTALCA.CL</v>
      </c>
      <c r="E2" t="str">
        <f>VLOOKUP(Tabla1[[#This Row],[NRO. PERSONAL]],[2]Sheet1!$A:$R,18,FALSE)</f>
        <v>FACULTAD DE CIENCIAS DE LA SALUD</v>
      </c>
      <c r="F2" t="str">
        <f>VLOOKUP(Tabla1[[#This Row],[NRO. PERSONAL]],[2]Sheet1!$A:$S,19,FALSE)</f>
        <v>DEPARTAMENTO DE MICROBIOLOGÍA</v>
      </c>
      <c r="G2" s="2"/>
      <c r="H2" s="2"/>
    </row>
    <row r="3" spans="1:8" x14ac:dyDescent="0.35">
      <c r="A3">
        <v>2</v>
      </c>
      <c r="B3">
        <v>16997754</v>
      </c>
      <c r="C3" t="s">
        <v>22</v>
      </c>
      <c r="D3" t="str">
        <f>VLOOKUP(B3,[1]Sheet1!$B:$H,7,FALSE)</f>
        <v>FADRIAZOLA@UTALCA.CL</v>
      </c>
      <c r="E3" t="str">
        <f>VLOOKUP(Tabla1[[#This Row],[NRO. PERSONAL]],[2]Sheet1!$A:$R,18,FALSE)</f>
        <v>FACULTAD DE CIENCIAS DE LA SALUD</v>
      </c>
      <c r="F3" t="str">
        <f>VLOOKUP(Tabla1[[#This Row],[NRO. PERSONAL]],[2]Sheet1!$A:$S,19,FALSE)</f>
        <v>DEPTO. CIENCIAS DEL CUIDADO EN ENFERM.</v>
      </c>
      <c r="G3" s="2"/>
      <c r="H3" s="2"/>
    </row>
    <row r="4" spans="1:8" x14ac:dyDescent="0.35">
      <c r="A4">
        <v>3</v>
      </c>
      <c r="B4">
        <v>10764734</v>
      </c>
      <c r="C4" t="s">
        <v>145</v>
      </c>
      <c r="D4" t="str">
        <f>VLOOKUP(B4,[1]Sheet1!$B:$H,7,FALSE)</f>
        <v>JOALARCON@UTALCA.CL</v>
      </c>
      <c r="E4" t="str">
        <f>VLOOKUP(Tabla1[[#This Row],[NRO. PERSONAL]],[2]Sheet1!$A:$R,18,FALSE)</f>
        <v>FACULTAD DE CIENCIAS DE LA EDUCACIÓN</v>
      </c>
      <c r="F4" t="str">
        <f>VLOOKUP(Tabla1[[#This Row],[NRO. PERSONAL]],[2]Sheet1!$A:$S,19,FALSE)</f>
        <v>CENTRO INVESTIGACION DESAR. EDUCACIONAL</v>
      </c>
      <c r="G4" s="2"/>
      <c r="H4" s="2"/>
    </row>
    <row r="5" spans="1:8" x14ac:dyDescent="0.35">
      <c r="A5">
        <v>4</v>
      </c>
      <c r="B5">
        <v>13371939</v>
      </c>
      <c r="C5" t="s">
        <v>111</v>
      </c>
      <c r="D5" t="str">
        <f>VLOOKUP(B5,[1]Sheet1!$B:$H,7,FALSE)</f>
        <v>MEALBORNOZ@UTALCA.CL</v>
      </c>
      <c r="E5" t="str">
        <f>VLOOKUP(Tabla1[[#This Row],[NRO. PERSONAL]],[2]Sheet1!$A:$R,18,FALSE)</f>
        <v>FACULTAD DE CIENCIAS DE LA SALUD</v>
      </c>
      <c r="F5" t="str">
        <f>VLOOKUP(Tabla1[[#This Row],[NRO. PERSONAL]],[2]Sheet1!$A:$S,19,FALSE)</f>
        <v>DPTO. DE CIENCIAS BÁSICAS BIOMÉDICAS</v>
      </c>
      <c r="G5" s="2"/>
      <c r="H5" s="2"/>
    </row>
    <row r="6" spans="1:8" x14ac:dyDescent="0.35">
      <c r="A6">
        <v>5</v>
      </c>
      <c r="B6">
        <v>15013097</v>
      </c>
      <c r="C6" t="s">
        <v>217</v>
      </c>
      <c r="D6" t="str">
        <f>VLOOKUP(B6,[1]Sheet1!$B:$H,7,FALSE)</f>
        <v>EALVAREZ@UTALCA.CL</v>
      </c>
      <c r="E6" t="str">
        <f>VLOOKUP(Tabla1[[#This Row],[NRO. PERSONAL]],[2]Sheet1!$A:$R,18,FALSE)</f>
        <v>FACULTAD DE INGENIERÍA</v>
      </c>
      <c r="F6" t="str">
        <f>VLOOKUP(Tabla1[[#This Row],[NRO. PERSONAL]],[2]Sheet1!$A:$S,19,FALSE)</f>
        <v>DEPARTAMENTO DE INGENIERÍA INDUSTRIAL</v>
      </c>
      <c r="G6" s="2"/>
      <c r="H6" s="2"/>
    </row>
    <row r="7" spans="1:8" x14ac:dyDescent="0.35">
      <c r="A7">
        <v>6</v>
      </c>
      <c r="B7">
        <v>11288477</v>
      </c>
      <c r="C7" t="s">
        <v>137</v>
      </c>
      <c r="D7" t="str">
        <f>VLOOKUP(B7,[1]Sheet1!$B:$H,7,FALSE)</f>
        <v>SALVEAR@UTALCA.CL</v>
      </c>
      <c r="E7" t="str">
        <f>VLOOKUP(Tabla1[[#This Row],[NRO. PERSONAL]],[2]Sheet1!$A:$R,18,FALSE)</f>
        <v>FACULTAD DE ECONOMÍA Y NEGOCIOS</v>
      </c>
      <c r="F7" t="str">
        <f>VLOOKUP(Tabla1[[#This Row],[NRO. PERSONAL]],[2]Sheet1!$A:$S,19,FALSE)</f>
        <v>ESC. AUDITORIA Y CONTROL DE GESTIÓN TLCA</v>
      </c>
      <c r="G7" s="2"/>
      <c r="H7" s="2"/>
    </row>
    <row r="8" spans="1:8" x14ac:dyDescent="0.35">
      <c r="A8">
        <v>7</v>
      </c>
      <c r="B8">
        <v>13612039</v>
      </c>
      <c r="C8" t="s">
        <v>100</v>
      </c>
      <c r="D8" t="str">
        <f>VLOOKUP(B8,[1]Sheet1!$B:$H,7,FALSE)</f>
        <v>CAMIGO@UTALCA.CL</v>
      </c>
      <c r="E8" t="str">
        <f>VLOOKUP(Tabla1[[#This Row],[NRO. PERSONAL]],[2]Sheet1!$A:$R,18,FALSE)</f>
        <v>FACULTAD DE CIENCIAS DE LA SALUD</v>
      </c>
      <c r="F8" t="str">
        <f>VLOOKUP(Tabla1[[#This Row],[NRO. PERSONAL]],[2]Sheet1!$A:$S,19,FALSE)</f>
        <v>DEPTO. CIENCIAS DEL CUIDADO EN ENFERM.</v>
      </c>
      <c r="G8" s="2"/>
      <c r="H8" s="2"/>
    </row>
    <row r="9" spans="1:8" x14ac:dyDescent="0.35">
      <c r="A9">
        <v>8</v>
      </c>
      <c r="B9">
        <v>16454320</v>
      </c>
      <c r="C9" t="s">
        <v>30</v>
      </c>
      <c r="D9" t="str">
        <f>VLOOKUP(B9,[1]Sheet1!$B:$H,7,FALSE)</f>
        <v>EANDRADES@UTALCA.CL</v>
      </c>
      <c r="E9" t="str">
        <f>VLOOKUP(Tabla1[[#This Row],[NRO. PERSONAL]],[2]Sheet1!$A:$R,18,FALSE)</f>
        <v>FACULTAD DE CIENCIAS DE LA SALUD</v>
      </c>
      <c r="F9" t="str">
        <f>VLOOKUP(Tabla1[[#This Row],[NRO. PERSONAL]],[2]Sheet1!$A:$S,19,FALSE)</f>
        <v>ESCUELA DE OBSTETRICIA Y PUERICULTURA</v>
      </c>
      <c r="G9" s="2"/>
      <c r="H9" s="2"/>
    </row>
    <row r="10" spans="1:8" x14ac:dyDescent="0.35">
      <c r="A10">
        <v>9</v>
      </c>
      <c r="B10">
        <v>13454341</v>
      </c>
      <c r="C10" t="s">
        <v>109</v>
      </c>
      <c r="D10" t="str">
        <f>VLOOKUP(B10,[1]Sheet1!$B:$H,7,FALSE)</f>
        <v>CLARAYA@UTALCA.CL</v>
      </c>
      <c r="E10" t="str">
        <f>VLOOKUP(Tabla1[[#This Row],[NRO. PERSONAL]],[2]Sheet1!$A:$R,18,FALSE)</f>
        <v>FACULTAD DE CIENCIAS DE LA SALUD</v>
      </c>
      <c r="F10" t="str">
        <f>VLOOKUP(Tabla1[[#This Row],[NRO. PERSONAL]],[2]Sheet1!$A:$S,19,FALSE)</f>
        <v>DPTO. BIOQUÍM. CLÍN. E INMUNOHEMATOLOGÍA</v>
      </c>
      <c r="G10" s="2"/>
      <c r="H10" s="2"/>
    </row>
    <row r="11" spans="1:8" x14ac:dyDescent="0.35">
      <c r="A11">
        <v>10</v>
      </c>
      <c r="B11">
        <v>13776374</v>
      </c>
      <c r="C11" t="s">
        <v>93</v>
      </c>
      <c r="D11" t="str">
        <f>VLOOKUP(B11,[1]Sheet1!$B:$H,7,FALSE)</f>
        <v>MARENAS@UTALCA.CL</v>
      </c>
      <c r="E11" t="str">
        <f>VLOOKUP(Tabla1[[#This Row],[NRO. PERSONAL]],[2]Sheet1!$A:$R,18,FALSE)</f>
        <v>FACULTAD DE INGENIERÍA</v>
      </c>
      <c r="F11" t="str">
        <f>VLOOKUP(Tabla1[[#This Row],[NRO. PERSONAL]],[2]Sheet1!$A:$S,19,FALSE)</f>
        <v>DEPARTAMENTO DE BIOINFORMÁTICA</v>
      </c>
      <c r="G11" s="2"/>
      <c r="H11" s="2"/>
    </row>
    <row r="12" spans="1:8" x14ac:dyDescent="0.35">
      <c r="A12">
        <v>11</v>
      </c>
      <c r="B12">
        <v>17059038</v>
      </c>
      <c r="C12" t="s">
        <v>19</v>
      </c>
      <c r="D12" t="str">
        <f>VLOOKUP(B12,[1]Sheet1!$B:$H,7,FALSE)</f>
        <v>FARENAS@UTALCA.CL</v>
      </c>
      <c r="E12" t="str">
        <f>VLOOKUP(Tabla1[[#This Row],[NRO. PERSONAL]],[2]Sheet1!$A:$R,18,FALSE)</f>
        <v>FACULTAD DE ECONOMÍA Y NEGOCIOS</v>
      </c>
      <c r="F12" t="str">
        <f>VLOOKUP(Tabla1[[#This Row],[NRO. PERSONAL]],[2]Sheet1!$A:$S,19,FALSE)</f>
        <v>ESC. AUDITORIA Y CONTROL DE GESTIÓN TLCA</v>
      </c>
      <c r="G12" s="2"/>
      <c r="H12" s="2"/>
    </row>
    <row r="13" spans="1:8" x14ac:dyDescent="0.35">
      <c r="A13">
        <v>12</v>
      </c>
      <c r="B13">
        <v>13895761</v>
      </c>
      <c r="C13" t="s">
        <v>88</v>
      </c>
      <c r="D13" t="str">
        <f>VLOOKUP(B13,[1]Sheet1!$B:$H,7,FALSE)</f>
        <v>FARIAS@UTALCA.CL</v>
      </c>
      <c r="E13" t="str">
        <f>VLOOKUP(Tabla1[[#This Row],[NRO. PERSONAL]],[2]Sheet1!$A:$R,18,FALSE)</f>
        <v>FACULTAD DE INGENIERÍA</v>
      </c>
      <c r="F13" t="str">
        <f>VLOOKUP(Tabla1[[#This Row],[NRO. PERSONAL]],[2]Sheet1!$A:$S,19,FALSE)</f>
        <v>DPTO. DE CIENCIAS DE LA COMPUTACIÓN</v>
      </c>
      <c r="G13" s="2"/>
      <c r="H13" s="2"/>
    </row>
    <row r="14" spans="1:8" x14ac:dyDescent="0.35">
      <c r="A14">
        <v>13</v>
      </c>
      <c r="B14">
        <v>15144619</v>
      </c>
      <c r="C14" t="s">
        <v>63</v>
      </c>
      <c r="D14" t="str">
        <f>VLOOKUP(B14,[1]Sheet1!$B:$H,7,FALSE)</f>
        <v>JOSE.ARROYO@UTALCA.CL</v>
      </c>
      <c r="E14" t="str">
        <f>VLOOKUP(Tabla1[[#This Row],[NRO. PERSONAL]],[2]Sheet1!$A:$R,18,FALSE)</f>
        <v>FACULTAD DE CIENCIAS DE LA SALUD</v>
      </c>
      <c r="F14" t="str">
        <f>VLOOKUP(Tabla1[[#This Row],[NRO. PERSONAL]],[2]Sheet1!$A:$S,19,FALSE)</f>
        <v>DEPTO. CIENCIAS DEL CUIDADO EN ENFERM.</v>
      </c>
      <c r="G14" s="2"/>
      <c r="H14" s="2"/>
    </row>
    <row r="15" spans="1:8" x14ac:dyDescent="0.35">
      <c r="A15">
        <v>14</v>
      </c>
      <c r="B15">
        <v>13137660</v>
      </c>
      <c r="C15" t="s">
        <v>117</v>
      </c>
      <c r="D15" t="str">
        <f>VLOOKUP(B15,[1]Sheet1!$B:$H,7,FALSE)</f>
        <v>CASTUDILLO@UTALCA.CL</v>
      </c>
      <c r="E15" t="str">
        <f>VLOOKUP(Tabla1[[#This Row],[NRO. PERSONAL]],[2]Sheet1!$A:$R,18,FALSE)</f>
        <v>FACULTAD DE INGENIERÍA</v>
      </c>
      <c r="F15" t="str">
        <f>VLOOKUP(Tabla1[[#This Row],[NRO. PERSONAL]],[2]Sheet1!$A:$S,19,FALSE)</f>
        <v>DPTO. DE CIENCIAS DE LA COMPUTACIÓN</v>
      </c>
      <c r="G15" s="2"/>
      <c r="H15" s="2"/>
    </row>
    <row r="16" spans="1:8" x14ac:dyDescent="0.35">
      <c r="A16">
        <v>15</v>
      </c>
      <c r="B16">
        <v>9803981</v>
      </c>
      <c r="C16" t="s">
        <v>162</v>
      </c>
      <c r="D16" t="str">
        <f>VLOOKUP(B16,[1]Sheet1!$B:$H,7,FALSE)</f>
        <v>MASTUDILLO@UTALCA.CL</v>
      </c>
      <c r="E16" t="str">
        <f>VLOOKUP(Tabla1[[#This Row],[NRO. PERSONAL]],[2]Sheet1!$A:$R,18,FALSE)</f>
        <v>FACULTAD DE CIENCIAS DE LA SALUD</v>
      </c>
      <c r="F16" t="str">
        <f>VLOOKUP(Tabla1[[#This Row],[NRO. PERSONAL]],[2]Sheet1!$A:$S,19,FALSE)</f>
        <v>DEPTO. CIENCIAS DEL CUIDADO EN ENFERM.</v>
      </c>
      <c r="G16" s="2"/>
      <c r="H16" s="2"/>
    </row>
    <row r="17" spans="1:8" x14ac:dyDescent="0.35">
      <c r="A17">
        <v>16</v>
      </c>
      <c r="B17" s="2">
        <v>13699261</v>
      </c>
      <c r="C17" t="s">
        <v>233</v>
      </c>
      <c r="D17" t="str">
        <f>VLOOKUP(B17,[1]Sheet1!$B:$H,7,FALSE)</f>
        <v>NAVILA@UTALCA.CL</v>
      </c>
      <c r="E17" s="2" t="str">
        <f>VLOOKUP(Tabla1[[#This Row],[NRO. PERSONAL]],[2]Sheet1!$A:$R,18,FALSE)</f>
        <v>FACULTAD DE ODONTOLOGÍA</v>
      </c>
      <c r="F17" s="2" t="str">
        <f>VLOOKUP(Tabla1[[#This Row],[NRO. PERSONAL]],[2]Sheet1!$A:$S,19,FALSE)</f>
        <v>FACULTAD DE ODONTOLOGÍA</v>
      </c>
      <c r="G17" s="2"/>
      <c r="H17" s="2"/>
    </row>
    <row r="18" spans="1:8" x14ac:dyDescent="0.35">
      <c r="A18">
        <v>17</v>
      </c>
      <c r="B18">
        <v>15617614</v>
      </c>
      <c r="C18" t="s">
        <v>52</v>
      </c>
      <c r="D18" t="str">
        <f>VLOOKUP(B18,[1]Sheet1!$B:$H,7,FALSE)</f>
        <v>FAVILAC@UTALCA.CL</v>
      </c>
      <c r="E18" t="str">
        <f>VLOOKUP(Tabla1[[#This Row],[NRO. PERSONAL]],[2]Sheet1!$A:$R,18,FALSE)</f>
        <v>FACULTAD DE CIENCIAS DE LA SALUD</v>
      </c>
      <c r="F18" t="str">
        <f>VLOOKUP(Tabla1[[#This Row],[NRO. PERSONAL]],[2]Sheet1!$A:$S,19,FALSE)</f>
        <v>DEPTO. CIENCIAS DE LA NUT. Y ALIMENTOS</v>
      </c>
      <c r="G18" s="2"/>
      <c r="H18" s="2"/>
    </row>
    <row r="19" spans="1:8" x14ac:dyDescent="0.35">
      <c r="A19">
        <v>18</v>
      </c>
      <c r="B19">
        <v>17187067</v>
      </c>
      <c r="C19" t="s">
        <v>18</v>
      </c>
      <c r="D19" t="str">
        <f>VLOOKUP(B19,[1]Sheet1!$B:$H,7,FALSE)</f>
        <v>CESAR.AVILA@UTALCA.CL</v>
      </c>
      <c r="E19" t="str">
        <f>VLOOKUP(Tabla1[[#This Row],[NRO. PERSONAL]],[2]Sheet1!$A:$R,18,FALSE)</f>
        <v>FACULTAD DE CIENCIAS DE LA SALUD</v>
      </c>
      <c r="F19" t="str">
        <f>VLOOKUP(Tabla1[[#This Row],[NRO. PERSONAL]],[2]Sheet1!$A:$S,19,FALSE)</f>
        <v>DPTO. DE CIENCIAS BÁSICAS BIOMÉDICAS</v>
      </c>
      <c r="G19" s="2"/>
      <c r="H19" s="2"/>
    </row>
    <row r="20" spans="1:8" x14ac:dyDescent="0.35">
      <c r="A20">
        <v>19</v>
      </c>
      <c r="B20">
        <v>9193027</v>
      </c>
      <c r="C20" t="s">
        <v>170</v>
      </c>
      <c r="D20" t="str">
        <f>VLOOKUP(B20,[1]Sheet1!$B:$H,7,FALSE)</f>
        <v>TAZOCAR@UTALCA.CL</v>
      </c>
      <c r="E20" t="str">
        <f>VLOOKUP(Tabla1[[#This Row],[NRO. PERSONAL]],[2]Sheet1!$A:$R,18,FALSE)</f>
        <v>FACULTAD DE ODONTOLOGÍA</v>
      </c>
      <c r="F20" t="str">
        <f>VLOOKUP(Tabla1[[#This Row],[NRO. PERSONAL]],[2]Sheet1!$A:$S,19,FALSE)</f>
        <v>DPTO. REHABILITACIÓN BUCO-MAXILOFACIAL</v>
      </c>
      <c r="G20" s="2"/>
      <c r="H20" s="2"/>
    </row>
    <row r="21" spans="1:8" x14ac:dyDescent="0.35">
      <c r="A21">
        <v>20</v>
      </c>
      <c r="B21">
        <v>22110036</v>
      </c>
      <c r="C21" t="s">
        <v>7</v>
      </c>
      <c r="D21" t="str">
        <f>VLOOKUP(B21,[1]Sheet1!$B:$H,7,FALSE)</f>
        <v>MBARDEEN@UTALCA.CL</v>
      </c>
      <c r="E21" t="str">
        <f>VLOOKUP(Tabla1[[#This Row],[NRO. PERSONAL]],[2]Sheet1!$A:$R,18,FALSE)</f>
        <v>FACULTAD DE INGENIERÍA</v>
      </c>
      <c r="F21" t="str">
        <f>VLOOKUP(Tabla1[[#This Row],[NRO. PERSONAL]],[2]Sheet1!$A:$S,19,FALSE)</f>
        <v>DPTO. DE CIENCIAS DE LA COMPUTACIÓN</v>
      </c>
      <c r="G21" s="2"/>
      <c r="H21" s="2"/>
    </row>
    <row r="22" spans="1:8" x14ac:dyDescent="0.35">
      <c r="A22">
        <v>21</v>
      </c>
      <c r="B22">
        <v>9371495</v>
      </c>
      <c r="C22" t="s">
        <v>167</v>
      </c>
      <c r="D22" t="str">
        <f>VLOOKUP(B22,[1]Sheet1!$B:$H,7,FALSE)</f>
        <v>JBARRERA@UTALCA.CL</v>
      </c>
      <c r="E22" t="str">
        <f>VLOOKUP(Tabla1[[#This Row],[NRO. PERSONAL]],[2]Sheet1!$A:$R,18,FALSE)</f>
        <v>INSTITUTO DE MATEMÁTICAS</v>
      </c>
      <c r="F22" t="str">
        <f>VLOOKUP(Tabla1[[#This Row],[NRO. PERSONAL]],[2]Sheet1!$A:$S,19,FALSE)</f>
        <v>INSTITUTO DE MATEMÁTICAS</v>
      </c>
      <c r="G22" s="2"/>
      <c r="H22" s="2"/>
    </row>
    <row r="23" spans="1:8" x14ac:dyDescent="0.35">
      <c r="A23">
        <v>22</v>
      </c>
      <c r="B23">
        <v>15598255</v>
      </c>
      <c r="C23" t="s">
        <v>54</v>
      </c>
      <c r="D23" t="str">
        <f>VLOOKUP(B23,[1]Sheet1!$B:$H,7,FALSE)</f>
        <v>ABARRERA@UTALCA.CL</v>
      </c>
      <c r="E23" t="str">
        <f>VLOOKUP(Tabla1[[#This Row],[NRO. PERSONAL]],[2]Sheet1!$A:$R,18,FALSE)</f>
        <v>FACULTAD DE CIENCIAS DE LA SALUD</v>
      </c>
      <c r="F23" t="str">
        <f>VLOOKUP(Tabla1[[#This Row],[NRO. PERSONAL]],[2]Sheet1!$A:$S,19,FALSE)</f>
        <v>DEPARTAMENTO DE MICROBIOLOGÍA</v>
      </c>
      <c r="G23" s="2"/>
      <c r="H23" s="2"/>
    </row>
    <row r="24" spans="1:8" x14ac:dyDescent="0.35">
      <c r="A24">
        <v>23</v>
      </c>
      <c r="B24">
        <v>14096334</v>
      </c>
      <c r="C24" t="s">
        <v>224</v>
      </c>
      <c r="D24" t="str">
        <f>VLOOKUP(B24,[1]Sheet1!$B:$H,7,FALSE)</f>
        <v>NBARRIGA@UTALCA.CL</v>
      </c>
      <c r="E24" t="str">
        <f>VLOOKUP(Tabla1[[#This Row],[NRO. PERSONAL]],[2]Sheet1!$A:$R,18,FALSE)</f>
        <v>FACULTAD DE INGENIERÍA</v>
      </c>
      <c r="F24" t="str">
        <f>VLOOKUP(Tabla1[[#This Row],[NRO. PERSONAL]],[2]Sheet1!$A:$S,19,FALSE)</f>
        <v>DPTO. VISUALI. INTERACTIVA Y REA.VIRTUAL</v>
      </c>
      <c r="G24" s="2"/>
      <c r="H24" s="2"/>
    </row>
    <row r="25" spans="1:8" x14ac:dyDescent="0.35">
      <c r="A25">
        <v>24</v>
      </c>
      <c r="B25">
        <v>7354667</v>
      </c>
      <c r="C25" t="s">
        <v>204</v>
      </c>
      <c r="D25" t="str">
        <f>VLOOKUP(B25,[1]Sheet1!$B:$H,7,FALSE)</f>
        <v>CBECERRA@UTALCA.CL</v>
      </c>
      <c r="E25" t="str">
        <f>VLOOKUP(Tabla1[[#This Row],[NRO. PERSONAL]],[2]Sheet1!$A:$R,18,FALSE)</f>
        <v>FACULTAD DE CIENCIAS DE LA EDUCACIÓN</v>
      </c>
      <c r="F25" t="str">
        <f>VLOOKUP(Tabla1[[#This Row],[NRO. PERSONAL]],[2]Sheet1!$A:$S,19,FALSE)</f>
        <v>ESC. PDG.CIENCIAS NATURALES Y EXACTAS</v>
      </c>
      <c r="G25" s="2"/>
      <c r="H25" s="2"/>
    </row>
    <row r="26" spans="1:8" x14ac:dyDescent="0.35">
      <c r="A26">
        <v>25</v>
      </c>
      <c r="B26">
        <v>14372571</v>
      </c>
      <c r="C26" t="s">
        <v>79</v>
      </c>
      <c r="D26" t="str">
        <f>VLOOKUP(B26,[1]Sheet1!$B:$H,7,FALSE)</f>
        <v>JBELTRAN@UTALCA.CL</v>
      </c>
      <c r="E26" t="str">
        <f>VLOOKUP(Tabla1[[#This Row],[NRO. PERSONAL]],[2]Sheet1!$A:$R,18,FALSE)</f>
        <v>FACULTAD DE ECONOMÍA Y NEGOCIOS</v>
      </c>
      <c r="F26" t="str">
        <f>VLOOKUP(Tabla1[[#This Row],[NRO. PERSONAL]],[2]Sheet1!$A:$S,19,FALSE)</f>
        <v>ESCUELA DE INGENIERÍA COMERCIAL DE TALCA</v>
      </c>
      <c r="G26" s="2"/>
      <c r="H26" s="2"/>
    </row>
    <row r="27" spans="1:8" x14ac:dyDescent="0.35">
      <c r="A27">
        <v>26</v>
      </c>
      <c r="B27">
        <v>10460707</v>
      </c>
      <c r="C27" t="s">
        <v>150</v>
      </c>
      <c r="D27" t="str">
        <f>VLOOKUP(B27,[1]Sheet1!$B:$H,7,FALSE)</f>
        <v>NBENAVIDES@UTALCA.CL</v>
      </c>
      <c r="E27" t="str">
        <f>VLOOKUP(Tabla1[[#This Row],[NRO. PERSONAL]],[2]Sheet1!$A:$R,18,FALSE)</f>
        <v>FACULTAD DE CIENCIAS DE LA EDUCACIÓN</v>
      </c>
      <c r="F27" t="str">
        <f>VLOOKUP(Tabla1[[#This Row],[NRO. PERSONAL]],[2]Sheet1!$A:$S,19,FALSE)</f>
        <v>CENTRO INVESTIGACION DESAR. EDUCACIONAL</v>
      </c>
      <c r="G27" s="2"/>
      <c r="H27" s="2"/>
    </row>
    <row r="28" spans="1:8" x14ac:dyDescent="0.35">
      <c r="A28">
        <v>27</v>
      </c>
      <c r="B28">
        <v>15991682</v>
      </c>
      <c r="C28" t="s">
        <v>39</v>
      </c>
      <c r="D28" t="str">
        <f>VLOOKUP(B28,[1]Sheet1!$B:$H,7,FALSE)</f>
        <v>GBENAVIDES@UTALCA.CL</v>
      </c>
      <c r="E28" t="str">
        <f>VLOOKUP(Tabla1[[#This Row],[NRO. PERSONAL]],[2]Sheet1!$A:$R,18,FALSE)</f>
        <v>FACULTAD DE CIENCIAS DE LA SALUD</v>
      </c>
      <c r="F28" t="str">
        <f>VLOOKUP(Tabla1[[#This Row],[NRO. PERSONAL]],[2]Sheet1!$A:$S,19,FALSE)</f>
        <v>DPTO. DE CIENCIAS DE FONOAUDIOLOGÍA</v>
      </c>
      <c r="G28" s="2"/>
      <c r="H28" s="2"/>
    </row>
    <row r="29" spans="1:8" x14ac:dyDescent="0.35">
      <c r="A29">
        <v>28</v>
      </c>
      <c r="B29">
        <v>22277695</v>
      </c>
      <c r="C29" t="s">
        <v>5</v>
      </c>
      <c r="D29" t="str">
        <f>VLOOKUP(B29,[1]Sheet1!$B:$H,7,FALSE)</f>
        <v>ANDREA.BENTANCOR@UTALCA.CL</v>
      </c>
      <c r="E29" t="str">
        <f>VLOOKUP(Tabla1[[#This Row],[NRO. PERSONAL]],[2]Sheet1!$A:$R,18,FALSE)</f>
        <v>FACULTAD DE ECONOMÍA Y NEGOCIOS</v>
      </c>
      <c r="F29" t="str">
        <f>VLOOKUP(Tabla1[[#This Row],[NRO. PERSONAL]],[2]Sheet1!$A:$S,19,FALSE)</f>
        <v>ESC. DE INGENIERÍA COMERCIAL DE SANTIAGO</v>
      </c>
      <c r="G29" s="2"/>
      <c r="H29" s="2"/>
    </row>
    <row r="30" spans="1:8" x14ac:dyDescent="0.35">
      <c r="A30">
        <v>29</v>
      </c>
      <c r="B30">
        <v>16298160</v>
      </c>
      <c r="C30" t="s">
        <v>32</v>
      </c>
      <c r="D30" t="str">
        <f>VLOOKUP(B30,[1]Sheet1!$B:$H,7,FALSE)</f>
        <v>FBESOAIN@UTALCA.CL</v>
      </c>
      <c r="E30" t="str">
        <f>VLOOKUP(Tabla1[[#This Row],[NRO. PERSONAL]],[2]Sheet1!$A:$R,18,FALSE)</f>
        <v>FACULTAD DE INGENIERÍA</v>
      </c>
      <c r="F30" t="str">
        <f>VLOOKUP(Tabla1[[#This Row],[NRO. PERSONAL]],[2]Sheet1!$A:$S,19,FALSE)</f>
        <v>DPTO. VISUALI. INTERACTIVA Y REA.VIRTUAL</v>
      </c>
      <c r="G30" s="2"/>
      <c r="H30" s="2"/>
    </row>
    <row r="31" spans="1:8" x14ac:dyDescent="0.35">
      <c r="A31">
        <v>30</v>
      </c>
      <c r="B31">
        <v>17040374</v>
      </c>
      <c r="C31" t="s">
        <v>231</v>
      </c>
      <c r="D31" t="str">
        <f>VLOOKUP(B31,[1]Sheet1!$B:$H,7,FALSE)</f>
        <v>NBRAVO@UTALCA.CL</v>
      </c>
      <c r="E31" t="str">
        <f>VLOOKUP(Tabla1[[#This Row],[NRO. PERSONAL]],[2]Sheet1!$A:$R,18,FALSE)</f>
        <v>FACULTAD DE ECONOMÍA Y NEGOCIOS</v>
      </c>
      <c r="F31" t="str">
        <f>VLOOKUP(Tabla1[[#This Row],[NRO. PERSONAL]],[2]Sheet1!$A:$S,19,FALSE)</f>
        <v>ESC. DE ING. INFORMÁTICA EMPRESARIAL</v>
      </c>
      <c r="G31" s="2"/>
      <c r="H31" s="2"/>
    </row>
    <row r="32" spans="1:8" x14ac:dyDescent="0.35">
      <c r="A32">
        <v>31</v>
      </c>
      <c r="B32">
        <v>14550528</v>
      </c>
      <c r="C32" t="s">
        <v>72</v>
      </c>
      <c r="D32" t="str">
        <f>VLOOKUP(B32,[1]Sheet1!$B:$H,7,FALSE)</f>
        <v>WBUSTAMANTE@UTALCA.CL</v>
      </c>
      <c r="E32" t="str">
        <f>VLOOKUP(Tabla1[[#This Row],[NRO. PERSONAL]],[2]Sheet1!$A:$R,18,FALSE)</f>
        <v>FACULTAD DE CIENCIAS DE LA SALUD</v>
      </c>
      <c r="F32" t="str">
        <f>VLOOKUP(Tabla1[[#This Row],[NRO. PERSONAL]],[2]Sheet1!$A:$S,19,FALSE)</f>
        <v>DEPTO. CIENCIAS DEL CUIDADO EN ENFERM.</v>
      </c>
      <c r="G32" s="2"/>
      <c r="H32" s="2"/>
    </row>
    <row r="33" spans="1:8" x14ac:dyDescent="0.35">
      <c r="A33">
        <v>32</v>
      </c>
      <c r="B33">
        <v>7125752</v>
      </c>
      <c r="C33" t="s">
        <v>76</v>
      </c>
      <c r="D33" t="str">
        <f>VLOOKUP(B33,[1]Sheet1!$B:$H,7,FALSE)</f>
        <v>MABU@UTALCA.CL</v>
      </c>
      <c r="E33" t="str">
        <f>VLOOKUP(Tabla1[[#This Row],[NRO. PERSONAL]],[2]Sheet1!$A:$R,18,FALSE)</f>
        <v>FACULTAD DE ECONOMÍA Y NEGOCIOS</v>
      </c>
      <c r="F33" t="str">
        <f>VLOOKUP(Tabla1[[#This Row],[NRO. PERSONAL]],[2]Sheet1!$A:$S,19,FALSE)</f>
        <v>ESCUELA DE INGENIERÍA COMERCIAL DE TALCA</v>
      </c>
      <c r="G33" s="2"/>
      <c r="H33" s="2"/>
    </row>
    <row r="34" spans="1:8" x14ac:dyDescent="0.35">
      <c r="A34">
        <v>33</v>
      </c>
      <c r="B34">
        <v>9160827</v>
      </c>
      <c r="C34" t="s">
        <v>228</v>
      </c>
      <c r="D34" t="str">
        <f>VLOOKUP(B34,[1]Sheet1!$B:$H,7,FALSE)</f>
        <v>PCABALLERO@UTALCA.CL</v>
      </c>
      <c r="E34" t="str">
        <f>VLOOKUP(Tabla1[[#This Row],[NRO. PERSONAL]],[2]Sheet1!$A:$R,18,FALSE)</f>
        <v>FACULTAD DE CIENCIAS DE LA SALUD</v>
      </c>
      <c r="F34" t="str">
        <f>VLOOKUP(Tabla1[[#This Row],[NRO. PERSONAL]],[2]Sheet1!$A:$S,19,FALSE)</f>
        <v>DPTO. DE CIENCIAS DEL MOVIMIENTO HUMANO</v>
      </c>
      <c r="G34" s="2"/>
      <c r="H34" s="2"/>
    </row>
    <row r="35" spans="1:8" x14ac:dyDescent="0.35">
      <c r="A35">
        <v>34</v>
      </c>
      <c r="B35">
        <v>11320798</v>
      </c>
      <c r="C35" t="s">
        <v>136</v>
      </c>
      <c r="D35" t="str">
        <f>VLOOKUP(B35,[1]Sheet1!$B:$H,7,FALSE)</f>
        <v>MACABALLERO@UTALCA.CL</v>
      </c>
      <c r="E35" t="str">
        <f>VLOOKUP(Tabla1[[#This Row],[NRO. PERSONAL]],[2]Sheet1!$A:$R,18,FALSE)</f>
        <v>DIRECCIÓN DE PREGRADO</v>
      </c>
      <c r="F35" t="str">
        <f>VLOOKUP(Tabla1[[#This Row],[NRO. PERSONAL]],[2]Sheet1!$A:$S,19,FALSE)</f>
        <v>PROGRAMA DE IDIOMAS</v>
      </c>
      <c r="G35" s="2"/>
      <c r="H35" s="2"/>
    </row>
    <row r="36" spans="1:8" x14ac:dyDescent="0.35">
      <c r="A36">
        <v>35</v>
      </c>
      <c r="B36">
        <v>8702168</v>
      </c>
      <c r="C36" t="s">
        <v>202</v>
      </c>
      <c r="D36" t="str">
        <f>VLOOKUP(B36,[1]Sheet1!$B:$H,7,FALSE)</f>
        <v>LCANALES@UTALCA.CL</v>
      </c>
      <c r="E36" t="str">
        <f>VLOOKUP(Tabla1[[#This Row],[NRO. PERSONAL]],[2]Sheet1!$A:$R,18,FALSE)</f>
        <v>FACULTAD DE ECONOMÍA Y NEGOCIOS</v>
      </c>
      <c r="F36" t="str">
        <f>VLOOKUP(Tabla1[[#This Row],[NRO. PERSONAL]],[2]Sheet1!$A:$S,19,FALSE)</f>
        <v>ESC. DE ING. INFORMÁTICA EMPRESARIAL</v>
      </c>
      <c r="G36" s="2"/>
      <c r="H36" s="2"/>
    </row>
    <row r="37" spans="1:8" x14ac:dyDescent="0.35">
      <c r="A37">
        <v>36</v>
      </c>
      <c r="B37">
        <v>12109784</v>
      </c>
      <c r="C37" t="s">
        <v>226</v>
      </c>
      <c r="D37" t="str">
        <f>VLOOKUP(B37,[1]Sheet1!$B:$H,7,FALSE)</f>
        <v>CCAPARROS@UTALCA.CL</v>
      </c>
      <c r="E37" t="str">
        <f>VLOOKUP(Tabla1[[#This Row],[NRO. PERSONAL]],[2]Sheet1!$A:$R,18,FALSE)</f>
        <v>FACULTAD DE CIENCIAS DE LA SALUD</v>
      </c>
      <c r="F37" t="str">
        <f>VLOOKUP(Tabla1[[#This Row],[NRO. PERSONAL]],[2]Sheet1!$A:$S,19,FALSE)</f>
        <v>DPTO. DE CIENCIAS DEL MOVIMIENTO HUMANO</v>
      </c>
      <c r="G37" s="2"/>
      <c r="H37" s="2"/>
    </row>
    <row r="38" spans="1:8" x14ac:dyDescent="0.35">
      <c r="A38">
        <v>37</v>
      </c>
      <c r="B38">
        <v>15575962</v>
      </c>
      <c r="C38" t="s">
        <v>56</v>
      </c>
      <c r="D38" t="str">
        <f>VLOOKUP(B38,[1]Sheet1!$B:$H,7,FALSE)</f>
        <v>MONICA.CARRASCO@UTALCA.CL</v>
      </c>
      <c r="E38" t="str">
        <f>VLOOKUP(Tabla1[[#This Row],[NRO. PERSONAL]],[2]Sheet1!$A:$R,18,FALSE)</f>
        <v>FACULTAD DE MEDICINA</v>
      </c>
      <c r="F38" t="str">
        <f>VLOOKUP(Tabla1[[#This Row],[NRO. PERSONAL]],[2]Sheet1!$A:$S,19,FALSE)</f>
        <v>DEPARTAMENTO DE MEDICINA CLÍNICA</v>
      </c>
      <c r="G38" s="2"/>
      <c r="H38" s="2"/>
    </row>
    <row r="39" spans="1:8" x14ac:dyDescent="0.35">
      <c r="A39">
        <v>38</v>
      </c>
      <c r="B39">
        <v>13860126</v>
      </c>
      <c r="C39" t="s">
        <v>89</v>
      </c>
      <c r="D39" t="str">
        <f>VLOOKUP(B39,[1]Sheet1!$B:$H,7,FALSE)</f>
        <v>CLAUDIA.CARRASCO@UTALCA.CL</v>
      </c>
      <c r="E39" t="str">
        <f>VLOOKUP(Tabla1[[#This Row],[NRO. PERSONAL]],[2]Sheet1!$A:$R,18,FALSE)</f>
        <v>FACULTAD DE CIENCIAS DE LA EDUCACIÓN</v>
      </c>
      <c r="F39" t="str">
        <f>VLOOKUP(Tabla1[[#This Row],[NRO. PERSONAL]],[2]Sheet1!$A:$S,19,FALSE)</f>
        <v>ESCUELA DE PEDAGOGÍA EN INGLÉS</v>
      </c>
      <c r="G39" s="2"/>
      <c r="H39" s="2"/>
    </row>
    <row r="40" spans="1:8" x14ac:dyDescent="0.35">
      <c r="A40">
        <v>39</v>
      </c>
      <c r="B40">
        <v>15678036</v>
      </c>
      <c r="C40" t="s">
        <v>49</v>
      </c>
      <c r="D40" t="str">
        <f>VLOOKUP(B40,[1]Sheet1!$B:$H,7,FALSE)</f>
        <v>VECARRASCO@UTALCA.CL</v>
      </c>
      <c r="E40" t="str">
        <f>VLOOKUP(Tabla1[[#This Row],[NRO. PERSONAL]],[2]Sheet1!$A:$R,18,FALSE)</f>
        <v>FACULTAD DE CIENCIAS DE LA SALUD</v>
      </c>
      <c r="F40" t="str">
        <f>VLOOKUP(Tabla1[[#This Row],[NRO. PERSONAL]],[2]Sheet1!$A:$S,19,FALSE)</f>
        <v>DEPARTAMENTO DE MICROBIOLOGÍA</v>
      </c>
      <c r="G40" s="2"/>
      <c r="H40" s="2"/>
    </row>
    <row r="41" spans="1:8" x14ac:dyDescent="0.35">
      <c r="A41">
        <v>40</v>
      </c>
      <c r="B41">
        <v>14514667</v>
      </c>
      <c r="C41" t="s">
        <v>73</v>
      </c>
      <c r="D41" t="str">
        <f>VLOOKUP(B41,[1]Sheet1!$B:$H,7,FALSE)</f>
        <v>RCASTRO@UTALCA.CL</v>
      </c>
      <c r="E41" t="str">
        <f>VLOOKUP(Tabla1[[#This Row],[NRO. PERSONAL]],[2]Sheet1!$A:$R,18,FALSE)</f>
        <v>FACULTAD DE ODONTOLOGÍA</v>
      </c>
      <c r="F41" t="str">
        <f>VLOOKUP(Tabla1[[#This Row],[NRO. PERSONAL]],[2]Sheet1!$A:$S,19,FALSE)</f>
        <v>DPTO. REHABILITACIÓN BUCO-MAXILOFACIAL</v>
      </c>
      <c r="G41" s="2"/>
      <c r="H41" s="2"/>
    </row>
    <row r="42" spans="1:8" x14ac:dyDescent="0.35">
      <c r="A42">
        <v>41</v>
      </c>
      <c r="B42">
        <v>15466213</v>
      </c>
      <c r="C42" t="s">
        <v>58</v>
      </c>
      <c r="D42" t="str">
        <f>VLOOKUP(B42,[1]Sheet1!$B:$H,7,FALSE)</f>
        <v>ECASTRON@UTALCA.CL</v>
      </c>
      <c r="E42" t="str">
        <f>VLOOKUP(Tabla1[[#This Row],[NRO. PERSONAL]],[2]Sheet1!$A:$R,18,FALSE)</f>
        <v>FACULTAD DE CIENCIAS DE LA SALUD</v>
      </c>
      <c r="F42" t="str">
        <f>VLOOKUP(Tabla1[[#This Row],[NRO. PERSONAL]],[2]Sheet1!$A:$S,19,FALSE)</f>
        <v>DEPARTAMENTO DE MICROBIOLOGÍA</v>
      </c>
      <c r="G42" s="2"/>
      <c r="H42" s="2"/>
    </row>
    <row r="43" spans="1:8" x14ac:dyDescent="0.35">
      <c r="A43">
        <v>42</v>
      </c>
      <c r="B43">
        <v>9270305</v>
      </c>
      <c r="C43" t="s">
        <v>168</v>
      </c>
      <c r="D43" t="str">
        <f>VLOOKUP(B43,[1]Sheet1!$B:$H,7,FALSE)</f>
        <v>MOCASTRO@UTALCA.CL</v>
      </c>
      <c r="E43" t="str">
        <f>VLOOKUP(Tabla1[[#This Row],[NRO. PERSONAL]],[2]Sheet1!$A:$R,18,FALSE)</f>
        <v>FACULTAD DE CIENCIAS DE LA EDUCACIÓN</v>
      </c>
      <c r="F43" t="str">
        <f>VLOOKUP(Tabla1[[#This Row],[NRO. PERSONAL]],[2]Sheet1!$A:$S,19,FALSE)</f>
        <v>CENTRO INVESTIGACION DESAR. EDUCACIONAL</v>
      </c>
      <c r="G43" s="2"/>
      <c r="H43" s="2"/>
    </row>
    <row r="44" spans="1:8" x14ac:dyDescent="0.35">
      <c r="A44">
        <v>43</v>
      </c>
      <c r="B44">
        <v>8879757</v>
      </c>
      <c r="C44" t="s">
        <v>180</v>
      </c>
      <c r="D44" t="str">
        <f>VLOOKUP(B44,[1]Sheet1!$B:$H,7,FALSE)</f>
        <v>ACATALDO@UTALCA.CL</v>
      </c>
      <c r="E44" t="str">
        <f>VLOOKUP(Tabla1[[#This Row],[NRO. PERSONAL]],[2]Sheet1!$A:$R,18,FALSE)</f>
        <v>FACULTAD DE ECONOMÍA Y NEGOCIOS</v>
      </c>
      <c r="F44" t="str">
        <f>VLOOKUP(Tabla1[[#This Row],[NRO. PERSONAL]],[2]Sheet1!$A:$S,19,FALSE)</f>
        <v>ESC. DE ING. INFORMÁTICA EMPRESARIAL</v>
      </c>
      <c r="G44" s="2"/>
      <c r="H44" s="2"/>
    </row>
    <row r="45" spans="1:8" x14ac:dyDescent="0.35">
      <c r="A45">
        <v>44</v>
      </c>
      <c r="B45">
        <v>16524518</v>
      </c>
      <c r="C45" t="s">
        <v>26</v>
      </c>
      <c r="D45" t="str">
        <f>VLOOKUP(B45,[1]Sheet1!$B:$H,7,FALSE)</f>
        <v>ALCERDA@UTALCA.CL</v>
      </c>
      <c r="E45" t="str">
        <f>VLOOKUP(Tabla1[[#This Row],[NRO. PERSONAL]],[2]Sheet1!$A:$R,18,FALSE)</f>
        <v>FACULTAD DE CIENCIAS DE LA SALUD</v>
      </c>
      <c r="F45" t="str">
        <f>VLOOKUP(Tabla1[[#This Row],[NRO. PERSONAL]],[2]Sheet1!$A:$S,19,FALSE)</f>
        <v>DPTO. DE CIENCIAS BÁSICAS BIOMÉDICAS</v>
      </c>
      <c r="G45" s="2"/>
      <c r="H45" s="2"/>
    </row>
    <row r="46" spans="1:8" x14ac:dyDescent="0.35">
      <c r="A46">
        <v>45</v>
      </c>
      <c r="B46">
        <v>15136673</v>
      </c>
      <c r="C46" t="s">
        <v>194</v>
      </c>
      <c r="D46" s="1" t="s">
        <v>195</v>
      </c>
      <c r="E46" t="str">
        <f>VLOOKUP(Tabla1[[#This Row],[NRO. PERSONAL]],[2]Sheet1!$A:$R,18,FALSE)</f>
        <v>FACULTAD DE PSICOLOGÍA</v>
      </c>
      <c r="F46" t="str">
        <f>VLOOKUP(Tabla1[[#This Row],[NRO. PERSONAL]],[2]Sheet1!$A:$S,19,FALSE)</f>
        <v>ESCUELA DE PSICOLOGÍA</v>
      </c>
      <c r="G46" s="2"/>
      <c r="H46" s="2"/>
    </row>
    <row r="47" spans="1:8" x14ac:dyDescent="0.35">
      <c r="A47">
        <v>46</v>
      </c>
      <c r="B47">
        <v>8742829</v>
      </c>
      <c r="C47" t="s">
        <v>185</v>
      </c>
      <c r="D47" t="str">
        <f>VLOOKUP(B47,[1]Sheet1!$B:$H,7,FALSE)</f>
        <v>ACERDA@UTALCA.CL</v>
      </c>
      <c r="E47" t="str">
        <f>VLOOKUP(Tabla1[[#This Row],[NRO. PERSONAL]],[2]Sheet1!$A:$R,18,FALSE)</f>
        <v>FACULTAD DE ECONOMÍA Y NEGOCIOS</v>
      </c>
      <c r="F47" t="str">
        <f>VLOOKUP(Tabla1[[#This Row],[NRO. PERSONAL]],[2]Sheet1!$A:$S,19,FALSE)</f>
        <v>ESCUELA DE INGENIERÍA COMERCIAL DE TALCA</v>
      </c>
      <c r="G47" s="2"/>
      <c r="H47" s="2"/>
    </row>
    <row r="48" spans="1:8" x14ac:dyDescent="0.35">
      <c r="A48">
        <v>47</v>
      </c>
      <c r="B48">
        <v>9545383</v>
      </c>
      <c r="C48" t="s">
        <v>164</v>
      </c>
      <c r="D48" t="str">
        <f>VLOOKUP(B48,[1]Sheet1!$B:$H,7,FALSE)</f>
        <v>CCHAVEZ@UTALCA.CL</v>
      </c>
      <c r="E48" t="str">
        <f>VLOOKUP(Tabla1[[#This Row],[NRO. PERSONAL]],[2]Sheet1!$A:$R,18,FALSE)</f>
        <v>FACULTAD DE ECONOMÍA Y NEGOCIOS</v>
      </c>
      <c r="F48" t="str">
        <f>VLOOKUP(Tabla1[[#This Row],[NRO. PERSONAL]],[2]Sheet1!$A:$S,19,FALSE)</f>
        <v>ESCUELA DE INGENIERÍA COMERCIAL DE TALCA</v>
      </c>
      <c r="G48" s="2"/>
      <c r="H48" s="2"/>
    </row>
    <row r="49" spans="1:8" x14ac:dyDescent="0.35">
      <c r="A49">
        <v>48</v>
      </c>
      <c r="B49">
        <v>8762722</v>
      </c>
      <c r="C49" t="s">
        <v>183</v>
      </c>
      <c r="D49" t="str">
        <f>VLOOKUP(B49,[1]Sheet1!$B:$H,7,FALSE)</f>
        <v>OCONTRER@UTALCA.CL</v>
      </c>
      <c r="E49" t="str">
        <f>VLOOKUP(Tabla1[[#This Row],[NRO. PERSONAL]],[2]Sheet1!$A:$R,18,FALSE)</f>
        <v>INSTITUTO DE CIENCIAS BIOLÓGICAS</v>
      </c>
      <c r="F49" t="str">
        <f>VLOOKUP(Tabla1[[#This Row],[NRO. PERSONAL]],[2]Sheet1!$A:$S,19,FALSE)</f>
        <v>INSTITUTO DE CIENCIAS BIOLÓGICAS</v>
      </c>
      <c r="G49" s="2"/>
      <c r="H49" s="2"/>
    </row>
    <row r="50" spans="1:8" x14ac:dyDescent="0.35">
      <c r="A50">
        <v>49</v>
      </c>
      <c r="B50">
        <v>15613206</v>
      </c>
      <c r="C50" t="s">
        <v>53</v>
      </c>
      <c r="D50" t="str">
        <f>VLOOKUP(B50,[1]Sheet1!$B:$H,7,FALSE)</f>
        <v>PAUCONTRERAS@UTALCA.CL</v>
      </c>
      <c r="E50" t="str">
        <f>VLOOKUP(Tabla1[[#This Row],[NRO. PERSONAL]],[2]Sheet1!$A:$R,18,FALSE)</f>
        <v>FACULTAD DE CIENCIAS DE LA SALUD</v>
      </c>
      <c r="F50" t="str">
        <f>VLOOKUP(Tabla1[[#This Row],[NRO. PERSONAL]],[2]Sheet1!$A:$S,19,FALSE)</f>
        <v>DEPTO. CIENCIAS DE LA NUT. Y ALIMENTOS</v>
      </c>
      <c r="G50" s="2"/>
      <c r="H50" s="2"/>
    </row>
    <row r="51" spans="1:8" x14ac:dyDescent="0.35">
      <c r="A51">
        <v>50</v>
      </c>
      <c r="B51">
        <v>25184028</v>
      </c>
      <c r="C51" t="s">
        <v>209</v>
      </c>
      <c r="D51" t="str">
        <f>VLOOKUP(B51,[1]Sheet1!$B:$H,7,FALSE)</f>
        <v>MCOOPER@UTALCA.CL</v>
      </c>
      <c r="E51" t="str">
        <f>VLOOKUP(Tabla1[[#This Row],[NRO. PERSONAL]],[2]Sheet1!$A:$R,18,FALSE)</f>
        <v>FACULTAD DE ARQUITECTUR, MÚSICA Y DISEÑO</v>
      </c>
      <c r="F51" t="str">
        <f>VLOOKUP(Tabla1[[#This Row],[NRO. PERSONAL]],[2]Sheet1!$A:$S,19,FALSE)</f>
        <v>DEPTO. DE INTERP. Y FORM. MUSICAL ESPEC.</v>
      </c>
      <c r="G51" s="2"/>
      <c r="H51" s="2"/>
    </row>
    <row r="52" spans="1:8" x14ac:dyDescent="0.35">
      <c r="A52">
        <v>51</v>
      </c>
      <c r="B52">
        <v>12862275</v>
      </c>
      <c r="C52" t="s">
        <v>122</v>
      </c>
      <c r="D52" t="str">
        <f>VLOOKUP(B52,[1]Sheet1!$B:$H,7,FALSE)</f>
        <v>PAMELA.CUEVAS@UTALCA.CL</v>
      </c>
      <c r="E52" t="str">
        <f>VLOOKUP(Tabla1[[#This Row],[NRO. PERSONAL]],[2]Sheet1!$A:$R,18,FALSE)</f>
        <v>FACULTAD DE CIENCIAS DE LA SALUD</v>
      </c>
      <c r="F52" t="str">
        <f>VLOOKUP(Tabla1[[#This Row],[NRO. PERSONAL]],[2]Sheet1!$A:$S,19,FALSE)</f>
        <v>DEPARTAMENTO DE SALUD PÚBLICA</v>
      </c>
      <c r="G52" s="2"/>
      <c r="H52" s="2"/>
    </row>
    <row r="53" spans="1:8" x14ac:dyDescent="0.35">
      <c r="A53">
        <v>52</v>
      </c>
      <c r="B53">
        <v>11032140</v>
      </c>
      <c r="C53" t="s">
        <v>139</v>
      </c>
      <c r="D53" t="str">
        <f>VLOOKUP(B53,[1]Sheet1!$B:$H,7,FALSE)</f>
        <v>GDAVIS@UTALCA.CL</v>
      </c>
      <c r="E53" t="str">
        <f>VLOOKUP(Tabla1[[#This Row],[NRO. PERSONAL]],[2]Sheet1!$A:$R,18,FALSE)</f>
        <v>FACULTAD DE CIENCIAS DE LA SALUD</v>
      </c>
      <c r="F53" t="str">
        <f>VLOOKUP(Tabla1[[#This Row],[NRO. PERSONAL]],[2]Sheet1!$A:$S,19,FALSE)</f>
        <v>DEPARTAMENTO DE SALUD PÚBLICA</v>
      </c>
      <c r="G53" s="2"/>
      <c r="H53" s="2"/>
    </row>
    <row r="54" spans="1:8" x14ac:dyDescent="0.35">
      <c r="A54">
        <v>53</v>
      </c>
      <c r="B54">
        <v>16270756</v>
      </c>
      <c r="C54" t="s">
        <v>34</v>
      </c>
      <c r="D54" t="str">
        <f>VLOOKUP(B54,[1]Sheet1!$B:$H,7,FALSE)</f>
        <v>CLAUDIA.DELAFUENTE@UTALCA.CL</v>
      </c>
      <c r="E54" t="str">
        <f>VLOOKUP(Tabla1[[#This Row],[NRO. PERSONAL]],[2]Sheet1!$A:$R,18,FALSE)</f>
        <v>FACULTAD DE INGENIERÍA</v>
      </c>
      <c r="F54" t="str">
        <f>VLOOKUP(Tabla1[[#This Row],[NRO. PERSONAL]],[2]Sheet1!$A:$S,19,FALSE)</f>
        <v>DPTO. VISUALI. INTERACTIVA Y REA.VIRTUAL</v>
      </c>
      <c r="G54" s="2"/>
      <c r="H54" s="2"/>
    </row>
    <row r="55" spans="1:8" x14ac:dyDescent="0.35">
      <c r="A55">
        <v>54</v>
      </c>
      <c r="B55">
        <v>10885251</v>
      </c>
      <c r="C55" t="s">
        <v>219</v>
      </c>
      <c r="D55" t="str">
        <f>VLOOKUP(B55,[1]Sheet1!$B:$H,7,FALSE)</f>
        <v>MDELCAMPO@UTALCA.CL</v>
      </c>
      <c r="E55" t="str">
        <f>VLOOKUP(Tabla1[[#This Row],[NRO. PERSONAL]],[2]Sheet1!$A:$R,18,FALSE)</f>
        <v>FACULTAD DE INGENIERÍA</v>
      </c>
      <c r="F55" t="str">
        <f>VLOOKUP(Tabla1[[#This Row],[NRO. PERSONAL]],[2]Sheet1!$A:$S,19,FALSE)</f>
        <v>DPTO. ING. Y GESTIÓN DE LA CONSTRUCCIÓN</v>
      </c>
      <c r="G55" s="2"/>
      <c r="H55" s="2"/>
    </row>
    <row r="56" spans="1:8" x14ac:dyDescent="0.35">
      <c r="A56">
        <v>55</v>
      </c>
      <c r="B56">
        <v>13206803</v>
      </c>
      <c r="C56" t="s">
        <v>114</v>
      </c>
      <c r="D56" t="str">
        <f>VLOOKUP(B56,[1]Sheet1!$B:$H,7,FALSE)</f>
        <v>BDOIZI@UTALCA.CL</v>
      </c>
      <c r="E56" t="str">
        <f>VLOOKUP(Tabla1[[#This Row],[NRO. PERSONAL]],[2]Sheet1!$A:$R,18,FALSE)</f>
        <v>DIRECCIÓN DE PREGRADO</v>
      </c>
      <c r="F56" t="str">
        <f>VLOOKUP(Tabla1[[#This Row],[NRO. PERSONAL]],[2]Sheet1!$A:$S,19,FALSE)</f>
        <v>PROGRAMA DE FORMACIÓN FUNDAMENTAL</v>
      </c>
      <c r="G56" s="2"/>
      <c r="H56" s="2"/>
    </row>
    <row r="57" spans="1:8" x14ac:dyDescent="0.35">
      <c r="A57">
        <v>56</v>
      </c>
      <c r="B57">
        <v>15135460</v>
      </c>
      <c r="C57" t="s">
        <v>64</v>
      </c>
      <c r="D57" t="str">
        <f>VLOOKUP(B57,[1]Sheet1!$B:$H,7,FALSE)</f>
        <v>GUSTAVO.DOMINGUEZ@UTALCA.CL</v>
      </c>
      <c r="E57" t="str">
        <f>VLOOKUP(Tabla1[[#This Row],[NRO. PERSONAL]],[2]Sheet1!$A:$R,18,FALSE)</f>
        <v>FACULTAD DE CIENCIAS DE LA SALUD</v>
      </c>
      <c r="F57" t="str">
        <f>VLOOKUP(Tabla1[[#This Row],[NRO. PERSONAL]],[2]Sheet1!$A:$S,19,FALSE)</f>
        <v>DEPTO. CIENCIAS DEL CUIDADO EN ENFERM.</v>
      </c>
      <c r="G57" s="2"/>
      <c r="H57" s="2"/>
    </row>
    <row r="58" spans="1:8" x14ac:dyDescent="0.35">
      <c r="A58">
        <v>57</v>
      </c>
      <c r="B58">
        <v>15805362</v>
      </c>
      <c r="C58" t="s">
        <v>47</v>
      </c>
      <c r="D58" t="str">
        <f>VLOOKUP(B58,[1]Sheet1!$B:$H,7,FALSE)</f>
        <v>DDROGUETT@UTALCA.CL</v>
      </c>
      <c r="E58" t="str">
        <f>VLOOKUP(Tabla1[[#This Row],[NRO. PERSONAL]],[2]Sheet1!$A:$R,18,FALSE)</f>
        <v>FACULTAD DE ODONTOLOGÍA</v>
      </c>
      <c r="F58" t="str">
        <f>VLOOKUP(Tabla1[[#This Row],[NRO. PERSONAL]],[2]Sheet1!$A:$S,19,FALSE)</f>
        <v>DEPARTAMENTO DE ESTOMATOLOGÍA</v>
      </c>
      <c r="G58" s="2"/>
      <c r="H58" s="2"/>
    </row>
    <row r="59" spans="1:8" x14ac:dyDescent="0.35">
      <c r="A59">
        <v>58</v>
      </c>
      <c r="B59">
        <v>12642886</v>
      </c>
      <c r="C59" t="s">
        <v>125</v>
      </c>
      <c r="D59" t="str">
        <f>VLOOKUP(B59,[1]Sheet1!$B:$H,7,FALSE)</f>
        <v>ANDRES.DURAN@UTALCA.CL</v>
      </c>
      <c r="E59" t="str">
        <f>VLOOKUP(Tabla1[[#This Row],[NRO. PERSONAL]],[2]Sheet1!$A:$R,18,FALSE)</f>
        <v>FACULTAD DE PSICOLOGÍA</v>
      </c>
      <c r="F59" t="str">
        <f>VLOOKUP(Tabla1[[#This Row],[NRO. PERSONAL]],[2]Sheet1!$A:$S,19,FALSE)</f>
        <v>ESCUELA DE TERAPIA OCUPACIONAL</v>
      </c>
      <c r="G59" s="2"/>
      <c r="H59" s="2"/>
    </row>
    <row r="60" spans="1:8" x14ac:dyDescent="0.35">
      <c r="A60">
        <v>59</v>
      </c>
      <c r="B60">
        <v>7097392</v>
      </c>
      <c r="C60" t="s">
        <v>71</v>
      </c>
      <c r="D60" t="str">
        <f>VLOOKUP(B60,[1]Sheet1!$B:$H,7,FALSE)</f>
        <v>MELGUETA@UTALCA.CL</v>
      </c>
      <c r="E60" t="str">
        <f>VLOOKUP(Tabla1[[#This Row],[NRO. PERSONAL]],[2]Sheet1!$A:$R,18,FALSE)</f>
        <v>FACULTAD DE INGENIERÍA</v>
      </c>
      <c r="F60" t="str">
        <f>VLOOKUP(Tabla1[[#This Row],[NRO. PERSONAL]],[2]Sheet1!$A:$S,19,FALSE)</f>
        <v>DEPARTAMENTO DE TECNOLOGÍA INDUSTRIALES</v>
      </c>
      <c r="G60" s="2"/>
      <c r="H60" s="2"/>
    </row>
    <row r="61" spans="1:8" x14ac:dyDescent="0.35">
      <c r="A61">
        <v>60</v>
      </c>
      <c r="B61">
        <v>14565030</v>
      </c>
      <c r="C61" t="s">
        <v>206</v>
      </c>
      <c r="D61" t="str">
        <f>VLOOKUP(B61,[1]Sheet1!$B:$H,7,FALSE)</f>
        <v>YENCINA@UTALCA.CL</v>
      </c>
      <c r="E61" t="str">
        <f>VLOOKUP(Tabla1[[#This Row],[NRO. PERSONAL]],[2]Sheet1!$A:$R,18,FALSE)</f>
        <v>FACULTAD DE PSICOLOGÍA</v>
      </c>
      <c r="F61" t="str">
        <f>VLOOKUP(Tabla1[[#This Row],[NRO. PERSONAL]],[2]Sheet1!$A:$S,19,FALSE)</f>
        <v>ESCUELA DE PSICOLOGÍA</v>
      </c>
      <c r="G61" s="2"/>
      <c r="H61" s="2"/>
    </row>
    <row r="62" spans="1:8" x14ac:dyDescent="0.35">
      <c r="A62">
        <v>61</v>
      </c>
      <c r="B62">
        <v>21295178</v>
      </c>
      <c r="C62" t="s">
        <v>9</v>
      </c>
      <c r="D62" t="str">
        <f>VLOOKUP(B62,[1]Sheet1!$B:$H,7,FALSE)</f>
        <v>NESCALANTE@UTALCA.CL</v>
      </c>
      <c r="E62" t="str">
        <f>VLOOKUP(Tabla1[[#This Row],[NRO. PERSONAL]],[2]Sheet1!$A:$R,18,FALSE)</f>
        <v>FACULTAD DE CIENCIAS DE LA SALUD</v>
      </c>
      <c r="F62" t="str">
        <f>VLOOKUP(Tabla1[[#This Row],[NRO. PERSONAL]],[2]Sheet1!$A:$S,19,FALSE)</f>
        <v>DPTO. DE CIENCIAS BÁSICAS BIOMÉDICAS</v>
      </c>
      <c r="G62" s="2"/>
      <c r="H62" s="2"/>
    </row>
    <row r="63" spans="1:8" x14ac:dyDescent="0.35">
      <c r="A63">
        <v>62</v>
      </c>
      <c r="B63">
        <v>13459074</v>
      </c>
      <c r="C63" t="s">
        <v>107</v>
      </c>
      <c r="D63" t="str">
        <f>VLOOKUP(B63,[1]Sheet1!$B:$H,7,FALSE)</f>
        <v>JEESPINOZA@UTALCA.CL</v>
      </c>
      <c r="E63" t="str">
        <f>VLOOKUP(Tabla1[[#This Row],[NRO. PERSONAL]],[2]Sheet1!$A:$R,18,FALSE)</f>
        <v>FACULTAD DE CIENCIAS DE LA SALUD</v>
      </c>
      <c r="F63" t="str">
        <f>VLOOKUP(Tabla1[[#This Row],[NRO. PERSONAL]],[2]Sheet1!$A:$S,19,FALSE)</f>
        <v>DPTO. DE CIENCIAS DEL MOVIMIENTO HUMANO</v>
      </c>
      <c r="G63" s="2"/>
      <c r="H63" s="2"/>
    </row>
    <row r="64" spans="1:8" x14ac:dyDescent="0.35">
      <c r="A64">
        <v>63</v>
      </c>
      <c r="B64">
        <v>16350400</v>
      </c>
      <c r="C64" t="s">
        <v>31</v>
      </c>
      <c r="D64" t="str">
        <f>VLOOKUP(B64,[1]Sheet1!$B:$H,7,FALSE)</f>
        <v>CARESPINOZA@UTALCA.CL</v>
      </c>
      <c r="E64" t="str">
        <f>VLOOKUP(Tabla1[[#This Row],[NRO. PERSONAL]],[2]Sheet1!$A:$R,18,FALSE)</f>
        <v>FACULTAD DE CIENCIAS DE LA SALUD</v>
      </c>
      <c r="F64" t="str">
        <f>VLOOKUP(Tabla1[[#This Row],[NRO. PERSONAL]],[2]Sheet1!$A:$S,19,FALSE)</f>
        <v>DPTO. BIOQUÍM. CLÍN. E INMUNOHEMATOLOGÍA</v>
      </c>
      <c r="G64" s="2"/>
      <c r="H64" s="2"/>
    </row>
    <row r="65" spans="1:8" x14ac:dyDescent="0.35">
      <c r="A65">
        <v>64</v>
      </c>
      <c r="B65">
        <v>7956416</v>
      </c>
      <c r="C65" t="s">
        <v>158</v>
      </c>
      <c r="D65" t="str">
        <f>VLOOKUP(B65,[1]Sheet1!$B:$H,7,FALSE)</f>
        <v>VESTRADA@UTALCA.CL</v>
      </c>
      <c r="E65" t="str">
        <f>VLOOKUP(Tabla1[[#This Row],[NRO. PERSONAL]],[2]Sheet1!$A:$R,18,FALSE)</f>
        <v>FACULTAD DE CIENCIAS DE LA SALUD</v>
      </c>
      <c r="F65" t="str">
        <f>VLOOKUP(Tabla1[[#This Row],[NRO. PERSONAL]],[2]Sheet1!$A:$S,19,FALSE)</f>
        <v>DPTO. DE CIENCIAS DEL MOVIMIENTO HUMANO</v>
      </c>
      <c r="G65" s="2"/>
      <c r="H65" s="2"/>
    </row>
    <row r="66" spans="1:8" x14ac:dyDescent="0.35">
      <c r="A66">
        <v>65</v>
      </c>
      <c r="B66">
        <v>14510677</v>
      </c>
      <c r="C66" t="s">
        <v>74</v>
      </c>
      <c r="D66" t="str">
        <f>VLOOKUP(B66,[1]Sheet1!$B:$H,7,FALSE)</f>
        <v>MAFERNANDEZ@UTALCA.CL</v>
      </c>
      <c r="E66" t="str">
        <f>VLOOKUP(Tabla1[[#This Row],[NRO. PERSONAL]],[2]Sheet1!$A:$R,18,FALSE)</f>
        <v>FACULTAD DE INGENIERÍA</v>
      </c>
      <c r="F66" t="str">
        <f>VLOOKUP(Tabla1[[#This Row],[NRO. PERSONAL]],[2]Sheet1!$A:$S,19,FALSE)</f>
        <v>DEPARTAMENTO DE INGENIERÍA ELÉCTRICA</v>
      </c>
      <c r="G66" s="2"/>
      <c r="H66" s="2"/>
    </row>
    <row r="67" spans="1:8" x14ac:dyDescent="0.35">
      <c r="A67">
        <v>66</v>
      </c>
      <c r="B67">
        <v>14555025</v>
      </c>
      <c r="C67" t="s">
        <v>70</v>
      </c>
      <c r="D67" t="str">
        <f>VLOOKUP(B67,[1]Sheet1!$B:$H,7,FALSE)</f>
        <v>BFERNANDEZ@UTALCA.CL</v>
      </c>
      <c r="E67" t="str">
        <f>VLOOKUP(Tabla1[[#This Row],[NRO. PERSONAL]],[2]Sheet1!$A:$R,18,FALSE)</f>
        <v>FACULTAD DE CIENCIAS DE LA SALUD</v>
      </c>
      <c r="F67" t="str">
        <f>VLOOKUP(Tabla1[[#This Row],[NRO. PERSONAL]],[2]Sheet1!$A:$S,19,FALSE)</f>
        <v>DEPTO. CIENCIAS DEL CUIDADO EN ENFERM.</v>
      </c>
      <c r="G67" s="2"/>
      <c r="H67" s="2"/>
    </row>
    <row r="68" spans="1:8" x14ac:dyDescent="0.35">
      <c r="A68">
        <v>67</v>
      </c>
      <c r="B68">
        <v>11675278</v>
      </c>
      <c r="C68" t="s">
        <v>133</v>
      </c>
      <c r="D68" t="str">
        <f>VLOOKUP(B68,[1]Sheet1!$B:$H,7,FALSE)</f>
        <v>NFERRADA@UTALCA.CL</v>
      </c>
      <c r="E68" t="str">
        <f>VLOOKUP(Tabla1[[#This Row],[NRO. PERSONAL]],[2]Sheet1!$A:$R,18,FALSE)</f>
        <v>FACULTAD DE CIENCIAS DE LA SALUD</v>
      </c>
      <c r="F68" t="str">
        <f>VLOOKUP(Tabla1[[#This Row],[NRO. PERSONAL]],[2]Sheet1!$A:$S,19,FALSE)</f>
        <v>DPTO. DE CIENCIAS DE FONOAUDIOLOGÍA</v>
      </c>
      <c r="G68" s="2"/>
      <c r="H68" s="2"/>
    </row>
    <row r="69" spans="1:8" x14ac:dyDescent="0.35">
      <c r="A69">
        <v>68</v>
      </c>
      <c r="B69">
        <v>10649954</v>
      </c>
      <c r="C69" t="s">
        <v>147</v>
      </c>
      <c r="D69" t="str">
        <f>VLOOKUP(B69,[1]Sheet1!$B:$H,7,FALSE)</f>
        <v>EFUENTES@UTALCA.CL</v>
      </c>
      <c r="E69" t="str">
        <f>VLOOKUP(Tabla1[[#This Row],[NRO. PERSONAL]],[2]Sheet1!$A:$R,18,FALSE)</f>
        <v>FACULTAD DE CIENCIAS AGRARIAS</v>
      </c>
      <c r="F69" t="str">
        <f>VLOOKUP(Tabla1[[#This Row],[NRO. PERSONAL]],[2]Sheet1!$A:$S,19,FALSE)</f>
        <v>DEPARTAMENTO DE PRODUCCIÓN AGRÍCOLA</v>
      </c>
      <c r="G69" s="2"/>
      <c r="H69" s="2"/>
    </row>
    <row r="70" spans="1:8" x14ac:dyDescent="0.35">
      <c r="A70">
        <v>69</v>
      </c>
      <c r="B70">
        <v>10902914</v>
      </c>
      <c r="C70" t="s">
        <v>142</v>
      </c>
      <c r="D70" t="str">
        <f>VLOOKUP(B70,[1]Sheet1!$B:$H,7,FALSE)</f>
        <v>OMFUENTES@UTALCA.CL</v>
      </c>
      <c r="E70" t="str">
        <f>VLOOKUP(Tabla1[[#This Row],[NRO. PERSONAL]],[2]Sheet1!$A:$R,18,FALSE)</f>
        <v>FACULTAD DE CIENCIAS DE LA SALUD</v>
      </c>
      <c r="F70" t="str">
        <f>VLOOKUP(Tabla1[[#This Row],[NRO. PERSONAL]],[2]Sheet1!$A:$S,19,FALSE)</f>
        <v>DEPTO. CIENCIAS DEL CUIDADO EN ENFERM.</v>
      </c>
      <c r="G70" s="2"/>
      <c r="H70" s="2"/>
    </row>
    <row r="71" spans="1:8" x14ac:dyDescent="0.35">
      <c r="A71">
        <v>70</v>
      </c>
      <c r="B71">
        <v>13612712</v>
      </c>
      <c r="C71" t="s">
        <v>213</v>
      </c>
      <c r="D71" t="str">
        <f>VLOOKUP(B71,[1]Sheet1!$B:$H,7,FALSE)</f>
        <v>BFUENTES@UTALCA.CL</v>
      </c>
      <c r="E71" t="str">
        <f>VLOOKUP(Tabla1[[#This Row],[NRO. PERSONAL]],[2]Sheet1!$A:$R,18,FALSE)</f>
        <v>FACULTAD DE ODONTOLOGÍA</v>
      </c>
      <c r="F71" t="str">
        <f>VLOOKUP(Tabla1[[#This Row],[NRO. PERSONAL]],[2]Sheet1!$A:$S,19,FALSE)</f>
        <v>DEPARTAMENTO DE ESTOMATOLOGÍA</v>
      </c>
      <c r="G71" s="2"/>
      <c r="H71" s="2"/>
    </row>
    <row r="72" spans="1:8" x14ac:dyDescent="0.35">
      <c r="A72">
        <v>71</v>
      </c>
      <c r="B72">
        <v>14302931</v>
      </c>
      <c r="C72" t="s">
        <v>81</v>
      </c>
      <c r="D72" t="str">
        <f>VLOOKUP(B72,[1]Sheet1!$B:$H,7,FALSE)</f>
        <v>EFUENZALIDAD@UTALCA.CL</v>
      </c>
      <c r="E72" t="str">
        <f>VLOOKUP(Tabla1[[#This Row],[NRO. PERSONAL]],[2]Sheet1!$A:$R,18,FALSE)</f>
        <v>DIRECCIÓN DE PREGRADO</v>
      </c>
      <c r="F72" t="str">
        <f>VLOOKUP(Tabla1[[#This Row],[NRO. PERSONAL]],[2]Sheet1!$A:$S,19,FALSE)</f>
        <v>PROGRAMA DE IDIOMAS</v>
      </c>
      <c r="G72" s="2"/>
      <c r="H72" s="2"/>
    </row>
    <row r="73" spans="1:8" x14ac:dyDescent="0.35">
      <c r="A73">
        <v>72</v>
      </c>
      <c r="B73">
        <v>14399847</v>
      </c>
      <c r="C73" t="s">
        <v>75</v>
      </c>
      <c r="D73" t="str">
        <f>VLOOKUP(B73,[1]Sheet1!$B:$H,7,FALSE)</f>
        <v>CGAJARDO@UTALCA.CL</v>
      </c>
      <c r="E73" t="str">
        <f>VLOOKUP(Tabla1[[#This Row],[NRO. PERSONAL]],[2]Sheet1!$A:$R,18,FALSE)</f>
        <v>FACULTAD DE CIENCIAS DE LA SALUD</v>
      </c>
      <c r="F73" t="str">
        <f>VLOOKUP(Tabla1[[#This Row],[NRO. PERSONAL]],[2]Sheet1!$A:$S,19,FALSE)</f>
        <v>DPTO. DE CIENCIAS DEL MOVIMIENTO HUMANO</v>
      </c>
      <c r="G73" s="2"/>
      <c r="H73" s="2"/>
    </row>
    <row r="74" spans="1:8" x14ac:dyDescent="0.35">
      <c r="A74">
        <v>73</v>
      </c>
      <c r="B74">
        <v>14575310</v>
      </c>
      <c r="C74" t="s">
        <v>68</v>
      </c>
      <c r="D74" t="str">
        <f>VLOOKUP(B74,[1]Sheet1!$B:$H,7,FALSE)</f>
        <v>PAOLA.GAJARDO@UTALCA.CL</v>
      </c>
      <c r="E74" t="str">
        <f>VLOOKUP(Tabla1[[#This Row],[NRO. PERSONAL]],[2]Sheet1!$A:$R,18,FALSE)</f>
        <v>FACULTAD DE CIENCIAS DE LA SALUD</v>
      </c>
      <c r="F74" t="str">
        <f>VLOOKUP(Tabla1[[#This Row],[NRO. PERSONAL]],[2]Sheet1!$A:$S,19,FALSE)</f>
        <v>DPTO. DE CIENCIAS BÁSICAS BIOMÉDICAS</v>
      </c>
      <c r="G74" s="2"/>
      <c r="H74" s="2"/>
    </row>
    <row r="75" spans="1:8" x14ac:dyDescent="0.35">
      <c r="A75">
        <v>74</v>
      </c>
      <c r="B75">
        <v>15808734</v>
      </c>
      <c r="C75" t="s">
        <v>46</v>
      </c>
      <c r="D75" t="str">
        <f>VLOOKUP(B75,[1]Sheet1!$B:$H,7,FALSE)</f>
        <v>MARIA.GARCIA@UTALCA.CL</v>
      </c>
      <c r="E75" t="str">
        <f>VLOOKUP(Tabla1[[#This Row],[NRO. PERSONAL]],[2]Sheet1!$A:$R,18,FALSE)</f>
        <v>FACULTAD DE CIENCIAS DE LA EDUCACIÓN</v>
      </c>
      <c r="F75" t="str">
        <f>VLOOKUP(Tabla1[[#This Row],[NRO. PERSONAL]],[2]Sheet1!$A:$S,19,FALSE)</f>
        <v>ESCUELA DE PEDAGOGÍA EN INGLÉS</v>
      </c>
      <c r="G75" s="2"/>
      <c r="H75" s="2"/>
    </row>
    <row r="76" spans="1:8" x14ac:dyDescent="0.35">
      <c r="A76">
        <v>75</v>
      </c>
      <c r="B76">
        <v>11729069</v>
      </c>
      <c r="C76" t="s">
        <v>132</v>
      </c>
      <c r="D76" t="str">
        <f>VLOOKUP(B76,[1]Sheet1!$B:$H,7,FALSE)</f>
        <v>PGARCIA@UTALCA.CL</v>
      </c>
      <c r="E76" t="str">
        <f>VLOOKUP(Tabla1[[#This Row],[NRO. PERSONAL]],[2]Sheet1!$A:$R,18,FALSE)</f>
        <v>FACULTAD DE CIENCIAS DE LA SALUD</v>
      </c>
      <c r="F76" t="str">
        <f>VLOOKUP(Tabla1[[#This Row],[NRO. PERSONAL]],[2]Sheet1!$A:$S,19,FALSE)</f>
        <v>DPTO. DE CIENCIAS DE FONOAUDIOLOGÍA</v>
      </c>
      <c r="G76" s="2"/>
      <c r="H76" s="2"/>
    </row>
    <row r="77" spans="1:8" x14ac:dyDescent="0.35">
      <c r="A77">
        <v>76</v>
      </c>
      <c r="B77">
        <v>8809997</v>
      </c>
      <c r="C77" t="s">
        <v>182</v>
      </c>
      <c r="D77" t="str">
        <f>VLOOKUP(B77,[1]Sheet1!$B:$H,7,FALSE)</f>
        <v>RGARRIDO@UTALCA.CL</v>
      </c>
      <c r="E77" t="str">
        <f>VLOOKUP(Tabla1[[#This Row],[NRO. PERSONAL]],[2]Sheet1!$A:$R,18,FALSE)</f>
        <v>FACULTAD DE INGENIERÍA</v>
      </c>
      <c r="F77" t="str">
        <f>VLOOKUP(Tabla1[[#This Row],[NRO. PERSONAL]],[2]Sheet1!$A:$S,19,FALSE)</f>
        <v>DPTO. DE CIENCIAS DE LA COMPUTACIÓN</v>
      </c>
      <c r="G77" s="2"/>
      <c r="H77" s="2"/>
    </row>
    <row r="78" spans="1:8" x14ac:dyDescent="0.35">
      <c r="A78">
        <v>77</v>
      </c>
      <c r="B78">
        <v>16204534</v>
      </c>
      <c r="C78" t="s">
        <v>199</v>
      </c>
      <c r="D78" t="str">
        <f>VLOOKUP(B78,[1]Sheet1!$B:$H,7,FALSE)</f>
        <v>JGATICA@UTALCA.CL</v>
      </c>
      <c r="E78" t="str">
        <f>VLOOKUP(Tabla1[[#This Row],[NRO. PERSONAL]],[2]Sheet1!$A:$R,18,FALSE)</f>
        <v>INSTITUTO DE MATEMÁTICAS</v>
      </c>
      <c r="F78" t="str">
        <f>VLOOKUP(Tabla1[[#This Row],[NRO. PERSONAL]],[2]Sheet1!$A:$S,19,FALSE)</f>
        <v>INSTITUTO DE MATEMÁTICAS</v>
      </c>
      <c r="G78" s="2"/>
      <c r="H78" s="2"/>
    </row>
    <row r="79" spans="1:8" x14ac:dyDescent="0.35">
      <c r="A79">
        <v>78</v>
      </c>
      <c r="B79">
        <v>13505511</v>
      </c>
      <c r="C79" t="s">
        <v>105</v>
      </c>
      <c r="D79" t="str">
        <f>VLOOKUP(B79,[1]Sheet1!$B:$H,7,FALSE)</f>
        <v>VGATICA@UTALCA.CL</v>
      </c>
      <c r="E79" t="str">
        <f>VLOOKUP(Tabla1[[#This Row],[NRO. PERSONAL]],[2]Sheet1!$A:$R,18,FALSE)</f>
        <v>FACULTAD DE CIENCIAS DE LA SALUD</v>
      </c>
      <c r="F79" t="str">
        <f>VLOOKUP(Tabla1[[#This Row],[NRO. PERSONAL]],[2]Sheet1!$A:$S,19,FALSE)</f>
        <v>DPTO. DE CIENCIAS DEL MOVIMIENTO HUMANO</v>
      </c>
      <c r="G79" s="2"/>
      <c r="H79" s="2"/>
    </row>
    <row r="80" spans="1:8" x14ac:dyDescent="0.35">
      <c r="A80">
        <v>79</v>
      </c>
      <c r="B80">
        <v>11895630</v>
      </c>
      <c r="C80" t="s">
        <v>131</v>
      </c>
      <c r="D80" t="str">
        <f>VLOOKUP(B80,[1]Sheet1!$B:$H,7,FALSE)</f>
        <v>GIACAMAN@UTALCA.CL</v>
      </c>
      <c r="E80" t="str">
        <f>VLOOKUP(Tabla1[[#This Row],[NRO. PERSONAL]],[2]Sheet1!$A:$R,18,FALSE)</f>
        <v>FACULTAD DE ODONTOLOGÍA</v>
      </c>
      <c r="F80" t="str">
        <f>VLOOKUP(Tabla1[[#This Row],[NRO. PERSONAL]],[2]Sheet1!$A:$S,19,FALSE)</f>
        <v>DPTO. REHABILITACIÓN BUCO-MAXILOFACIAL</v>
      </c>
      <c r="G80" s="2"/>
      <c r="H80" s="2"/>
    </row>
    <row r="81" spans="1:8" x14ac:dyDescent="0.35">
      <c r="A81">
        <v>80</v>
      </c>
      <c r="B81">
        <v>9537477</v>
      </c>
      <c r="C81" t="s">
        <v>165</v>
      </c>
      <c r="D81" t="str">
        <f>VLOOKUP(B81,[1]Sheet1!$B:$H,7,FALSE)</f>
        <v>KGLEISER@UTALCA.CL</v>
      </c>
      <c r="E81" t="str">
        <f>VLOOKUP(Tabla1[[#This Row],[NRO. PERSONAL]],[2]Sheet1!$A:$R,18,FALSE)</f>
        <v>FACULTAD DE ARQUITECTUR, MÚSICA Y DISEÑO</v>
      </c>
      <c r="F81" t="str">
        <f>VLOOKUP(Tabla1[[#This Row],[NRO. PERSONAL]],[2]Sheet1!$A:$S,19,FALSE)</f>
        <v>ESCUELA DE ARQUITECTURA</v>
      </c>
      <c r="G81" s="2"/>
      <c r="H81" s="2"/>
    </row>
    <row r="82" spans="1:8" x14ac:dyDescent="0.35">
      <c r="A82">
        <v>81</v>
      </c>
      <c r="B82">
        <v>14508030</v>
      </c>
      <c r="C82" t="s">
        <v>198</v>
      </c>
      <c r="D82" t="str">
        <f>VLOOKUP(B82,[1]Sheet1!$B:$H,7,FALSE)</f>
        <v>FABIOLA.GOMEZ@UTALCA.CL</v>
      </c>
      <c r="E82" t="str">
        <f>VLOOKUP(Tabla1[[#This Row],[NRO. PERSONAL]],[2]Sheet1!$A:$R,18,FALSE)</f>
        <v>FACULTAD DE PSICOLOGÍA</v>
      </c>
      <c r="F82" t="str">
        <f>VLOOKUP(Tabla1[[#This Row],[NRO. PERSONAL]],[2]Sheet1!$A:$S,19,FALSE)</f>
        <v>FACULTAD DE PSICOLOGÍA</v>
      </c>
      <c r="G82" s="2"/>
      <c r="H82" s="2"/>
    </row>
    <row r="83" spans="1:8" x14ac:dyDescent="0.35">
      <c r="A83">
        <v>82</v>
      </c>
      <c r="B83">
        <v>10223124</v>
      </c>
      <c r="C83" t="s">
        <v>153</v>
      </c>
      <c r="D83" t="str">
        <f>VLOOKUP(B83,[1]Sheet1!$B:$H,7,FALSE)</f>
        <v>MGONZALEZ@UTALCA.CL</v>
      </c>
      <c r="E83" t="str">
        <f>VLOOKUP(Tabla1[[#This Row],[NRO. PERSONAL]],[2]Sheet1!$A:$R,18,FALSE)</f>
        <v>FACULTAD DE INGENIERÍA</v>
      </c>
      <c r="F83" t="str">
        <f>VLOOKUP(Tabla1[[#This Row],[NRO. PERSONAL]],[2]Sheet1!$A:$S,19,FALSE)</f>
        <v>DEPARTAMENTO DE INGENIERÍA INDUSTRIAL</v>
      </c>
      <c r="G83" s="2"/>
      <c r="H83" s="2"/>
    </row>
    <row r="84" spans="1:8" x14ac:dyDescent="0.35">
      <c r="A84">
        <v>83</v>
      </c>
      <c r="B84">
        <v>16023257</v>
      </c>
      <c r="C84" t="s">
        <v>36</v>
      </c>
      <c r="D84" t="str">
        <f>VLOOKUP(B84,[1]Sheet1!$B:$H,7,FALSE)</f>
        <v>MARGONZALEZB@UTALCA.CL</v>
      </c>
      <c r="E84" t="str">
        <f>VLOOKUP(Tabla1[[#This Row],[NRO. PERSONAL]],[2]Sheet1!$A:$R,18,FALSE)</f>
        <v>FACULTAD DE CIENCIAS DE LA SALUD</v>
      </c>
      <c r="F84" t="str">
        <f>VLOOKUP(Tabla1[[#This Row],[NRO. PERSONAL]],[2]Sheet1!$A:$S,19,FALSE)</f>
        <v>DEPTO. CIENCIAS DE LA NUT. Y ALIMENTOS</v>
      </c>
      <c r="G84" s="2"/>
      <c r="H84" s="2"/>
    </row>
    <row r="85" spans="1:8" x14ac:dyDescent="0.35">
      <c r="A85">
        <v>84</v>
      </c>
      <c r="B85">
        <v>16001355</v>
      </c>
      <c r="C85" t="s">
        <v>227</v>
      </c>
      <c r="D85" t="str">
        <f>VLOOKUP(B85,[1]Sheet1!$B:$H,7,FALSE)</f>
        <v>DANIELA.GONZALEZ@UTALCA.CL</v>
      </c>
      <c r="E85" t="str">
        <f>VLOOKUP(Tabla1[[#This Row],[NRO. PERSONAL]],[2]Sheet1!$A:$R,18,FALSE)</f>
        <v>FACULTAD DE CIENCIAS DE LA SALUD</v>
      </c>
      <c r="F85" t="str">
        <f>VLOOKUP(Tabla1[[#This Row],[NRO. PERSONAL]],[2]Sheet1!$A:$S,19,FALSE)</f>
        <v>DPTO. DE CIENCIAS DE FONOAUDIOLOGÍA</v>
      </c>
      <c r="G85" s="2"/>
      <c r="H85" s="2"/>
    </row>
    <row r="86" spans="1:8" x14ac:dyDescent="0.35">
      <c r="A86">
        <v>85</v>
      </c>
      <c r="B86">
        <v>14399417</v>
      </c>
      <c r="C86" t="s">
        <v>78</v>
      </c>
      <c r="D86" t="str">
        <f>VLOOKUP(B86,[1]Sheet1!$B:$H,7,FALSE)</f>
        <v>PAULO.GONZALEZG@UTALCA.CL</v>
      </c>
      <c r="E86" t="str">
        <f>VLOOKUP(Tabla1[[#This Row],[NRO. PERSONAL]],[2]Sheet1!$A:$R,18,FALSE)</f>
        <v>FACULTAD DE ECONOMÍA Y NEGOCIOS</v>
      </c>
      <c r="F86" t="str">
        <f>VLOOKUP(Tabla1[[#This Row],[NRO. PERSONAL]],[2]Sheet1!$A:$S,19,FALSE)</f>
        <v>ESC. DE ING. INFORMÁTICA EMPRESARIAL</v>
      </c>
      <c r="G86" s="2"/>
      <c r="H86" s="2"/>
    </row>
    <row r="87" spans="1:8" x14ac:dyDescent="0.35">
      <c r="A87">
        <v>86</v>
      </c>
      <c r="B87">
        <v>16001930</v>
      </c>
      <c r="C87" t="s">
        <v>37</v>
      </c>
      <c r="D87" t="str">
        <f>VLOOKUP(B87,[1]Sheet1!$B:$H,7,FALSE)</f>
        <v>CARLOGONZALEZ@UTALCA.CL</v>
      </c>
      <c r="E87" t="str">
        <f>VLOOKUP(Tabla1[[#This Row],[NRO. PERSONAL]],[2]Sheet1!$A:$R,18,FALSE)</f>
        <v>FACULTAD DE CIENCIAS DE LA SALUD</v>
      </c>
      <c r="F87" t="str">
        <f>VLOOKUP(Tabla1[[#This Row],[NRO. PERSONAL]],[2]Sheet1!$A:$S,19,FALSE)</f>
        <v>DPTO. DE CIENCIAS DE FONOAUDIOLOGÍA</v>
      </c>
      <c r="G87" s="2"/>
      <c r="H87" s="2"/>
    </row>
    <row r="88" spans="1:8" x14ac:dyDescent="0.35">
      <c r="A88">
        <v>87</v>
      </c>
      <c r="B88">
        <v>15923848</v>
      </c>
      <c r="C88" t="s">
        <v>205</v>
      </c>
      <c r="D88" t="str">
        <f>VLOOKUP(B88,[1]Sheet1!$B:$H,7,FALSE)</f>
        <v>YENNY.GONZALEZ@UTALCA.CL</v>
      </c>
      <c r="E88" t="str">
        <f>VLOOKUP(Tabla1[[#This Row],[NRO. PERSONAL]],[2]Sheet1!$A:$R,18,FALSE)</f>
        <v>FACULTAD DE CIENCIAS DE LA SALUD</v>
      </c>
      <c r="F88" t="str">
        <f>VLOOKUP(Tabla1[[#This Row],[NRO. PERSONAL]],[2]Sheet1!$A:$S,19,FALSE)</f>
        <v>ESCUELA DE OBSTETRICIA Y PUERICULTURA</v>
      </c>
      <c r="G88" s="2"/>
      <c r="H88" s="2"/>
    </row>
    <row r="89" spans="1:8" x14ac:dyDescent="0.35">
      <c r="A89">
        <v>88</v>
      </c>
      <c r="B89">
        <v>11675234</v>
      </c>
      <c r="C89" t="s">
        <v>135</v>
      </c>
      <c r="D89" t="str">
        <f>VLOOKUP(B89,[1]Sheet1!$B:$H,7,FALSE)</f>
        <v>DAGONZALEZ@UTALCA.CL</v>
      </c>
      <c r="E89" t="str">
        <f>VLOOKUP(Tabla1[[#This Row],[NRO. PERSONAL]],[2]Sheet1!$A:$R,18,FALSE)</f>
        <v>FACULTAD DE CIENCIAS DE LA SALUD</v>
      </c>
      <c r="F89" t="str">
        <f>VLOOKUP(Tabla1[[#This Row],[NRO. PERSONAL]],[2]Sheet1!$A:$S,19,FALSE)</f>
        <v>DPTO. DE CIENCIAS BÁSICAS BIOMÉDICAS</v>
      </c>
      <c r="G89" s="2"/>
      <c r="H89" s="2"/>
    </row>
    <row r="90" spans="1:8" x14ac:dyDescent="0.35">
      <c r="A90">
        <v>89</v>
      </c>
      <c r="B90">
        <v>16792921</v>
      </c>
      <c r="C90" t="s">
        <v>223</v>
      </c>
      <c r="D90" t="str">
        <f>VLOOKUP(B90,[1]Sheet1!$B:$H,7,FALSE)</f>
        <v>MOISES.GONZALEZ@UTALCA.CL</v>
      </c>
      <c r="E90" t="str">
        <f>VLOOKUP(Tabla1[[#This Row],[NRO. PERSONAL]],[2]Sheet1!$A:$R,18,FALSE)</f>
        <v>FACULTAD DE ECONOMÍA Y NEGOCIOS</v>
      </c>
      <c r="F90" t="str">
        <f>VLOOKUP(Tabla1[[#This Row],[NRO. PERSONAL]],[2]Sheet1!$A:$S,19,FALSE)</f>
        <v>ESC. AUDITORIA Y CONTROL DE GESTIÓN TLCA</v>
      </c>
      <c r="G90" s="2"/>
      <c r="H90" s="2"/>
    </row>
    <row r="91" spans="1:8" x14ac:dyDescent="0.35">
      <c r="A91">
        <v>90</v>
      </c>
      <c r="B91">
        <v>13725804</v>
      </c>
      <c r="C91" t="s">
        <v>97</v>
      </c>
      <c r="D91" t="str">
        <f>VLOOKUP(B91,[1]Sheet1!$B:$H,7,FALSE)</f>
        <v>SGUINEZ@UTALCA.CL</v>
      </c>
      <c r="E91" t="str">
        <f>VLOOKUP(Tabla1[[#This Row],[NRO. PERSONAL]],[2]Sheet1!$A:$R,18,FALSE)</f>
        <v>FACULTAD DE MEDICINA</v>
      </c>
      <c r="F91" t="str">
        <f>VLOOKUP(Tabla1[[#This Row],[NRO. PERSONAL]],[2]Sheet1!$A:$S,19,FALSE)</f>
        <v>DEPARTAMENTO DE CIENCIAS PRECLÍNICAS</v>
      </c>
      <c r="G91" s="2"/>
      <c r="H91" s="2"/>
    </row>
    <row r="92" spans="1:8" x14ac:dyDescent="0.35">
      <c r="A92">
        <v>91</v>
      </c>
      <c r="B92">
        <v>15569522</v>
      </c>
      <c r="C92" t="s">
        <v>57</v>
      </c>
      <c r="D92" t="str">
        <f>VLOOKUP(B92,[1]Sheet1!$B:$H,7,FALSE)</f>
        <v>ANGUTIERREZ@UTALCA.CL</v>
      </c>
      <c r="E92" t="str">
        <f>VLOOKUP(Tabla1[[#This Row],[NRO. PERSONAL]],[2]Sheet1!$A:$R,18,FALSE)</f>
        <v>FACULTAD DE CIENCIAS DE LA SALUD</v>
      </c>
      <c r="F92" t="str">
        <f>VLOOKUP(Tabla1[[#This Row],[NRO. PERSONAL]],[2]Sheet1!$A:$S,19,FALSE)</f>
        <v>DEPTO. CIENCIAS DE LA NUT. Y ALIMENTOS</v>
      </c>
      <c r="G92" s="2"/>
      <c r="H92" s="2"/>
    </row>
    <row r="93" spans="1:8" x14ac:dyDescent="0.35">
      <c r="A93">
        <v>92</v>
      </c>
      <c r="B93">
        <v>14011885</v>
      </c>
      <c r="C93" t="s">
        <v>85</v>
      </c>
      <c r="D93" t="str">
        <f>VLOOKUP(B93,[1]Sheet1!$B:$H,7,FALSE)</f>
        <v>LGUZMAN@UTALCA.CL</v>
      </c>
      <c r="E93" t="str">
        <f>VLOOKUP(Tabla1[[#This Row],[NRO. PERSONAL]],[2]Sheet1!$A:$R,18,FALSE)</f>
        <v>FACULTAD DE CIENCIAS DE LA SALUD</v>
      </c>
      <c r="F93" t="str">
        <f>VLOOKUP(Tabla1[[#This Row],[NRO. PERSONAL]],[2]Sheet1!$A:$S,19,FALSE)</f>
        <v>DPTO. BIOQUÍM. CLÍN. E INMUNOHEMATOLOGÍA</v>
      </c>
      <c r="G93" s="2"/>
      <c r="H93" s="2"/>
    </row>
    <row r="94" spans="1:8" x14ac:dyDescent="0.35">
      <c r="A94">
        <v>93</v>
      </c>
      <c r="B94">
        <v>16092616</v>
      </c>
      <c r="C94" t="s">
        <v>35</v>
      </c>
      <c r="D94" t="str">
        <f>VLOOKUP(B94,[1]Sheet1!$B:$H,7,FALSE)</f>
        <v>FABIOLA.HELBIG@UTALCA.CL</v>
      </c>
      <c r="E94" t="str">
        <f>VLOOKUP(Tabla1[[#This Row],[NRO. PERSONAL]],[2]Sheet1!$A:$R,18,FALSE)</f>
        <v>FACULTAD DE PSICOLOGÍA</v>
      </c>
      <c r="F94" t="str">
        <f>VLOOKUP(Tabla1[[#This Row],[NRO. PERSONAL]],[2]Sheet1!$A:$S,19,FALSE)</f>
        <v>ESCUELA DE TERAPIA OCUPACIONAL</v>
      </c>
      <c r="G94" s="2"/>
      <c r="H94" s="2"/>
    </row>
    <row r="95" spans="1:8" x14ac:dyDescent="0.35">
      <c r="A95">
        <v>94</v>
      </c>
      <c r="B95">
        <v>13505248</v>
      </c>
      <c r="C95" t="s">
        <v>106</v>
      </c>
      <c r="D95" t="str">
        <f>VLOOKUP(B95,[1]Sheet1!$B:$H,7,FALSE)</f>
        <v>RODRIGO.HERRERA@UTALCA.CL</v>
      </c>
      <c r="E95" t="str">
        <f>VLOOKUP(Tabla1[[#This Row],[NRO. PERSONAL]],[2]Sheet1!$A:$R,18,FALSE)</f>
        <v>FACULTAD DE ECONOMÍA Y NEGOCIOS</v>
      </c>
      <c r="F95" t="str">
        <f>VLOOKUP(Tabla1[[#This Row],[NRO. PERSONAL]],[2]Sheet1!$A:$S,19,FALSE)</f>
        <v>ESCUELA DE INGENIERÍA COMERCIAL DE TALCA</v>
      </c>
      <c r="G95" s="2"/>
      <c r="H95" s="2"/>
    </row>
    <row r="96" spans="1:8" x14ac:dyDescent="0.35">
      <c r="A96">
        <v>95</v>
      </c>
      <c r="B96">
        <v>14253940</v>
      </c>
      <c r="C96" t="s">
        <v>82</v>
      </c>
      <c r="D96" t="str">
        <f>VLOOKUP(B96,[1]Sheet1!$B:$H,7,FALSE)</f>
        <v>ANJIMENEZ@UTALCA.CL</v>
      </c>
      <c r="E96" t="str">
        <f>VLOOKUP(Tabla1[[#This Row],[NRO. PERSONAL]],[2]Sheet1!$A:$R,18,FALSE)</f>
        <v>FACULTAD DE PSICOLOGÍA</v>
      </c>
      <c r="F96" t="str">
        <f>VLOOKUP(Tabla1[[#This Row],[NRO. PERSONAL]],[2]Sheet1!$A:$S,19,FALSE)</f>
        <v>FACULTAD DE PSICOLOGÍA</v>
      </c>
      <c r="G96" s="2"/>
      <c r="H96" s="2"/>
    </row>
    <row r="97" spans="1:8" x14ac:dyDescent="0.35">
      <c r="A97">
        <v>96</v>
      </c>
      <c r="B97">
        <v>15598017</v>
      </c>
      <c r="C97" t="s">
        <v>55</v>
      </c>
      <c r="D97" t="str">
        <f>VLOOKUP(B97,[1]Sheet1!$B:$H,7,FALSE)</f>
        <v>PJORQUERA@UTALCA.CL</v>
      </c>
      <c r="E97" t="str">
        <f>VLOOKUP(Tabla1[[#This Row],[NRO. PERSONAL]],[2]Sheet1!$A:$R,18,FALSE)</f>
        <v>FACULTAD DE CIENCIAS DE LA SALUD</v>
      </c>
      <c r="F97" t="str">
        <f>VLOOKUP(Tabla1[[#This Row],[NRO. PERSONAL]],[2]Sheet1!$A:$S,19,FALSE)</f>
        <v>DPTO. DE CIENCIAS BÁSICAS BIOMÉDICAS</v>
      </c>
      <c r="G97" s="2"/>
      <c r="H97" s="2"/>
    </row>
    <row r="98" spans="1:8" x14ac:dyDescent="0.35">
      <c r="A98">
        <v>97</v>
      </c>
      <c r="B98">
        <v>25944987</v>
      </c>
      <c r="C98" t="s">
        <v>208</v>
      </c>
      <c r="D98" t="str">
        <f>VLOOKUP(B98,[1]Sheet1!$B:$H,7,FALSE)</f>
        <v>KATHRIN.KOLLMAR@UTALCA.CL</v>
      </c>
      <c r="E98" t="str">
        <f>VLOOKUP(Tabla1[[#This Row],[NRO. PERSONAL]],[2]Sheet1!$A:$R,18,FALSE)</f>
        <v>DIRECCIÓN DE PREGRADO</v>
      </c>
      <c r="F98" t="str">
        <f>VLOOKUP(Tabla1[[#This Row],[NRO. PERSONAL]],[2]Sheet1!$A:$S,19,FALSE)</f>
        <v>PROGRAMA DE IDIOMAS</v>
      </c>
      <c r="G98" s="2"/>
      <c r="H98" s="2"/>
    </row>
    <row r="99" spans="1:8" x14ac:dyDescent="0.35">
      <c r="A99">
        <v>98</v>
      </c>
      <c r="B99">
        <v>13304000</v>
      </c>
      <c r="C99" t="s">
        <v>113</v>
      </c>
      <c r="D99" t="str">
        <f>VLOOKUP(B99,[1]Sheet1!$B:$H,7,FALSE)</f>
        <v>DLAGOS@UTALCA.CL</v>
      </c>
      <c r="E99" t="str">
        <f>VLOOKUP(Tabla1[[#This Row],[NRO. PERSONAL]],[2]Sheet1!$A:$R,18,FALSE)</f>
        <v>FACULTAD DE INGENIERÍA</v>
      </c>
      <c r="F99" t="str">
        <f>VLOOKUP(Tabla1[[#This Row],[NRO. PERSONAL]],[2]Sheet1!$A:$S,19,FALSE)</f>
        <v>DEPARTAMENTO DE INGENIERÍA INDUSTRIAL</v>
      </c>
      <c r="G99" s="2"/>
      <c r="H99" s="2"/>
    </row>
    <row r="100" spans="1:8" x14ac:dyDescent="0.35">
      <c r="A100">
        <v>99</v>
      </c>
      <c r="B100">
        <v>10286289</v>
      </c>
      <c r="C100" t="s">
        <v>152</v>
      </c>
      <c r="D100" t="str">
        <f>VLOOKUP(B100,[1]Sheet1!$B:$H,7,FALSE)</f>
        <v>FLAURIE@UTALCA.CL</v>
      </c>
      <c r="E100" t="str">
        <f>VLOOKUP(Tabla1[[#This Row],[NRO. PERSONAL]],[2]Sheet1!$A:$R,18,FALSE)</f>
        <v>FACULTAD DE CIENCIAS AGRARIAS</v>
      </c>
      <c r="F100" t="str">
        <f>VLOOKUP(Tabla1[[#This Row],[NRO. PERSONAL]],[2]Sheet1!$A:$S,19,FALSE)</f>
        <v>DEPARTAMENTO DE HORTICULTURA</v>
      </c>
      <c r="G100" s="2"/>
      <c r="H100" s="2"/>
    </row>
    <row r="101" spans="1:8" x14ac:dyDescent="0.35">
      <c r="A101">
        <v>100</v>
      </c>
      <c r="B101">
        <v>16569157</v>
      </c>
      <c r="C101" t="s">
        <v>24</v>
      </c>
      <c r="D101" t="str">
        <f>VLOOKUP(B101,[1]Sheet1!$B:$H,7,FALSE)</f>
        <v>JUAN.LEON@UTALCA.CL</v>
      </c>
      <c r="E101" t="str">
        <f>VLOOKUP(Tabla1[[#This Row],[NRO. PERSONAL]],[2]Sheet1!$A:$R,18,FALSE)</f>
        <v>FACULTAD DE PSICOLOGÍA</v>
      </c>
      <c r="F101" t="str">
        <f>VLOOKUP(Tabla1[[#This Row],[NRO. PERSONAL]],[2]Sheet1!$A:$S,19,FALSE)</f>
        <v>ESCUELA DE TERAPIA OCUPACIONAL</v>
      </c>
      <c r="G101" s="2"/>
      <c r="H101" s="2"/>
    </row>
    <row r="102" spans="1:8" x14ac:dyDescent="0.35">
      <c r="A102">
        <v>101</v>
      </c>
      <c r="B102">
        <v>10140056</v>
      </c>
      <c r="C102" t="s">
        <v>155</v>
      </c>
      <c r="D102" t="str">
        <f>VLOOKUP(B102,[1]Sheet1!$B:$H,7,FALSE)</f>
        <v>MALILLO@UTALCA.CL</v>
      </c>
      <c r="E102" t="str">
        <f>VLOOKUP(Tabla1[[#This Row],[NRO. PERSONAL]],[2]Sheet1!$A:$R,18,FALSE)</f>
        <v>FACULTAD DE ARQUITECTUR, MÚSICA Y DISEÑO</v>
      </c>
      <c r="F102" t="str">
        <f>VLOOKUP(Tabla1[[#This Row],[NRO. PERSONAL]],[2]Sheet1!$A:$S,19,FALSE)</f>
        <v>DEPTO. DE INTERP. Y FORM. MUSICAL ESPEC.</v>
      </c>
      <c r="G102" s="2"/>
      <c r="H102" s="2"/>
    </row>
    <row r="103" spans="1:8" x14ac:dyDescent="0.35">
      <c r="A103">
        <v>102</v>
      </c>
      <c r="B103">
        <v>15130564</v>
      </c>
      <c r="C103" t="s">
        <v>66</v>
      </c>
      <c r="D103" t="str">
        <f>VLOOKUP(B103,[1]Sheet1!$B:$H,7,FALSE)</f>
        <v>PLIZANA@UTALCA.CL</v>
      </c>
      <c r="E103" t="str">
        <f>VLOOKUP(Tabla1[[#This Row],[NRO. PERSONAL]],[2]Sheet1!$A:$R,18,FALSE)</f>
        <v>DIRECCIÓN DE PREGRADO</v>
      </c>
      <c r="F103" t="str">
        <f>VLOOKUP(Tabla1[[#This Row],[NRO. PERSONAL]],[2]Sheet1!$A:$S,19,FALSE)</f>
        <v>PROGRAMA DE FORMACIÓN FUNDAMENTAL</v>
      </c>
      <c r="G103" s="2"/>
      <c r="H103" s="2"/>
    </row>
    <row r="104" spans="1:8" x14ac:dyDescent="0.35">
      <c r="A104">
        <v>103</v>
      </c>
      <c r="B104">
        <v>7901566</v>
      </c>
      <c r="C104" t="s">
        <v>144</v>
      </c>
      <c r="D104" t="str">
        <f>VLOOKUP(B104,[1]Sheet1!$B:$H,7,FALSE)</f>
        <v>GLOBOS@UTALCA.CL</v>
      </c>
      <c r="E104" t="str">
        <f>VLOOKUP(Tabla1[[#This Row],[NRO. PERSONAL]],[2]Sheet1!$A:$R,18,FALSE)</f>
        <v>FACULTAD DE ECONOMÍA Y NEGOCIOS</v>
      </c>
      <c r="F104" t="str">
        <f>VLOOKUP(Tabla1[[#This Row],[NRO. PERSONAL]],[2]Sheet1!$A:$S,19,FALSE)</f>
        <v>ESCUELA DE INGENIERÍA COMERCIAL DE TALCA</v>
      </c>
      <c r="G104" s="2"/>
      <c r="H104" s="2"/>
    </row>
    <row r="105" spans="1:8" x14ac:dyDescent="0.35">
      <c r="A105">
        <v>104</v>
      </c>
      <c r="B105">
        <v>8186262</v>
      </c>
      <c r="C105" t="s">
        <v>184</v>
      </c>
      <c r="D105" t="str">
        <f>VLOOKUP(B105,[1]Sheet1!$B:$H,7,FALSE)</f>
        <v>OLOBOS@UTALCA.CL</v>
      </c>
      <c r="E105" t="str">
        <f>VLOOKUP(Tabla1[[#This Row],[NRO. PERSONAL]],[2]Sheet1!$A:$R,18,FALSE)</f>
        <v>FACULTAD DE CIENCIAS DE LA SALUD</v>
      </c>
      <c r="F105" t="str">
        <f>VLOOKUP(Tabla1[[#This Row],[NRO. PERSONAL]],[2]Sheet1!$A:$S,19,FALSE)</f>
        <v>DEPARTAMENTO DE MICROBIOLOGÍA</v>
      </c>
      <c r="G105" s="2"/>
      <c r="H105" s="2"/>
    </row>
    <row r="106" spans="1:8" x14ac:dyDescent="0.35">
      <c r="A106">
        <v>105</v>
      </c>
      <c r="B106">
        <v>9086541</v>
      </c>
      <c r="C106" t="s">
        <v>174</v>
      </c>
      <c r="D106" t="str">
        <f>VLOOKUP(B106,[1]Sheet1!$B:$H,7,FALSE)</f>
        <v>GLOBOSP@UTALCA.CL</v>
      </c>
      <c r="E106" t="str">
        <f>VLOOKUP(Tabla1[[#This Row],[NRO. PERSONAL]],[2]Sheet1!$A:$R,18,FALSE)</f>
        <v>FACULTAD DE CIENCIAS AGRARIAS</v>
      </c>
      <c r="F106" t="str">
        <f>VLOOKUP(Tabla1[[#This Row],[NRO. PERSONAL]],[2]Sheet1!$A:$S,19,FALSE)</f>
        <v>DEPARTAMENTO DE HORTICULTURA</v>
      </c>
      <c r="G106" s="2"/>
      <c r="H106" s="2"/>
    </row>
    <row r="107" spans="1:8" x14ac:dyDescent="0.35">
      <c r="A107">
        <v>106</v>
      </c>
      <c r="B107">
        <v>9098526</v>
      </c>
      <c r="C107" t="s">
        <v>232</v>
      </c>
      <c r="D107" t="str">
        <f>VLOOKUP(B107,[1]Sheet1!$B:$H,7,FALSE)</f>
        <v>MLOLAS@UTALCA.CL</v>
      </c>
      <c r="E107" s="2" t="str">
        <f>VLOOKUP(Tabla1[[#This Row],[NRO. PERSONAL]],[2]Sheet1!$A:$R,18,FALSE)</f>
        <v>FACULTAD DE CIENCIAS AGRARIAS</v>
      </c>
      <c r="F107" s="2" t="str">
        <f>VLOOKUP(Tabla1[[#This Row],[NRO. PERSONAL]],[2]Sheet1!$A:$S,19,FALSE)</f>
        <v>DEPARTAMENTO DE PRODUCCIÓN AGRÍCOLA</v>
      </c>
      <c r="G107" s="2"/>
      <c r="H107" s="2"/>
    </row>
    <row r="108" spans="1:8" x14ac:dyDescent="0.35">
      <c r="A108">
        <v>107</v>
      </c>
      <c r="B108">
        <v>16484439</v>
      </c>
      <c r="C108" t="s">
        <v>28</v>
      </c>
      <c r="D108" t="str">
        <f>VLOOKUP(B108,[1]Sheet1!$B:$H,7,FALSE)</f>
        <v>PABLO.LOPEZ@UTALCA.CL</v>
      </c>
      <c r="E108" t="str">
        <f>VLOOKUP(Tabla1[[#This Row],[NRO. PERSONAL]],[2]Sheet1!$A:$R,18,FALSE)</f>
        <v>FACULTAD DE PSICOLOGÍA</v>
      </c>
      <c r="F108" t="str">
        <f>VLOOKUP(Tabla1[[#This Row],[NRO. PERSONAL]],[2]Sheet1!$A:$S,19,FALSE)</f>
        <v>ESCUELA DE TERAPIA OCUPACIONAL</v>
      </c>
      <c r="G108" s="2"/>
      <c r="H108" s="2"/>
    </row>
    <row r="109" spans="1:8" x14ac:dyDescent="0.35">
      <c r="A109">
        <v>108</v>
      </c>
      <c r="B109">
        <v>13572240</v>
      </c>
      <c r="C109" t="s">
        <v>104</v>
      </c>
      <c r="D109" t="str">
        <f>VLOOKUP(B109,[1]Sheet1!$B:$H,7,FALSE)</f>
        <v>BLOPEZ@UTALCA.CL</v>
      </c>
      <c r="E109" t="str">
        <f>VLOOKUP(Tabla1[[#This Row],[NRO. PERSONAL]],[2]Sheet1!$A:$R,18,FALSE)</f>
        <v>FACULTAD DE CIENCIAS DE LA SALUD</v>
      </c>
      <c r="F109" t="str">
        <f>VLOOKUP(Tabla1[[#This Row],[NRO. PERSONAL]],[2]Sheet1!$A:$S,19,FALSE)</f>
        <v>DPTO. DE CIENCIAS BÁSICAS BIOMÉDICAS</v>
      </c>
      <c r="G109" s="2"/>
      <c r="H109" s="2"/>
    </row>
    <row r="110" spans="1:8" x14ac:dyDescent="0.35">
      <c r="A110">
        <v>109</v>
      </c>
      <c r="B110">
        <v>10960782</v>
      </c>
      <c r="C110" t="s">
        <v>140</v>
      </c>
      <c r="D110" t="str">
        <f>VLOOKUP(B110,[1]Sheet1!$B:$H,7,FALSE)</f>
        <v>LLOPEZ@UTALCA.CL</v>
      </c>
      <c r="E110" t="str">
        <f>VLOOKUP(Tabla1[[#This Row],[NRO. PERSONAL]],[2]Sheet1!$A:$R,18,FALSE)</f>
        <v>FACULTAD DE ECONOMÍA Y NEGOCIOS</v>
      </c>
      <c r="F110" t="str">
        <f>VLOOKUP(Tabla1[[#This Row],[NRO. PERSONAL]],[2]Sheet1!$A:$S,19,FALSE)</f>
        <v>ESC. DE ING. INFORMÁTICA EMPRESARIAL</v>
      </c>
      <c r="G110" s="2"/>
      <c r="H110" s="2"/>
    </row>
    <row r="111" spans="1:8" x14ac:dyDescent="0.35">
      <c r="A111">
        <v>110</v>
      </c>
      <c r="B111">
        <v>12899066</v>
      </c>
      <c r="C111" t="s">
        <v>121</v>
      </c>
      <c r="D111" t="str">
        <f>VLOOKUP(B111,[1]Sheet1!$B:$H,7,FALSE)</f>
        <v>HMALLEA@UTALCA.CL</v>
      </c>
      <c r="E111" t="str">
        <f>VLOOKUP(Tabla1[[#This Row],[NRO. PERSONAL]],[2]Sheet1!$A:$R,18,FALSE)</f>
        <v>DIRECCIÓN DE PREGRADO</v>
      </c>
      <c r="F111" t="str">
        <f>VLOOKUP(Tabla1[[#This Row],[NRO. PERSONAL]],[2]Sheet1!$A:$S,19,FALSE)</f>
        <v>PROGRAMA DE FORMACIÓN FUNDAMENTAL</v>
      </c>
      <c r="G111" s="2"/>
      <c r="H111" s="2"/>
    </row>
    <row r="112" spans="1:8" x14ac:dyDescent="0.35">
      <c r="A112">
        <v>111</v>
      </c>
      <c r="B112">
        <v>11919599</v>
      </c>
      <c r="C112" t="s">
        <v>220</v>
      </c>
      <c r="D112" t="str">
        <f>VLOOKUP(B112,[1]Sheet1!$B:$H,7,FALSE)</f>
        <v>PMANRIQ@UTALCA.CL</v>
      </c>
      <c r="E112" t="str">
        <f>VLOOKUP(Tabla1[[#This Row],[NRO. PERSONAL]],[2]Sheet1!$A:$R,18,FALSE)</f>
        <v>FACULTAD DE CIENCIAS AGRARIAS</v>
      </c>
      <c r="F112" t="str">
        <f>VLOOKUP(Tabla1[[#This Row],[NRO. PERSONAL]],[2]Sheet1!$A:$S,19,FALSE)</f>
        <v>DEPARTAMENTO DE ECONOMÍA AGRARIA</v>
      </c>
      <c r="G112" s="2"/>
      <c r="H112" s="2"/>
    </row>
    <row r="113" spans="1:8" x14ac:dyDescent="0.35">
      <c r="A113">
        <v>112</v>
      </c>
      <c r="B113">
        <v>18672598</v>
      </c>
      <c r="C113" t="s">
        <v>11</v>
      </c>
      <c r="D113" t="str">
        <f>VLOOKUP(B113,[1]Sheet1!$B:$H,7,FALSE)</f>
        <v>JOSE.MARCHANT@UTALCA.CL</v>
      </c>
      <c r="E113" t="str">
        <f>VLOOKUP(Tabla1[[#This Row],[NRO. PERSONAL]],[2]Sheet1!$A:$R,18,FALSE)</f>
        <v>FACULTAD DE PSICOLOGÍA</v>
      </c>
      <c r="F113" t="str">
        <f>VLOOKUP(Tabla1[[#This Row],[NRO. PERSONAL]],[2]Sheet1!$A:$S,19,FALSE)</f>
        <v>ESCUELA DE TERAPIA OCUPACIONAL</v>
      </c>
      <c r="G113" s="2"/>
      <c r="H113" s="2"/>
    </row>
    <row r="114" spans="1:8" x14ac:dyDescent="0.35">
      <c r="A114">
        <v>113</v>
      </c>
      <c r="B114">
        <v>13458926</v>
      </c>
      <c r="C114" t="s">
        <v>108</v>
      </c>
      <c r="D114" t="str">
        <f>VLOOKUP(B114,[1]Sheet1!$B:$H,7,FALSE)</f>
        <v>AMARICAN@UTALCA.CL</v>
      </c>
      <c r="E114" t="str">
        <f>VLOOKUP(Tabla1[[#This Row],[NRO. PERSONAL]],[2]Sheet1!$A:$R,18,FALSE)</f>
        <v>INSTITUTO QUÍMICA DE RECURSOS NATURALES</v>
      </c>
      <c r="F114" t="str">
        <f>VLOOKUP(Tabla1[[#This Row],[NRO. PERSONAL]],[2]Sheet1!$A:$S,19,FALSE)</f>
        <v>INSTITUTO QUÍMICA DE RECURSOS NATURALES</v>
      </c>
      <c r="G114" s="2"/>
      <c r="H114" s="2"/>
    </row>
    <row r="115" spans="1:8" x14ac:dyDescent="0.35">
      <c r="A115">
        <v>114</v>
      </c>
      <c r="B115">
        <v>13971764</v>
      </c>
      <c r="C115" t="s">
        <v>86</v>
      </c>
      <c r="D115" t="str">
        <f>VLOOKUP(B115,[1]Sheet1!$B:$H,7,FALSE)</f>
        <v>JMARILAO@UTALCA.CL</v>
      </c>
      <c r="E115" t="str">
        <f>VLOOKUP(Tabla1[[#This Row],[NRO. PERSONAL]],[2]Sheet1!$A:$R,18,FALSE)</f>
        <v>FACULTAD DE ODONTOLOGÍA</v>
      </c>
      <c r="F115" t="str">
        <f>VLOOKUP(Tabla1[[#This Row],[NRO. PERSONAL]],[2]Sheet1!$A:$S,19,FALSE)</f>
        <v>DPTO. REHABILITACIÓN BUCO-MAXILOFACIAL</v>
      </c>
      <c r="G115" s="2"/>
      <c r="H115" s="2"/>
    </row>
    <row r="116" spans="1:8" x14ac:dyDescent="0.35">
      <c r="A116">
        <v>115</v>
      </c>
      <c r="B116">
        <v>15991561</v>
      </c>
      <c r="C116" t="s">
        <v>40</v>
      </c>
      <c r="D116" t="str">
        <f>VLOOKUP(B116,[1]Sheet1!$B:$H,7,FALSE)</f>
        <v>EMARINKOVIC@UTALCA.CL</v>
      </c>
      <c r="E116" t="str">
        <f>VLOOKUP(Tabla1[[#This Row],[NRO. PERSONAL]],[2]Sheet1!$A:$R,18,FALSE)</f>
        <v>FACULTAD DE CIENCIAS DE LA SALUD</v>
      </c>
      <c r="F116" t="str">
        <f>VLOOKUP(Tabla1[[#This Row],[NRO. PERSONAL]],[2]Sheet1!$A:$S,19,FALSE)</f>
        <v>DPTO. DE CIENCIAS BÁSICAS BIOMÉDICAS</v>
      </c>
      <c r="G116" s="2"/>
      <c r="H116" s="2"/>
    </row>
    <row r="117" spans="1:8" x14ac:dyDescent="0.35">
      <c r="A117">
        <v>116</v>
      </c>
      <c r="B117">
        <v>17404279</v>
      </c>
      <c r="C117" t="s">
        <v>17</v>
      </c>
      <c r="D117" t="str">
        <f>VLOOKUP(B117,[1]Sheet1!$B:$H,7,FALSE)</f>
        <v>NATALIA.MARTINEZ@UTALCA.CL</v>
      </c>
      <c r="E117" t="str">
        <f>VLOOKUP(Tabla1[[#This Row],[NRO. PERSONAL]],[2]Sheet1!$A:$R,18,FALSE)</f>
        <v>FACULTAD DE ODONTOLOGÍA</v>
      </c>
      <c r="F117" t="str">
        <f>VLOOKUP(Tabla1[[#This Row],[NRO. PERSONAL]],[2]Sheet1!$A:$S,19,FALSE)</f>
        <v>FACULTAD DE ODONTOLOGÍA</v>
      </c>
      <c r="G117" s="2"/>
      <c r="H117" s="2"/>
    </row>
    <row r="118" spans="1:8" x14ac:dyDescent="0.35">
      <c r="A118">
        <v>117</v>
      </c>
      <c r="B118">
        <v>10959102</v>
      </c>
      <c r="C118" t="s">
        <v>141</v>
      </c>
      <c r="D118" t="str">
        <f>VLOOKUP(B118,[1]Sheet1!$B:$H,7,FALSE)</f>
        <v>GMARTINEZ@UTALCA.CL</v>
      </c>
      <c r="E118" t="str">
        <f>VLOOKUP(Tabla1[[#This Row],[NRO. PERSONAL]],[2]Sheet1!$A:$R,18,FALSE)</f>
        <v>FACULTAD DE ARQUITECTUR, MÚSICA Y DISEÑO</v>
      </c>
      <c r="F118" t="str">
        <f>VLOOKUP(Tabla1[[#This Row],[NRO. PERSONAL]],[2]Sheet1!$A:$S,19,FALSE)</f>
        <v>DEPARTAMENTO DE TEORÍA MUSICAL</v>
      </c>
      <c r="G118" s="2"/>
      <c r="H118" s="2"/>
    </row>
    <row r="119" spans="1:8" x14ac:dyDescent="0.35">
      <c r="A119">
        <v>118</v>
      </c>
      <c r="B119">
        <v>16298280</v>
      </c>
      <c r="C119" t="s">
        <v>200</v>
      </c>
      <c r="D119" t="str">
        <f>VLOOKUP(B119,[1]Sheet1!$B:$H,7,FALSE)</f>
        <v>NMARTINEZ@UTALCA.CL</v>
      </c>
      <c r="E119" t="str">
        <f>VLOOKUP(Tabla1[[#This Row],[NRO. PERSONAL]],[2]Sheet1!$A:$R,18,FALSE)</f>
        <v>DIRECCIÓN DE PREGRADO</v>
      </c>
      <c r="F119" t="str">
        <f>VLOOKUP(Tabla1[[#This Row],[NRO. PERSONAL]],[2]Sheet1!$A:$S,19,FALSE)</f>
        <v>PROGRAMA DE FORMACIÓN FUNDAMENTAL</v>
      </c>
      <c r="G119" s="2"/>
      <c r="H119" s="2"/>
    </row>
    <row r="120" spans="1:8" x14ac:dyDescent="0.35">
      <c r="A120">
        <v>119</v>
      </c>
      <c r="B120">
        <v>21280946</v>
      </c>
      <c r="C120" t="s">
        <v>10</v>
      </c>
      <c r="D120" t="str">
        <f>VLOOKUP(B120,[1]Sheet1!$B:$H,7,FALSE)</f>
        <v>FMELERO@UTALCA.CL</v>
      </c>
      <c r="E120" t="str">
        <f>VLOOKUP(Tabla1[[#This Row],[NRO. PERSONAL]],[2]Sheet1!$A:$R,18,FALSE)</f>
        <v>DIRECCIÓN DE PREGRADO</v>
      </c>
      <c r="F120" t="str">
        <f>VLOOKUP(Tabla1[[#This Row],[NRO. PERSONAL]],[2]Sheet1!$A:$S,19,FALSE)</f>
        <v>PROGRAMA DE FORMACIÓN FUNDAMENTAL</v>
      </c>
      <c r="G120" s="2"/>
      <c r="H120" s="2"/>
    </row>
    <row r="121" spans="1:8" x14ac:dyDescent="0.35">
      <c r="A121">
        <v>120</v>
      </c>
      <c r="B121">
        <v>10212771</v>
      </c>
      <c r="C121" t="s">
        <v>154</v>
      </c>
      <c r="D121" t="str">
        <f>VLOOKUP(B121,[1]Sheet1!$B:$H,7,FALSE)</f>
        <v>DMENDEZ@UTALCA.CL</v>
      </c>
      <c r="E121" t="str">
        <f>VLOOKUP(Tabla1[[#This Row],[NRO. PERSONAL]],[2]Sheet1!$A:$R,18,FALSE)</f>
        <v>FACULTAD DE PSICOLOGÍA</v>
      </c>
      <c r="F121" t="str">
        <f>VLOOKUP(Tabla1[[#This Row],[NRO. PERSONAL]],[2]Sheet1!$A:$S,19,FALSE)</f>
        <v>FACULTAD DE PSICOLOGÍA</v>
      </c>
      <c r="G121" s="2"/>
      <c r="H121" s="2"/>
    </row>
    <row r="122" spans="1:8" x14ac:dyDescent="0.35">
      <c r="A122">
        <v>121</v>
      </c>
      <c r="B122">
        <v>23531888</v>
      </c>
      <c r="C122" t="s">
        <v>4</v>
      </c>
      <c r="D122" t="str">
        <f>VLOOKUP(B122,[1]Sheet1!$B:$H,7,FALSE)</f>
        <v>CMERCIER@UTALCA.CL</v>
      </c>
      <c r="E122" t="str">
        <f>VLOOKUP(Tabla1[[#This Row],[NRO. PERSONAL]],[2]Sheet1!$A:$R,18,FALSE)</f>
        <v>INST. ESTUDIOS HUMANÍSTICOS ABATE J.I.M.</v>
      </c>
      <c r="F122" t="str">
        <f>VLOOKUP(Tabla1[[#This Row],[NRO. PERSONAL]],[2]Sheet1!$A:$S,19,FALSE)</f>
        <v>INST. ESTUDIOS HUMANÍSTICOS ABATE J.I.M.</v>
      </c>
      <c r="G122" s="2"/>
      <c r="H122" s="2"/>
    </row>
    <row r="123" spans="1:8" x14ac:dyDescent="0.35">
      <c r="A123">
        <v>122</v>
      </c>
      <c r="B123">
        <v>15791635</v>
      </c>
      <c r="C123" t="s">
        <v>48</v>
      </c>
      <c r="D123" t="str">
        <f>VLOOKUP(B123,[1]Sheet1!$B:$H,7,FALSE)</f>
        <v>BMOLINA@UTALCA.CL</v>
      </c>
      <c r="E123" t="str">
        <f>VLOOKUP(Tabla1[[#This Row],[NRO. PERSONAL]],[2]Sheet1!$A:$R,18,FALSE)</f>
        <v>DIRECCIÓN DE PREGRADO</v>
      </c>
      <c r="F123" t="str">
        <f>VLOOKUP(Tabla1[[#This Row],[NRO. PERSONAL]],[2]Sheet1!$A:$S,19,FALSE)</f>
        <v>PROGRAMA DE IDIOMAS</v>
      </c>
      <c r="G123" s="2"/>
      <c r="H123" s="2"/>
    </row>
    <row r="124" spans="1:8" x14ac:dyDescent="0.35">
      <c r="A124">
        <v>123</v>
      </c>
      <c r="B124">
        <v>13611187</v>
      </c>
      <c r="C124" t="s">
        <v>102</v>
      </c>
      <c r="D124" t="str">
        <f>VLOOKUP(B124,[1]Sheet1!$B:$H,7,FALSE)</f>
        <v>RMOORE@UTALCA.CL</v>
      </c>
      <c r="E124" t="str">
        <f>VLOOKUP(Tabla1[[#This Row],[NRO. PERSONAL]],[2]Sheet1!$A:$R,18,FALSE)</f>
        <v>FACULTAD DE CIENCIAS DE LA SALUD</v>
      </c>
      <c r="F124" t="str">
        <f>VLOOKUP(Tabla1[[#This Row],[NRO. PERSONAL]],[2]Sheet1!$A:$S,19,FALSE)</f>
        <v>DPTO. BIOQUÍM. CLÍN. E INMUNOHEMATOLOGÍA</v>
      </c>
      <c r="G124" s="2"/>
      <c r="H124" s="2"/>
    </row>
    <row r="125" spans="1:8" x14ac:dyDescent="0.35">
      <c r="A125">
        <v>124</v>
      </c>
      <c r="B125">
        <v>14399511</v>
      </c>
      <c r="C125" t="s">
        <v>77</v>
      </c>
      <c r="D125" t="str">
        <f>VLOOKUP(B125,[1]Sheet1!$B:$H,7,FALSE)</f>
        <v>CLMORA@UTALCA.CL</v>
      </c>
      <c r="E125" t="str">
        <f>VLOOKUP(Tabla1[[#This Row],[NRO. PERSONAL]],[2]Sheet1!$A:$R,18,FALSE)</f>
        <v>FACULTAD DE CIENCIAS DE LA SALUD</v>
      </c>
      <c r="F125" t="str">
        <f>VLOOKUP(Tabla1[[#This Row],[NRO. PERSONAL]],[2]Sheet1!$A:$S,19,FALSE)</f>
        <v>DEPARTAMENTO DE MICROBIOLOGÍA</v>
      </c>
      <c r="G125" s="2"/>
      <c r="H125" s="2"/>
    </row>
    <row r="126" spans="1:8" x14ac:dyDescent="0.35">
      <c r="A126">
        <v>125</v>
      </c>
      <c r="B126">
        <v>15222185</v>
      </c>
      <c r="C126" t="s">
        <v>60</v>
      </c>
      <c r="D126" t="str">
        <f>VLOOKUP(B126,[1]Sheet1!$B:$H,7,FALSE)</f>
        <v>MMORALESG@UTALCA.CL</v>
      </c>
      <c r="E126" t="str">
        <f>VLOOKUP(Tabla1[[#This Row],[NRO. PERSONAL]],[2]Sheet1!$A:$R,18,FALSE)</f>
        <v>FACULTAD DE CIENCIAS DE LA SALUD</v>
      </c>
      <c r="F126" t="str">
        <f>VLOOKUP(Tabla1[[#This Row],[NRO. PERSONAL]],[2]Sheet1!$A:$S,19,FALSE)</f>
        <v>DEPTO. CIENCIAS DE LA NUT. Y ALIMENTOS</v>
      </c>
      <c r="G126" s="2"/>
      <c r="H126" s="2"/>
    </row>
    <row r="127" spans="1:8" x14ac:dyDescent="0.35">
      <c r="A127">
        <v>126</v>
      </c>
      <c r="B127">
        <v>10087812</v>
      </c>
      <c r="C127" t="s">
        <v>157</v>
      </c>
      <c r="D127" t="str">
        <f>VLOOKUP(B127,[1]Sheet1!$B:$H,7,FALSE)</f>
        <v>EMORALESH@UTALCA.CL</v>
      </c>
      <c r="E127" t="str">
        <f>VLOOKUP(Tabla1[[#This Row],[NRO. PERSONAL]],[2]Sheet1!$A:$R,18,FALSE)</f>
        <v>FACULTAD DE CIENCIAS DE LA SALUD</v>
      </c>
      <c r="F127" t="str">
        <f>VLOOKUP(Tabla1[[#This Row],[NRO. PERSONAL]],[2]Sheet1!$A:$S,19,FALSE)</f>
        <v>DEPTO. CIENCIAS DEL CUIDADO EN ENFERM.</v>
      </c>
      <c r="G127" s="2"/>
      <c r="H127" s="2"/>
    </row>
    <row r="128" spans="1:8" x14ac:dyDescent="0.35">
      <c r="A128">
        <v>127</v>
      </c>
      <c r="B128">
        <v>13950341</v>
      </c>
      <c r="C128" t="s">
        <v>225</v>
      </c>
      <c r="D128" t="str">
        <f>VLOOKUP(B128,[1]Sheet1!$B:$H,7,FALSE)</f>
        <v>PAUMORALES@UTALCA.CL</v>
      </c>
      <c r="E128" t="str">
        <f>VLOOKUP(Tabla1[[#This Row],[NRO. PERSONAL]],[2]Sheet1!$A:$R,18,FALSE)</f>
        <v>FACULTAD DE ODONTOLOGÍA</v>
      </c>
      <c r="F128" t="str">
        <f>VLOOKUP(Tabla1[[#This Row],[NRO. PERSONAL]],[2]Sheet1!$A:$S,19,FALSE)</f>
        <v>DPTO. REHABILITACIÓN BUCO-MAXILOFACIAL</v>
      </c>
      <c r="G128" s="2"/>
      <c r="H128" s="2"/>
    </row>
    <row r="129" spans="1:8" x14ac:dyDescent="0.35">
      <c r="A129">
        <v>128</v>
      </c>
      <c r="B129">
        <v>18111746</v>
      </c>
      <c r="C129" t="s">
        <v>203</v>
      </c>
      <c r="D129" t="str">
        <f>VLOOKUP(B129,[1]Sheet1!$B:$H,7,FALSE)</f>
        <v>CAMILA.MOSQUERA@UTALCA.CL</v>
      </c>
      <c r="E129" t="str">
        <f>VLOOKUP(Tabla1[[#This Row],[NRO. PERSONAL]],[2]Sheet1!$A:$R,18,FALSE)</f>
        <v>FACULTAD DE PSICOLOGÍA</v>
      </c>
      <c r="F129" t="str">
        <f>VLOOKUP(Tabla1[[#This Row],[NRO. PERSONAL]],[2]Sheet1!$A:$S,19,FALSE)</f>
        <v>ESCUELA DE TERAPIA OCUPACIONAL</v>
      </c>
      <c r="G129" s="2"/>
      <c r="H129" s="2"/>
    </row>
    <row r="130" spans="1:8" x14ac:dyDescent="0.35">
      <c r="A130">
        <v>129</v>
      </c>
      <c r="B130">
        <v>9093951</v>
      </c>
      <c r="C130" t="s">
        <v>173</v>
      </c>
      <c r="D130" t="str">
        <f>VLOOKUP(B130,[1]Sheet1!$B:$H,7,FALSE)</f>
        <v>ALEMOYA@UTALCA.CL</v>
      </c>
      <c r="E130" t="str">
        <f>VLOOKUP(Tabla1[[#This Row],[NRO. PERSONAL]],[2]Sheet1!$A:$R,18,FALSE)</f>
        <v>INSTITUTO DE CIENCIAS BIOLÓGICAS</v>
      </c>
      <c r="F130" t="str">
        <f>VLOOKUP(Tabla1[[#This Row],[NRO. PERSONAL]],[2]Sheet1!$A:$S,19,FALSE)</f>
        <v>INSTITUTO DE CIENCIAS BIOLÓGICAS</v>
      </c>
      <c r="G130" s="2"/>
      <c r="H130" s="2"/>
    </row>
    <row r="131" spans="1:8" x14ac:dyDescent="0.35">
      <c r="A131">
        <v>130</v>
      </c>
      <c r="B131">
        <v>14495469</v>
      </c>
      <c r="C131" t="s">
        <v>221</v>
      </c>
      <c r="D131" t="str">
        <f>VLOOKUP(B131,[1]Sheet1!$B:$H,7,FALSE)</f>
        <v>MMUNOZA@UTALCA.CL</v>
      </c>
      <c r="E131" t="str">
        <f>VLOOKUP(Tabla1[[#This Row],[NRO. PERSONAL]],[2]Sheet1!$A:$R,18,FALSE)</f>
        <v>FACULTAD DE ODONTOLOGÍA</v>
      </c>
      <c r="F131" t="str">
        <f>VLOOKUP(Tabla1[[#This Row],[NRO. PERSONAL]],[2]Sheet1!$A:$S,19,FALSE)</f>
        <v>DPTO. REHABILITACIÓN BUCO-MAXILOFACIAL</v>
      </c>
      <c r="G131" s="2"/>
      <c r="H131" s="2"/>
    </row>
    <row r="132" spans="1:8" x14ac:dyDescent="0.35">
      <c r="A132">
        <v>131</v>
      </c>
      <c r="B132">
        <v>8827036</v>
      </c>
      <c r="C132" t="s">
        <v>181</v>
      </c>
      <c r="D132" t="str">
        <f>VLOOKUP(B132,[1]Sheet1!$B:$H,7,FALSE)</f>
        <v>MEMUNOZ@UTALCA.CL</v>
      </c>
      <c r="E132" t="str">
        <f>VLOOKUP(Tabla1[[#This Row],[NRO. PERSONAL]],[2]Sheet1!$A:$R,18,FALSE)</f>
        <v>FACULTAD DE CIENCIAS DE LA SALUD</v>
      </c>
      <c r="F132" t="str">
        <f>VLOOKUP(Tabla1[[#This Row],[NRO. PERSONAL]],[2]Sheet1!$A:$S,19,FALSE)</f>
        <v>DEPTO. CIENCIAS DEL CUIDADO EN ENFERM.</v>
      </c>
      <c r="G132" s="2"/>
      <c r="H132" s="2"/>
    </row>
    <row r="133" spans="1:8" x14ac:dyDescent="0.35">
      <c r="A133">
        <v>132</v>
      </c>
      <c r="B133">
        <v>16273108</v>
      </c>
      <c r="C133" t="s">
        <v>33</v>
      </c>
      <c r="D133" t="str">
        <f>VLOOKUP(B133,[1]Sheet1!$B:$H,7,FALSE)</f>
        <v>SNAVARRETEP@UTALCA.CL</v>
      </c>
      <c r="E133" t="str">
        <f>VLOOKUP(Tabla1[[#This Row],[NRO. PERSONAL]],[2]Sheet1!$A:$R,18,FALSE)</f>
        <v>FACULTAD DE CIENCIAS DE LA SALUD</v>
      </c>
      <c r="F133" t="str">
        <f>VLOOKUP(Tabla1[[#This Row],[NRO. PERSONAL]],[2]Sheet1!$A:$S,19,FALSE)</f>
        <v>DPTO. BIOQUÍM. CLÍN. E INMUNOHEMATOLOGÍA</v>
      </c>
      <c r="G133" s="2"/>
      <c r="H133" s="2"/>
    </row>
    <row r="134" spans="1:8" x14ac:dyDescent="0.35">
      <c r="A134">
        <v>133</v>
      </c>
      <c r="B134">
        <v>15319370</v>
      </c>
      <c r="C134" t="s">
        <v>59</v>
      </c>
      <c r="D134" t="str">
        <f>VLOOKUP(B134,[1]Sheet1!$B:$H,7,FALSE)</f>
        <v>SNAVARRETE@UTALCA.CL</v>
      </c>
      <c r="E134" t="str">
        <f>VLOOKUP(Tabla1[[#This Row],[NRO. PERSONAL]],[2]Sheet1!$A:$R,18,FALSE)</f>
        <v>FACULTAD DE ARQUITECTUR, MÚSICA Y DISEÑO</v>
      </c>
      <c r="F134" t="str">
        <f>VLOOKUP(Tabla1[[#This Row],[NRO. PERSONAL]],[2]Sheet1!$A:$S,19,FALSE)</f>
        <v>DEPTO. DE INTERP. Y FORM. MUSICAL ESPEC.</v>
      </c>
      <c r="G134" s="2"/>
      <c r="H134" s="2"/>
    </row>
    <row r="135" spans="1:8" x14ac:dyDescent="0.35">
      <c r="A135">
        <v>134</v>
      </c>
      <c r="B135">
        <v>15204508</v>
      </c>
      <c r="C135" t="s">
        <v>61</v>
      </c>
      <c r="D135" t="str">
        <f>VLOOKUP(B135,[1]Sheet1!$B:$H,7,FALSE)</f>
        <v>JNAVEA@UTALCA.CL</v>
      </c>
      <c r="E135" t="str">
        <f>VLOOKUP(Tabla1[[#This Row],[NRO. PERSONAL]],[2]Sheet1!$A:$R,18,FALSE)</f>
        <v>FACULTAD DE CIENCIAS DE LA SALUD</v>
      </c>
      <c r="F135" t="str">
        <f>VLOOKUP(Tabla1[[#This Row],[NRO. PERSONAL]],[2]Sheet1!$A:$S,19,FALSE)</f>
        <v>DEPTO. CIENCIAS DEL CUIDADO EN ENFERM.</v>
      </c>
      <c r="G135" s="2"/>
      <c r="H135" s="2"/>
    </row>
    <row r="136" spans="1:8" x14ac:dyDescent="0.35">
      <c r="A136">
        <v>135</v>
      </c>
      <c r="B136">
        <v>11130062</v>
      </c>
      <c r="C136" t="s">
        <v>138</v>
      </c>
      <c r="D136" t="str">
        <f>VLOOKUP(B136,[1]Sheet1!$B:$H,7,FALSE)</f>
        <v>UNOVOA@UTALCA.CL</v>
      </c>
      <c r="E136" t="str">
        <f>VLOOKUP(Tabla1[[#This Row],[NRO. PERSONAL]],[2]Sheet1!$A:$R,18,FALSE)</f>
        <v>FACULTAD DE CIENCIAS DE LA SALUD</v>
      </c>
      <c r="F136" t="str">
        <f>VLOOKUP(Tabla1[[#This Row],[NRO. PERSONAL]],[2]Sheet1!$A:$S,19,FALSE)</f>
        <v>DPTO. DE CIENCIAS BÁSICAS BIOMÉDICAS</v>
      </c>
      <c r="G136" s="2"/>
      <c r="H136" s="2"/>
    </row>
    <row r="137" spans="1:8" x14ac:dyDescent="0.35">
      <c r="A137">
        <v>136</v>
      </c>
      <c r="B137">
        <v>25369222</v>
      </c>
      <c r="C137" t="s">
        <v>0</v>
      </c>
      <c r="D137" t="str">
        <f>VLOOKUP(B137,[1]Sheet1!$B:$H,7,FALSE)</f>
        <v>JBOTELHO@UTALCA.CL</v>
      </c>
      <c r="E137" t="str">
        <f>VLOOKUP(Tabla1[[#This Row],[NRO. PERSONAL]],[2]Sheet1!$A:$R,18,FALSE)</f>
        <v>FACULTAD DE ODONTOLOGÍA</v>
      </c>
      <c r="F137" t="str">
        <f>VLOOKUP(Tabla1[[#This Row],[NRO. PERSONAL]],[2]Sheet1!$A:$S,19,FALSE)</f>
        <v>DEPARTAMENTO DE PEDIATRÍA ESTOMATOLÓGICA</v>
      </c>
      <c r="G137" s="2"/>
      <c r="H137" s="2"/>
    </row>
    <row r="138" spans="1:8" x14ac:dyDescent="0.35">
      <c r="A138">
        <v>137</v>
      </c>
      <c r="B138">
        <v>8656541</v>
      </c>
      <c r="C138" t="s">
        <v>187</v>
      </c>
      <c r="D138" t="str">
        <f>VLOOKUP(B138,[1]Sheet1!$B:$H,7,FALSE)</f>
        <v>LNUNEZF@UTALCA.CL</v>
      </c>
      <c r="E138" t="str">
        <f>VLOOKUP(Tabla1[[#This Row],[NRO. PERSONAL]],[2]Sheet1!$A:$R,18,FALSE)</f>
        <v>FACULTAD DE CIENCIAS DE LA SALUD</v>
      </c>
      <c r="F138" t="str">
        <f>VLOOKUP(Tabla1[[#This Row],[NRO. PERSONAL]],[2]Sheet1!$A:$S,19,FALSE)</f>
        <v>DEPARTAMENTO DE SALUD PÚBLICA</v>
      </c>
      <c r="G138" s="2"/>
      <c r="H138" s="2"/>
    </row>
    <row r="139" spans="1:8" x14ac:dyDescent="0.35">
      <c r="A139">
        <v>138</v>
      </c>
      <c r="B139">
        <v>15809256</v>
      </c>
      <c r="C139" t="s">
        <v>45</v>
      </c>
      <c r="D139" t="str">
        <f>VLOOKUP(B139,[1]Sheet1!$B:$H,7,FALSE)</f>
        <v>JONUNEZ@UTALCA.CL</v>
      </c>
      <c r="E139" t="str">
        <f>VLOOKUP(Tabla1[[#This Row],[NRO. PERSONAL]],[2]Sheet1!$A:$R,18,FALSE)</f>
        <v>DIRECCIÓN DE PREGRADO</v>
      </c>
      <c r="F139" t="str">
        <f>VLOOKUP(Tabla1[[#This Row],[NRO. PERSONAL]],[2]Sheet1!$A:$S,19,FALSE)</f>
        <v>PROGRAMA DE FORMACIÓN FUNDAMENTAL</v>
      </c>
      <c r="G139" s="2"/>
      <c r="H139" s="2"/>
    </row>
    <row r="140" spans="1:8" x14ac:dyDescent="0.35">
      <c r="A140">
        <v>139</v>
      </c>
      <c r="B140">
        <v>8912298</v>
      </c>
      <c r="C140" t="s">
        <v>178</v>
      </c>
      <c r="D140" t="str">
        <f>VLOOKUP(B140,[1]Sheet1!$B:$H,7,FALSE)</f>
        <v>IOBANDOC@UTALCA.CL</v>
      </c>
      <c r="E140" t="str">
        <f>VLOOKUP(Tabla1[[#This Row],[NRO. PERSONAL]],[2]Sheet1!$A:$R,18,FALSE)</f>
        <v>FACULTAD CIENCIAS JURÍDICAS Y SOCIALES</v>
      </c>
      <c r="F140" t="str">
        <f>VLOOKUP(Tabla1[[#This Row],[NRO. PERSONAL]],[2]Sheet1!$A:$S,19,FALSE)</f>
        <v>DEPARTAMENTO DE DERECHO PÚBLICO</v>
      </c>
      <c r="G140" s="2"/>
      <c r="H140" s="2"/>
    </row>
    <row r="141" spans="1:8" x14ac:dyDescent="0.35">
      <c r="A141">
        <v>140</v>
      </c>
      <c r="B141">
        <v>16999327</v>
      </c>
      <c r="C141" t="s">
        <v>21</v>
      </c>
      <c r="D141" t="str">
        <f>VLOOKUP(B141,[1]Sheet1!$B:$H,7,FALSE)</f>
        <v>DANIELA.OLAVE@UTALCA.CL</v>
      </c>
      <c r="E141" t="str">
        <f>VLOOKUP(Tabla1[[#This Row],[NRO. PERSONAL]],[2]Sheet1!$A:$R,18,FALSE)</f>
        <v>FACULTAD DE INGENIERÍA</v>
      </c>
      <c r="F141" t="str">
        <f>VLOOKUP(Tabla1[[#This Row],[NRO. PERSONAL]],[2]Sheet1!$A:$S,19,FALSE)</f>
        <v>DEPARTAMENTO DE TECNOLOGÍA INDUSTRIALES</v>
      </c>
      <c r="G141" s="2"/>
      <c r="H141" s="2"/>
    </row>
    <row r="142" spans="1:8" x14ac:dyDescent="0.35">
      <c r="A142">
        <v>141</v>
      </c>
      <c r="B142">
        <v>16938969</v>
      </c>
      <c r="C142" t="s">
        <v>23</v>
      </c>
      <c r="D142" t="str">
        <f>VLOOKUP(B142,[1]Sheet1!$B:$H,7,FALSE)</f>
        <v>MARCELA.OPAZO@UTALCA.CL</v>
      </c>
      <c r="E142" t="str">
        <f>VLOOKUP(Tabla1[[#This Row],[NRO. PERSONAL]],[2]Sheet1!$A:$R,18,FALSE)</f>
        <v>FACULTAD DE PSICOLOGÍA</v>
      </c>
      <c r="F142" t="str">
        <f>VLOOKUP(Tabla1[[#This Row],[NRO. PERSONAL]],[2]Sheet1!$A:$S,19,FALSE)</f>
        <v>ESCUELA DE TERAPIA OCUPACIONAL</v>
      </c>
      <c r="G142" s="2"/>
      <c r="H142" s="2"/>
    </row>
    <row r="143" spans="1:8" x14ac:dyDescent="0.35">
      <c r="A143">
        <v>142</v>
      </c>
      <c r="B143">
        <v>15855433</v>
      </c>
      <c r="C143" t="s">
        <v>44</v>
      </c>
      <c r="D143" t="str">
        <f>VLOOKUP(B143,[1]Sheet1!$B:$H,7,FALSE)</f>
        <v>MAUORELLANA@UTALCA.CL</v>
      </c>
      <c r="E143" t="str">
        <f>VLOOKUP(Tabla1[[#This Row],[NRO. PERSONAL]],[2]Sheet1!$A:$R,18,FALSE)</f>
        <v>FACULTAD DE CIENCIAS DE LA SALUD</v>
      </c>
      <c r="F143" t="str">
        <f>VLOOKUP(Tabla1[[#This Row],[NRO. PERSONAL]],[2]Sheet1!$A:$S,19,FALSE)</f>
        <v>DEPTO. CIENCIAS DE LA NUT. Y ALIMENTOS</v>
      </c>
      <c r="G143" s="2"/>
      <c r="H143" s="2"/>
    </row>
    <row r="144" spans="1:8" x14ac:dyDescent="0.35">
      <c r="A144">
        <v>143</v>
      </c>
      <c r="B144">
        <v>12513135</v>
      </c>
      <c r="C144" t="s">
        <v>127</v>
      </c>
      <c r="D144" t="str">
        <f>VLOOKUP(B144,[1]Sheet1!$B:$H,7,FALSE)</f>
        <v>RORREGO@UTALCA.CL</v>
      </c>
      <c r="E144" t="str">
        <f>VLOOKUP(Tabla1[[#This Row],[NRO. PERSONAL]],[2]Sheet1!$A:$R,18,FALSE)</f>
        <v>FACULTAD DE CIENCIAS DE LA SALUD</v>
      </c>
      <c r="F144" t="str">
        <f>VLOOKUP(Tabla1[[#This Row],[NRO. PERSONAL]],[2]Sheet1!$A:$S,19,FALSE)</f>
        <v>DPTO. BIOQUÍM. CLÍN. E INMUNOHEMATOLOGÍA</v>
      </c>
      <c r="G144" s="2"/>
      <c r="H144" s="2"/>
    </row>
    <row r="145" spans="1:8" x14ac:dyDescent="0.35">
      <c r="A145">
        <v>144</v>
      </c>
      <c r="B145">
        <v>9126553</v>
      </c>
      <c r="C145" t="s">
        <v>172</v>
      </c>
      <c r="D145" t="str">
        <f>VLOOKUP(B145,[1]Sheet1!$B:$H,7,FALSE)</f>
        <v>SORTEGA@UTALCA.CL</v>
      </c>
      <c r="E145" t="str">
        <f>VLOOKUP(Tabla1[[#This Row],[NRO. PERSONAL]],[2]Sheet1!$A:$R,18,FALSE)</f>
        <v>FACULTAD DE CIENCIAS AGRARIAS</v>
      </c>
      <c r="F145" t="str">
        <f>VLOOKUP(Tabla1[[#This Row],[NRO. PERSONAL]],[2]Sheet1!$A:$S,19,FALSE)</f>
        <v>DEPARTAMENTO DE PRODUCCIÓN AGRÍCOLA</v>
      </c>
      <c r="G145" s="2"/>
      <c r="H145" s="2"/>
    </row>
    <row r="146" spans="1:8" x14ac:dyDescent="0.35">
      <c r="A146">
        <v>145</v>
      </c>
      <c r="B146">
        <v>6863228</v>
      </c>
      <c r="C146" t="s">
        <v>50</v>
      </c>
      <c r="D146" t="str">
        <f>VLOOKUP(B146,[1]Sheet1!$B:$H,7,FALSE)</f>
        <v>MORYAN@UTALCA.CL</v>
      </c>
      <c r="E146" t="str">
        <f>VLOOKUP(Tabla1[[#This Row],[NRO. PERSONAL]],[2]Sheet1!$A:$R,18,FALSE)</f>
        <v>INSTITUTO DE MATEMÁTICAS</v>
      </c>
      <c r="F146" t="str">
        <f>VLOOKUP(Tabla1[[#This Row],[NRO. PERSONAL]],[2]Sheet1!$A:$S,19,FALSE)</f>
        <v>INSTITUTO DE MATEMÁTICAS</v>
      </c>
      <c r="G146" s="2"/>
      <c r="H146" s="2"/>
    </row>
    <row r="147" spans="1:8" x14ac:dyDescent="0.35">
      <c r="A147">
        <v>146</v>
      </c>
      <c r="B147">
        <v>9247718</v>
      </c>
      <c r="C147" t="s">
        <v>169</v>
      </c>
      <c r="D147" t="str">
        <f>VLOOKUP(B147,[1]Sheet1!$B:$H,7,FALSE)</f>
        <v>CLOYARZUN@UTALCA.CL</v>
      </c>
      <c r="E147" t="str">
        <f>VLOOKUP(Tabla1[[#This Row],[NRO. PERSONAL]],[2]Sheet1!$A:$R,18,FALSE)</f>
        <v>DIRECCIÓN DE PREGRADO</v>
      </c>
      <c r="F147" t="str">
        <f>VLOOKUP(Tabla1[[#This Row],[NRO. PERSONAL]],[2]Sheet1!$A:$S,19,FALSE)</f>
        <v>PROGRAMA DE FORMACIÓN FUNDAMENTAL</v>
      </c>
      <c r="G147" s="2"/>
      <c r="H147" s="2"/>
    </row>
    <row r="148" spans="1:8" x14ac:dyDescent="0.35">
      <c r="A148">
        <v>147</v>
      </c>
      <c r="B148">
        <v>13722908</v>
      </c>
      <c r="C148" t="s">
        <v>98</v>
      </c>
      <c r="D148" t="str">
        <f>VLOOKUP(B148,[1]Sheet1!$B:$H,7,FALSE)</f>
        <v>APACHECO@UTALCA.CL</v>
      </c>
      <c r="E148" t="str">
        <f>VLOOKUP(Tabla1[[#This Row],[NRO. PERSONAL]],[2]Sheet1!$A:$R,18,FALSE)</f>
        <v>FACULTAD DE CIENCIAS DE LA SALUD</v>
      </c>
      <c r="F148" t="str">
        <f>VLOOKUP(Tabla1[[#This Row],[NRO. PERSONAL]],[2]Sheet1!$A:$S,19,FALSE)</f>
        <v>DPTO. DE CIENCIAS DEL MOVIMIENTO HUMANO</v>
      </c>
      <c r="G148" s="2"/>
      <c r="H148" s="2"/>
    </row>
    <row r="149" spans="1:8" x14ac:dyDescent="0.35">
      <c r="A149">
        <v>148</v>
      </c>
      <c r="B149">
        <v>8911775</v>
      </c>
      <c r="C149" t="s">
        <v>179</v>
      </c>
      <c r="D149" t="str">
        <f>VLOOKUP(B149,[1]Sheet1!$B:$H,7,FALSE)</f>
        <v>HPAILLAN@UTALCA.CL</v>
      </c>
      <c r="E149" t="str">
        <f>VLOOKUP(Tabla1[[#This Row],[NRO. PERSONAL]],[2]Sheet1!$A:$R,18,FALSE)</f>
        <v>FACULTAD DE CIENCIAS AGRARIAS</v>
      </c>
      <c r="F149" t="str">
        <f>VLOOKUP(Tabla1[[#This Row],[NRO. PERSONAL]],[2]Sheet1!$A:$S,19,FALSE)</f>
        <v>DEPARTAMENTO DE HORTICULTURA</v>
      </c>
      <c r="G149" s="2"/>
      <c r="H149" s="2"/>
    </row>
    <row r="150" spans="1:8" x14ac:dyDescent="0.35">
      <c r="A150">
        <v>149</v>
      </c>
      <c r="B150">
        <v>12783487</v>
      </c>
      <c r="C150" t="s">
        <v>123</v>
      </c>
      <c r="D150" t="str">
        <f>VLOOKUP(B150,[1]Sheet1!$B:$H,7,FALSE)</f>
        <v>DPALOMO@UTALCA.CL</v>
      </c>
      <c r="E150" t="str">
        <f>VLOOKUP(Tabla1[[#This Row],[NRO. PERSONAL]],[2]Sheet1!$A:$R,18,FALSE)</f>
        <v>FACULTAD CIENCIAS JURÍDICAS Y SOCIALES</v>
      </c>
      <c r="F150" t="str">
        <f>VLOOKUP(Tabla1[[#This Row],[NRO. PERSONAL]],[2]Sheet1!$A:$S,19,FALSE)</f>
        <v>DPTO. DERECHO PENAL PROCESAL Y  TRABAJO</v>
      </c>
      <c r="G150" s="2"/>
      <c r="H150" s="2"/>
    </row>
    <row r="151" spans="1:8" x14ac:dyDescent="0.35">
      <c r="A151">
        <v>150</v>
      </c>
      <c r="B151">
        <v>13857408</v>
      </c>
      <c r="C151" t="s">
        <v>222</v>
      </c>
      <c r="D151" t="str">
        <f>VLOOKUP(B151,[1]Sheet1!$B:$H,7,FALSE)</f>
        <v>RPALOMO@UTALCA.CL</v>
      </c>
      <c r="E151" t="str">
        <f>VLOOKUP(Tabla1[[#This Row],[NRO. PERSONAL]],[2]Sheet1!$A:$R,18,FALSE)</f>
        <v>FACULTAD CIENCIAS JURÍDICAS Y SOCIALES</v>
      </c>
      <c r="F151" t="str">
        <f>VLOOKUP(Tabla1[[#This Row],[NRO. PERSONAL]],[2]Sheet1!$A:$S,19,FALSE)</f>
        <v>DPTO. DERECHO PENAL PROCESAL Y  TRABAJO</v>
      </c>
      <c r="G151" s="2"/>
      <c r="H151" s="2"/>
    </row>
    <row r="152" spans="1:8" x14ac:dyDescent="0.35">
      <c r="A152">
        <v>151</v>
      </c>
      <c r="B152">
        <v>11763533</v>
      </c>
      <c r="C152" t="s">
        <v>229</v>
      </c>
      <c r="D152" t="str">
        <f>VLOOKUP(B152,[1]Sheet1!$B:$H,7,FALSE)</f>
        <v>ALICIA.PARADA@UTALCA.CL</v>
      </c>
      <c r="E152" t="str">
        <f>VLOOKUP(Tabla1[[#This Row],[NRO. PERSONAL]],[2]Sheet1!$A:$R,18,FALSE)</f>
        <v>FACULTAD DE CIENCIAS DE LA SALUD</v>
      </c>
      <c r="F152" t="str">
        <f>VLOOKUP(Tabla1[[#This Row],[NRO. PERSONAL]],[2]Sheet1!$A:$S,19,FALSE)</f>
        <v>ESCUELA DE OBSTETRICIA Y PUERICULTURA</v>
      </c>
      <c r="G152" s="2"/>
      <c r="H152" s="2"/>
    </row>
    <row r="153" spans="1:8" x14ac:dyDescent="0.35">
      <c r="A153">
        <v>152</v>
      </c>
      <c r="B153">
        <v>24923842</v>
      </c>
      <c r="C153" t="s">
        <v>1</v>
      </c>
      <c r="D153" t="str">
        <f>VLOOKUP(B153,[1]Sheet1!$B:$H,7,FALSE)</f>
        <v>YUNIER.PERERA@UTALCA.CL</v>
      </c>
      <c r="E153" t="str">
        <f>VLOOKUP(Tabla1[[#This Row],[NRO. PERSONAL]],[2]Sheet1!$A:$R,18,FALSE)</f>
        <v>FACULTAD DE CIENCIAS DE LA SALUD</v>
      </c>
      <c r="F153" t="str">
        <f>VLOOKUP(Tabla1[[#This Row],[NRO. PERSONAL]],[2]Sheet1!$A:$S,19,FALSE)</f>
        <v>DPTO. DE CIENCIAS BÁSICAS BIOMÉDICAS</v>
      </c>
      <c r="G153" s="2"/>
      <c r="H153" s="2"/>
    </row>
    <row r="154" spans="1:8" x14ac:dyDescent="0.35">
      <c r="A154">
        <v>153</v>
      </c>
      <c r="B154">
        <v>24104366</v>
      </c>
      <c r="C154" t="s">
        <v>2</v>
      </c>
      <c r="D154" t="str">
        <f>VLOOKUP(B154,[1]Sheet1!$B:$H,7,FALSE)</f>
        <v>IPEREZ@UTALCA.CL</v>
      </c>
      <c r="E154" t="str">
        <f>VLOOKUP(Tabla1[[#This Row],[NRO. PERSONAL]],[2]Sheet1!$A:$R,18,FALSE)</f>
        <v>INST. ESTUDIOS HUMANÍSTICOS ABATE J.I.M.</v>
      </c>
      <c r="F154" t="str">
        <f>VLOOKUP(Tabla1[[#This Row],[NRO. PERSONAL]],[2]Sheet1!$A:$S,19,FALSE)</f>
        <v>INST. ESTUDIOS HUMANÍSTICOS ABATE J.I.M.</v>
      </c>
      <c r="G154" s="2"/>
      <c r="H154" s="2"/>
    </row>
    <row r="155" spans="1:8" x14ac:dyDescent="0.35">
      <c r="A155">
        <v>154</v>
      </c>
      <c r="B155">
        <v>9832432</v>
      </c>
      <c r="C155" t="s">
        <v>160</v>
      </c>
      <c r="D155" t="str">
        <f>VLOOKUP(B155,[1]Sheet1!$B:$H,7,FALSE)</f>
        <v>VPEREZ@UTALCA.CL</v>
      </c>
      <c r="E155" t="str">
        <f>VLOOKUP(Tabla1[[#This Row],[NRO. PERSONAL]],[2]Sheet1!$A:$R,18,FALSE)</f>
        <v>FACULTAD DE ODONTOLOGÍA</v>
      </c>
      <c r="F155" t="str">
        <f>VLOOKUP(Tabla1[[#This Row],[NRO. PERSONAL]],[2]Sheet1!$A:$S,19,FALSE)</f>
        <v>DEPARTAMENTO DE PEDIATRÍA ESTOMATOLÓGICA</v>
      </c>
      <c r="G155" s="2"/>
      <c r="H155" s="2"/>
    </row>
    <row r="156" spans="1:8" x14ac:dyDescent="0.35">
      <c r="A156">
        <v>155</v>
      </c>
      <c r="B156">
        <v>12296825</v>
      </c>
      <c r="C156" t="s">
        <v>128</v>
      </c>
      <c r="D156" t="str">
        <f>VLOOKUP(B156,[1]Sheet1!$B:$H,7,FALSE)</f>
        <v>IPINO@UTALCA.CL</v>
      </c>
      <c r="E156" t="str">
        <f>VLOOKUP(Tabla1[[#This Row],[NRO. PERSONAL]],[2]Sheet1!$A:$R,18,FALSE)</f>
        <v>FACULTAD DE CIENCIAS DE LA SALUD</v>
      </c>
      <c r="F156" t="str">
        <f>VLOOKUP(Tabla1[[#This Row],[NRO. PERSONAL]],[2]Sheet1!$A:$S,19,FALSE)</f>
        <v>DEPTO. CIENCIAS DEL CUIDADO EN ENFERM.</v>
      </c>
      <c r="G156" s="2"/>
      <c r="H156" s="2"/>
    </row>
    <row r="157" spans="1:8" x14ac:dyDescent="0.35">
      <c r="A157">
        <v>156</v>
      </c>
      <c r="B157">
        <v>7311912</v>
      </c>
      <c r="C157" t="s">
        <v>101</v>
      </c>
      <c r="D157" t="str">
        <f>VLOOKUP(B157,[1]Sheet1!$B:$H,7,FALSE)</f>
        <v>RPIZARRO@UTALCA.CL</v>
      </c>
      <c r="E157" t="str">
        <f>VLOOKUP(Tabla1[[#This Row],[NRO. PERSONAL]],[2]Sheet1!$A:$R,18,FALSE)</f>
        <v>VICERRECTORÍA ACADÉMICA</v>
      </c>
      <c r="F157" t="str">
        <f>VLOOKUP(Tabla1[[#This Row],[NRO. PERSONAL]],[2]Sheet1!$A:$S,19,FALSE)</f>
        <v>DIRECCIÓN DE INNOVACIÓN Y TRANSFERENCIA</v>
      </c>
      <c r="G157" s="2"/>
      <c r="H157" s="2"/>
    </row>
    <row r="158" spans="1:8" x14ac:dyDescent="0.35">
      <c r="A158">
        <v>157</v>
      </c>
      <c r="B158">
        <v>17759312</v>
      </c>
      <c r="C158" t="s">
        <v>15</v>
      </c>
      <c r="D158" t="str">
        <f>VLOOKUP(B158,[1]Sheet1!$B:$H,7,FALSE)</f>
        <v>PATRPOBLETE@UTALCA.CL</v>
      </c>
      <c r="E158" t="str">
        <f>VLOOKUP(Tabla1[[#This Row],[NRO. PERSONAL]],[2]Sheet1!$A:$R,18,FALSE)</f>
        <v>FACULTAD DE CIENCIAS DE LA SALUD</v>
      </c>
      <c r="F158" t="str">
        <f>VLOOKUP(Tabla1[[#This Row],[NRO. PERSONAL]],[2]Sheet1!$A:$S,19,FALSE)</f>
        <v>DEPARTAMENTO DE MICROBIOLOGÍA</v>
      </c>
      <c r="G158" s="2"/>
      <c r="H158" s="2"/>
    </row>
    <row r="159" spans="1:8" x14ac:dyDescent="0.35">
      <c r="A159">
        <v>158</v>
      </c>
      <c r="B159">
        <v>13766079</v>
      </c>
      <c r="C159" t="s">
        <v>94</v>
      </c>
      <c r="D159" t="str">
        <f>VLOOKUP(B159,[1]Sheet1!$B:$H,7,FALSE)</f>
        <v>MQUINTANA@UTALCA.CL</v>
      </c>
      <c r="E159" t="str">
        <f>VLOOKUP(Tabla1[[#This Row],[NRO. PERSONAL]],[2]Sheet1!$A:$R,18,FALSE)</f>
        <v>FACULTAD DE CIENCIAS DE LA SALUD</v>
      </c>
      <c r="F159" t="str">
        <f>VLOOKUP(Tabla1[[#This Row],[NRO. PERSONAL]],[2]Sheet1!$A:$S,19,FALSE)</f>
        <v>DPTO. DE CIENCIAS DE FONOAUDIOLOGÍA</v>
      </c>
      <c r="G159" s="2"/>
      <c r="H159" s="2"/>
    </row>
    <row r="160" spans="1:8" x14ac:dyDescent="0.35">
      <c r="A160">
        <v>159</v>
      </c>
      <c r="B160">
        <v>14020049</v>
      </c>
      <c r="C160" t="s">
        <v>84</v>
      </c>
      <c r="D160" t="str">
        <f>VLOOKUP(B160,[1]Sheet1!$B:$H,7,FALSE)</f>
        <v>MAQUINTEROS@UTALCA.CL</v>
      </c>
      <c r="E160" t="str">
        <f>VLOOKUP(Tabla1[[#This Row],[NRO. PERSONAL]],[2]Sheet1!$A:$R,18,FALSE)</f>
        <v>FACULTAD DE CIENCIAS DE LA SALUD</v>
      </c>
      <c r="F160" t="str">
        <f>VLOOKUP(Tabla1[[#This Row],[NRO. PERSONAL]],[2]Sheet1!$A:$S,19,FALSE)</f>
        <v>DEPARTAMENTO DE SALUD PÚBLICA</v>
      </c>
      <c r="G160" s="2"/>
      <c r="H160" s="2"/>
    </row>
    <row r="161" spans="1:8" x14ac:dyDescent="0.35">
      <c r="A161">
        <v>160</v>
      </c>
      <c r="B161">
        <v>10483657</v>
      </c>
      <c r="C161" t="s">
        <v>149</v>
      </c>
      <c r="D161" t="str">
        <f>VLOOKUP(B161,[1]Sheet1!$B:$H,7,FALSE)</f>
        <v>CLRAMIREZ@UTALCA.CL</v>
      </c>
      <c r="E161" t="str">
        <f>VLOOKUP(Tabla1[[#This Row],[NRO. PERSONAL]],[2]Sheet1!$A:$R,18,FALSE)</f>
        <v>INSTITUTO DE CIENCIAS BIOLÓGICAS</v>
      </c>
      <c r="F161" t="str">
        <f>VLOOKUP(Tabla1[[#This Row],[NRO. PERSONAL]],[2]Sheet1!$A:$S,19,FALSE)</f>
        <v>INSTITUTO DE CIENCIAS BIOLÓGICAS</v>
      </c>
      <c r="G161" s="2"/>
      <c r="H161" s="2"/>
    </row>
    <row r="162" spans="1:8" x14ac:dyDescent="0.35">
      <c r="A162">
        <v>161</v>
      </c>
      <c r="B162">
        <v>14564385</v>
      </c>
      <c r="C162" t="s">
        <v>69</v>
      </c>
      <c r="D162" t="str">
        <f>VLOOKUP(B162,[1]Sheet1!$B:$H,7,FALSE)</f>
        <v>GRAMIREZ@UTALCA.CL</v>
      </c>
      <c r="E162" t="str">
        <f>VLOOKUP(Tabla1[[#This Row],[NRO. PERSONAL]],[2]Sheet1!$A:$R,18,FALSE)</f>
        <v>FACULTAD DE CIENCIAS DE LA SALUD</v>
      </c>
      <c r="F162" t="str">
        <f>VLOOKUP(Tabla1[[#This Row],[NRO. PERSONAL]],[2]Sheet1!$A:$S,19,FALSE)</f>
        <v>FACULTAD DE CIENCIAS DE LA SALUD</v>
      </c>
      <c r="G162" s="2"/>
      <c r="H162" s="2"/>
    </row>
    <row r="163" spans="1:8" x14ac:dyDescent="0.35">
      <c r="A163">
        <v>162</v>
      </c>
      <c r="B163">
        <v>15134675</v>
      </c>
      <c r="C163" t="s">
        <v>65</v>
      </c>
      <c r="D163" t="str">
        <f>VLOOKUP(B163,[1]Sheet1!$B:$H,7,FALSE)</f>
        <v>MARIA.RAMIREZV@UTALCA.CL</v>
      </c>
      <c r="E163" t="str">
        <f>VLOOKUP(Tabla1[[#This Row],[NRO. PERSONAL]],[2]Sheet1!$A:$R,18,FALSE)</f>
        <v>FACULTAD DE CIENCIAS DE LA SALUD</v>
      </c>
      <c r="F163" t="str">
        <f>VLOOKUP(Tabla1[[#This Row],[NRO. PERSONAL]],[2]Sheet1!$A:$S,19,FALSE)</f>
        <v>DEPTO. CIENCIAS DEL CUIDADO EN ENFERM.</v>
      </c>
      <c r="G163" s="2"/>
      <c r="H163" s="2"/>
    </row>
    <row r="164" spans="1:8" x14ac:dyDescent="0.35">
      <c r="A164">
        <v>163</v>
      </c>
      <c r="B164">
        <v>12523100</v>
      </c>
      <c r="C164" t="s">
        <v>126</v>
      </c>
      <c r="D164" t="str">
        <f>VLOOKUP(B164,[1]Sheet1!$B:$H,7,FALSE)</f>
        <v>MARRAMIREZ@UTALCA.CL</v>
      </c>
      <c r="E164" t="str">
        <f>VLOOKUP(Tabla1[[#This Row],[NRO. PERSONAL]],[2]Sheet1!$A:$R,18,FALSE)</f>
        <v>FACULTAD DE CIENCIAS DE LA SALUD</v>
      </c>
      <c r="F164" t="str">
        <f>VLOOKUP(Tabla1[[#This Row],[NRO. PERSONAL]],[2]Sheet1!$A:$S,19,FALSE)</f>
        <v>DEPTO. CIENCIAS DEL CUIDADO EN ENFERM.</v>
      </c>
      <c r="G164" s="2"/>
      <c r="H164" s="2"/>
    </row>
    <row r="165" spans="1:8" x14ac:dyDescent="0.35">
      <c r="A165">
        <v>164</v>
      </c>
      <c r="B165">
        <v>13601841</v>
      </c>
      <c r="C165" t="s">
        <v>103</v>
      </c>
      <c r="D165" t="str">
        <f>VLOOKUP(B165,[1]Sheet1!$B:$H,7,FALSE)</f>
        <v>JRAMOS@UTALCA.CL</v>
      </c>
      <c r="E165" t="str">
        <f>VLOOKUP(Tabla1[[#This Row],[NRO. PERSONAL]],[2]Sheet1!$A:$R,18,FALSE)</f>
        <v>FACULTAD DE ARQUITECTUR, MÚSICA Y DISEÑO</v>
      </c>
      <c r="F165" t="str">
        <f>VLOOKUP(Tabla1[[#This Row],[NRO. PERSONAL]],[2]Sheet1!$A:$S,19,FALSE)</f>
        <v>DEPARTAMENTO DE TEORÍA MUSICAL</v>
      </c>
      <c r="G165" s="2"/>
      <c r="H165" s="2"/>
    </row>
    <row r="166" spans="1:8" x14ac:dyDescent="0.35">
      <c r="A166">
        <v>165</v>
      </c>
      <c r="B166">
        <v>23017961</v>
      </c>
      <c r="C166" t="s">
        <v>210</v>
      </c>
      <c r="D166" t="str">
        <f>VLOOKUP(B166,[1]Sheet1!$B:$H,7,FALSE)</f>
        <v>BRI@UTALCA.CL</v>
      </c>
      <c r="E166" t="str">
        <f>VLOOKUP(Tabla1[[#This Row],[NRO. PERSONAL]],[2]Sheet1!$A:$R,18,FALSE)</f>
        <v>FACULTAD DE INGENIERÍA</v>
      </c>
      <c r="F166" t="str">
        <f>VLOOKUP(Tabla1[[#This Row],[NRO. PERSONAL]],[2]Sheet1!$A:$S,19,FALSE)</f>
        <v>DPTO. VISUALI. INTERACTIVA Y REA.VIRTUAL</v>
      </c>
      <c r="G166" s="2"/>
      <c r="H166" s="2"/>
    </row>
    <row r="167" spans="1:8" x14ac:dyDescent="0.35">
      <c r="A167">
        <v>166</v>
      </c>
      <c r="B167">
        <v>17884886</v>
      </c>
      <c r="C167" t="s">
        <v>14</v>
      </c>
      <c r="D167" t="str">
        <f>VLOOKUP(B167,[1]Sheet1!$B:$H,7,FALSE)</f>
        <v>DRECABARREN@UTALCA.CL</v>
      </c>
      <c r="E167" t="str">
        <f>VLOOKUP(Tabla1[[#This Row],[NRO. PERSONAL]],[2]Sheet1!$A:$R,18,FALSE)</f>
        <v>FACULTAD DE CIENCIAS DE LA SALUD</v>
      </c>
      <c r="F167" t="str">
        <f>VLOOKUP(Tabla1[[#This Row],[NRO. PERSONAL]],[2]Sheet1!$A:$S,19,FALSE)</f>
        <v>DPTO. DE CIENCIAS BÁSICAS BIOMÉDICAS</v>
      </c>
      <c r="G167" s="2"/>
      <c r="H167" s="2"/>
    </row>
    <row r="168" spans="1:8" x14ac:dyDescent="0.35">
      <c r="A168">
        <v>167</v>
      </c>
      <c r="B168">
        <v>10110737</v>
      </c>
      <c r="C168" t="s">
        <v>156</v>
      </c>
      <c r="D168" t="str">
        <f>VLOOKUP(B168,[1]Sheet1!$B:$H,7,FALSE)</f>
        <v>ERETAMAL@UTALCA.CL</v>
      </c>
      <c r="E168" t="str">
        <f>VLOOKUP(Tabla1[[#This Row],[NRO. PERSONAL]],[2]Sheet1!$A:$R,18,FALSE)</f>
        <v>FACULTAD DE CIENCIAS DE LA SALUD</v>
      </c>
      <c r="F168" t="str">
        <f>VLOOKUP(Tabla1[[#This Row],[NRO. PERSONAL]],[2]Sheet1!$A:$S,19,FALSE)</f>
        <v>DEPARTAMENTO DE SALUD PÚBLICA</v>
      </c>
      <c r="G168" s="2"/>
      <c r="H168" s="2"/>
    </row>
    <row r="169" spans="1:8" x14ac:dyDescent="0.35">
      <c r="A169">
        <v>168</v>
      </c>
      <c r="B169">
        <v>16547779</v>
      </c>
      <c r="C169" t="s">
        <v>25</v>
      </c>
      <c r="D169" t="str">
        <f>VLOOKUP(B169,[1]Sheet1!$B:$H,7,FALSE)</f>
        <v>MARETAMAL@UTALCA.CL</v>
      </c>
      <c r="E169" t="str">
        <f>VLOOKUP(Tabla1[[#This Row],[NRO. PERSONAL]],[2]Sheet1!$A:$R,18,FALSE)</f>
        <v>FACULTAD DE CIENCIAS DE LA SALUD</v>
      </c>
      <c r="F169" t="str">
        <f>VLOOKUP(Tabla1[[#This Row],[NRO. PERSONAL]],[2]Sheet1!$A:$S,19,FALSE)</f>
        <v>DPTO. DE CIENCIAS BÁSICAS BIOMÉDICAS</v>
      </c>
      <c r="G169" s="2"/>
      <c r="H169" s="2"/>
    </row>
    <row r="170" spans="1:8" x14ac:dyDescent="0.35">
      <c r="A170">
        <v>169</v>
      </c>
      <c r="B170">
        <v>16299001</v>
      </c>
      <c r="C170" t="s">
        <v>197</v>
      </c>
      <c r="D170" t="str">
        <f>VLOOKUP(B170,[1]Sheet1!$B:$H,7,FALSE)</f>
        <v>COREYES@UTALCA.CL</v>
      </c>
      <c r="E170" t="str">
        <f>VLOOKUP(Tabla1[[#This Row],[NRO. PERSONAL]],[2]Sheet1!$A:$R,18,FALSE)</f>
        <v>FACULTAD DE ECONOMÍA Y NEGOCIOS</v>
      </c>
      <c r="F170" t="str">
        <f>VLOOKUP(Tabla1[[#This Row],[NRO. PERSONAL]],[2]Sheet1!$A:$S,19,FALSE)</f>
        <v>ESC. DE ING. INFORMÁTICA EMPRESARIAL</v>
      </c>
      <c r="G170" s="2"/>
      <c r="H170" s="2"/>
    </row>
    <row r="171" spans="1:8" x14ac:dyDescent="0.35">
      <c r="A171">
        <v>170</v>
      </c>
      <c r="B171">
        <v>16522565</v>
      </c>
      <c r="C171" t="s">
        <v>27</v>
      </c>
      <c r="D171" t="str">
        <f>VLOOKUP(B171,[1]Sheet1!$B:$H,7,FALSE)</f>
        <v>CRISTOBAL.REYES@UTALCA.CL</v>
      </c>
      <c r="E171" t="str">
        <f>VLOOKUP(Tabla1[[#This Row],[NRO. PERSONAL]],[2]Sheet1!$A:$R,18,FALSE)</f>
        <v>FACULTAD DE CIENCIAS DE LA EDUCACIÓN</v>
      </c>
      <c r="F171" t="str">
        <f>VLOOKUP(Tabla1[[#This Row],[NRO. PERSONAL]],[2]Sheet1!$A:$S,19,FALSE)</f>
        <v>ESC. PDG.CIENCIAS NATURALES Y EXACTAS</v>
      </c>
      <c r="G171" s="2"/>
      <c r="H171" s="2"/>
    </row>
    <row r="172" spans="1:8" x14ac:dyDescent="0.35">
      <c r="A172">
        <v>171</v>
      </c>
      <c r="B172">
        <v>10751848</v>
      </c>
      <c r="C172" t="s">
        <v>216</v>
      </c>
      <c r="D172" t="str">
        <f>VLOOKUP(B172,[1]Sheet1!$B:$H,7,FALSE)</f>
        <v>CARREYES@UTALCA.CL</v>
      </c>
      <c r="E172" t="str">
        <f>VLOOKUP(Tabla1[[#This Row],[NRO. PERSONAL]],[2]Sheet1!$A:$R,18,FALSE)</f>
        <v>DIRECCIÓN DE PREGRADO</v>
      </c>
      <c r="F172" t="str">
        <f>VLOOKUP(Tabla1[[#This Row],[NRO. PERSONAL]],[2]Sheet1!$A:$S,19,FALSE)</f>
        <v>PROGRAMA DE FORMACIÓN FUNDAMENTAL</v>
      </c>
      <c r="G172" s="2"/>
      <c r="H172" s="2"/>
    </row>
    <row r="173" spans="1:8" x14ac:dyDescent="0.35">
      <c r="A173">
        <v>172</v>
      </c>
      <c r="B173">
        <v>10030300</v>
      </c>
      <c r="C173" t="s">
        <v>159</v>
      </c>
      <c r="D173" t="str">
        <f>VLOOKUP(B173,[1]Sheet1!$B:$H,7,FALSE)</f>
        <v>JAREYES@UTALCA.CL</v>
      </c>
      <c r="E173" t="str">
        <f>VLOOKUP(Tabla1[[#This Row],[NRO. PERSONAL]],[2]Sheet1!$A:$R,18,FALSE)</f>
        <v>FACULTAD DE INGENIERÍA</v>
      </c>
      <c r="F173" t="str">
        <f>VLOOKUP(Tabla1[[#This Row],[NRO. PERSONAL]],[2]Sheet1!$A:$S,19,FALSE)</f>
        <v>DPTO. VISUALI. INTERACTIVA Y REA.VIRTUAL</v>
      </c>
      <c r="G173" s="2"/>
      <c r="H173" s="2"/>
    </row>
    <row r="174" spans="1:8" x14ac:dyDescent="0.35">
      <c r="A174">
        <v>173</v>
      </c>
      <c r="B174">
        <v>13624042</v>
      </c>
      <c r="C174" t="s">
        <v>99</v>
      </c>
      <c r="D174" t="str">
        <f>VLOOKUP(B174,[1]Sheet1!$B:$H,7,FALSE)</f>
        <v>JURIQUELME@UTALCA.CL</v>
      </c>
      <c r="E174" t="str">
        <f>VLOOKUP(Tabla1[[#This Row],[NRO. PERSONAL]],[2]Sheet1!$A:$R,18,FALSE)</f>
        <v>FACULTAD DE ECONOMÍA Y NEGOCIOS</v>
      </c>
      <c r="F174" t="str">
        <f>VLOOKUP(Tabla1[[#This Row],[NRO. PERSONAL]],[2]Sheet1!$A:$S,19,FALSE)</f>
        <v>ESCUELA DE INGENIERÍA COMERCIAL DE TALCA</v>
      </c>
      <c r="G174" s="2"/>
      <c r="H174" s="2"/>
    </row>
    <row r="175" spans="1:8" x14ac:dyDescent="0.35">
      <c r="A175">
        <v>174</v>
      </c>
      <c r="B175">
        <v>15630786</v>
      </c>
      <c r="C175" t="s">
        <v>51</v>
      </c>
      <c r="D175" t="str">
        <f>VLOOKUP(B175,[1]Sheet1!$B:$H,7,FALSE)</f>
        <v>CERIVERA@UTALCA.CL</v>
      </c>
      <c r="E175" t="str">
        <f>VLOOKUP(Tabla1[[#This Row],[NRO. PERSONAL]],[2]Sheet1!$A:$R,18,FALSE)</f>
        <v>FACULTAD DE ODONTOLOGÍA</v>
      </c>
      <c r="F175" t="str">
        <f>VLOOKUP(Tabla1[[#This Row],[NRO. PERSONAL]],[2]Sheet1!$A:$S,19,FALSE)</f>
        <v>DEPARTAMENTO DE ESTOMATOLOGÍA</v>
      </c>
      <c r="G175" s="2"/>
      <c r="H175" s="2"/>
    </row>
    <row r="176" spans="1:8" x14ac:dyDescent="0.35">
      <c r="A176">
        <v>175</v>
      </c>
      <c r="B176">
        <v>13191306</v>
      </c>
      <c r="C176" t="s">
        <v>115</v>
      </c>
      <c r="D176" t="str">
        <f>VLOOKUP(B176,[1]Sheet1!$B:$H,7,FALSE)</f>
        <v>CLRIVEROS@UTALCA.CL</v>
      </c>
      <c r="E176" t="str">
        <f>VLOOKUP(Tabla1[[#This Row],[NRO. PERSONAL]],[2]Sheet1!$A:$R,18,FALSE)</f>
        <v>FACULTAD CIENCIAS JURÍDICAS Y SOCIALES</v>
      </c>
      <c r="F176" t="str">
        <f>VLOOKUP(Tabla1[[#This Row],[NRO. PERSONAL]],[2]Sheet1!$A:$S,19,FALSE)</f>
        <v>ESC. CNCIA. POLÍTICA Y ADMÓN. PÚBLICA TA</v>
      </c>
      <c r="G176" s="2"/>
      <c r="H176" s="2"/>
    </row>
    <row r="177" spans="1:8" x14ac:dyDescent="0.35">
      <c r="A177">
        <v>176</v>
      </c>
      <c r="B177">
        <v>13950393</v>
      </c>
      <c r="C177" t="s">
        <v>87</v>
      </c>
      <c r="D177" t="str">
        <f>VLOOKUP(B177,[1]Sheet1!$B:$H,7,FALSE)</f>
        <v>IROA@UTALCA.CL</v>
      </c>
      <c r="E177" t="str">
        <f>VLOOKUP(Tabla1[[#This Row],[NRO. PERSONAL]],[2]Sheet1!$A:$R,18,FALSE)</f>
        <v>FACULTAD DE CIENCIAS DE LA SALUD</v>
      </c>
      <c r="F177" t="str">
        <f>VLOOKUP(Tabla1[[#This Row],[NRO. PERSONAL]],[2]Sheet1!$A:$S,19,FALSE)</f>
        <v>DPTO. DE CIENCIAS BÁSICAS BIOMÉDICAS</v>
      </c>
      <c r="G177" s="2"/>
      <c r="H177" s="2"/>
    </row>
    <row r="178" spans="1:8" x14ac:dyDescent="0.35">
      <c r="A178">
        <v>177</v>
      </c>
      <c r="B178">
        <v>17039830</v>
      </c>
      <c r="C178" t="s">
        <v>20</v>
      </c>
      <c r="D178" t="str">
        <f>VLOOKUP(B178,[1]Sheet1!$B:$H,7,FALSE)</f>
        <v>PROBLES@UTALCA.CL</v>
      </c>
      <c r="E178" t="str">
        <f>VLOOKUP(Tabla1[[#This Row],[NRO. PERSONAL]],[2]Sheet1!$A:$R,18,FALSE)</f>
        <v>FACULTAD DE CIENCIAS DE LA SALUD</v>
      </c>
      <c r="F178" t="str">
        <f>VLOOKUP(Tabla1[[#This Row],[NRO. PERSONAL]],[2]Sheet1!$A:$S,19,FALSE)</f>
        <v>DPTO. DE CIENCIAS BÁSICAS BIOMÉDICAS</v>
      </c>
      <c r="G178" s="2"/>
      <c r="H178" s="2"/>
    </row>
    <row r="179" spans="1:8" x14ac:dyDescent="0.35">
      <c r="A179">
        <v>178</v>
      </c>
      <c r="B179">
        <v>6690172</v>
      </c>
      <c r="C179" t="s">
        <v>41</v>
      </c>
      <c r="D179" t="str">
        <f>VLOOKUP(B179,[1]Sheet1!$B:$H,7,FALSE)</f>
        <v>PRODRIG@UTALCA.CL</v>
      </c>
      <c r="E179" t="str">
        <f>VLOOKUP(Tabla1[[#This Row],[NRO. PERSONAL]],[2]Sheet1!$A:$R,18,FALSE)</f>
        <v>FACULTAD DE ECONOMÍA Y NEGOCIOS</v>
      </c>
      <c r="F179" t="str">
        <f>VLOOKUP(Tabla1[[#This Row],[NRO. PERSONAL]],[2]Sheet1!$A:$S,19,FALSE)</f>
        <v>ESC. AUDITORIA Y CONTROL DE GESTIÓN TLCA</v>
      </c>
      <c r="G179" s="2"/>
      <c r="H179" s="2"/>
    </row>
    <row r="180" spans="1:8" x14ac:dyDescent="0.35">
      <c r="A180">
        <v>179</v>
      </c>
      <c r="B180">
        <v>14344246</v>
      </c>
      <c r="C180" t="s">
        <v>196</v>
      </c>
      <c r="D180" t="str">
        <f>VLOOKUP(B180,[1]Sheet1!$B:$H,7,FALSE)</f>
        <v>MROJASC@UTALCA.CL</v>
      </c>
      <c r="E180" t="str">
        <f>VLOOKUP(Tabla1[[#This Row],[NRO. PERSONAL]],[2]Sheet1!$A:$R,18,FALSE)</f>
        <v>FACULTAD DE ODONTOLOGÍA</v>
      </c>
      <c r="F180" t="str">
        <f>VLOOKUP(Tabla1[[#This Row],[NRO. PERSONAL]],[2]Sheet1!$A:$S,19,FALSE)</f>
        <v>DEPARTAMENTO DE ESTOMATOLOGÍA</v>
      </c>
      <c r="G180" s="2"/>
      <c r="H180" s="2"/>
    </row>
    <row r="181" spans="1:8" x14ac:dyDescent="0.35">
      <c r="A181">
        <v>180</v>
      </c>
      <c r="B181">
        <v>8371714</v>
      </c>
      <c r="C181" t="s">
        <v>188</v>
      </c>
      <c r="D181" t="str">
        <f>VLOOKUP(B181,[1]Sheet1!$B:$H,7,FALSE)</f>
        <v>IROJAS@UTALCA.CL</v>
      </c>
      <c r="E181" t="str">
        <f>VLOOKUP(Tabla1[[#This Row],[NRO. PERSONAL]],[2]Sheet1!$A:$R,18,FALSE)</f>
        <v>FACULTAD CIENCIAS JURÍDICAS Y SOCIALES</v>
      </c>
      <c r="F181" t="str">
        <f>VLOOKUP(Tabla1[[#This Row],[NRO. PERSONAL]],[2]Sheet1!$A:$S,19,FALSE)</f>
        <v>DPTO. DERECHO PENAL PROCESAL Y  TRABAJO</v>
      </c>
      <c r="G181" s="2"/>
      <c r="H181" s="2"/>
    </row>
    <row r="182" spans="1:8" x14ac:dyDescent="0.35">
      <c r="A182">
        <v>181</v>
      </c>
      <c r="B182">
        <v>12920799</v>
      </c>
      <c r="C182" t="s">
        <v>120</v>
      </c>
      <c r="D182" t="str">
        <f>VLOOKUP(B182,[1]Sheet1!$B:$H,7,FALSE)</f>
        <v>CESAAVEDRA@UTALCA.CL</v>
      </c>
      <c r="E182" t="str">
        <f>VLOOKUP(Tabla1[[#This Row],[NRO. PERSONAL]],[2]Sheet1!$A:$R,18,FALSE)</f>
        <v>FACULTAD DE ODONTOLOGÍA</v>
      </c>
      <c r="F182" t="str">
        <f>VLOOKUP(Tabla1[[#This Row],[NRO. PERSONAL]],[2]Sheet1!$A:$S,19,FALSE)</f>
        <v>ESCUELA DE ODONTOLOGÍA</v>
      </c>
      <c r="G182" s="2"/>
      <c r="H182" s="2"/>
    </row>
    <row r="183" spans="1:8" x14ac:dyDescent="0.35">
      <c r="A183">
        <v>182</v>
      </c>
      <c r="B183">
        <v>10442291</v>
      </c>
      <c r="C183" t="s">
        <v>151</v>
      </c>
      <c r="D183" t="str">
        <f>VLOOKUP(B183,[1]Sheet1!$B:$H,7,FALSE)</f>
        <v>RSAENS@UTALCA.CL</v>
      </c>
      <c r="E183" t="str">
        <f>VLOOKUP(Tabla1[[#This Row],[NRO. PERSONAL]],[2]Sheet1!$A:$R,18,FALSE)</f>
        <v>FACULTAD DE ECONOMÍA Y NEGOCIOS</v>
      </c>
      <c r="F183" t="str">
        <f>VLOOKUP(Tabla1[[#This Row],[NRO. PERSONAL]],[2]Sheet1!$A:$S,19,FALSE)</f>
        <v>ESCUELA DE INGENIERÍA COMERCIAL DE TALCA</v>
      </c>
      <c r="G183" s="2"/>
      <c r="H183" s="2"/>
    </row>
    <row r="184" spans="1:8" x14ac:dyDescent="0.35">
      <c r="A184">
        <v>183</v>
      </c>
      <c r="B184">
        <v>14474364</v>
      </c>
      <c r="C184" t="s">
        <v>201</v>
      </c>
      <c r="D184" t="str">
        <f>VLOOKUP(B184,[1]Sheet1!$B:$H,7,FALSE)</f>
        <v>MACARENA.SAID@UTALCA.CL</v>
      </c>
      <c r="E184" t="str">
        <f>VLOOKUP(Tabla1[[#This Row],[NRO. PERSONAL]],[2]Sheet1!$A:$R,18,FALSE)</f>
        <v>FACULTAD DE CIENCIAS DE LA SALUD</v>
      </c>
      <c r="F184" t="str">
        <f>VLOOKUP(Tabla1[[#This Row],[NRO. PERSONAL]],[2]Sheet1!$A:$S,19,FALSE)</f>
        <v>DEPARTAMENTO DE SALUD PÚBLICA</v>
      </c>
      <c r="G184" s="2"/>
      <c r="H184" s="2"/>
    </row>
    <row r="185" spans="1:8" x14ac:dyDescent="0.35">
      <c r="A185">
        <v>184</v>
      </c>
      <c r="B185">
        <v>16454384</v>
      </c>
      <c r="C185" t="s">
        <v>29</v>
      </c>
      <c r="D185" t="str">
        <f>VLOOKUP(B185,[1]Sheet1!$B:$H,7,FALSE)</f>
        <v>MSANCRISTOBAL@UTALCA.CL</v>
      </c>
      <c r="E185" t="str">
        <f>VLOOKUP(Tabla1[[#This Row],[NRO. PERSONAL]],[2]Sheet1!$A:$R,18,FALSE)</f>
        <v>FACULTAD DE CIENCIAS DE LA EDUCACIÓN</v>
      </c>
      <c r="F185" t="str">
        <f>VLOOKUP(Tabla1[[#This Row],[NRO. PERSONAL]],[2]Sheet1!$A:$S,19,FALSE)</f>
        <v>ESCUELA DE PEDAGOGÍA EN INGLÉS</v>
      </c>
      <c r="G185" s="2"/>
      <c r="H185" s="2"/>
    </row>
    <row r="186" spans="1:8" x14ac:dyDescent="0.35">
      <c r="A186">
        <v>185</v>
      </c>
      <c r="B186">
        <v>13938939</v>
      </c>
      <c r="C186" t="s">
        <v>207</v>
      </c>
      <c r="D186" t="str">
        <f>VLOOKUP(B186,[1]Sheet1!$B:$H,7,FALSE)</f>
        <v>OSANMARTIN@UTALCA.CL</v>
      </c>
      <c r="E186" t="str">
        <f>VLOOKUP(Tabla1[[#This Row],[NRO. PERSONAL]],[2]Sheet1!$A:$R,18,FALSE)</f>
        <v>FACULTAD DE CIENCIAS DE LA SALUD</v>
      </c>
      <c r="F186" t="str">
        <f>VLOOKUP(Tabla1[[#This Row],[NRO. PERSONAL]],[2]Sheet1!$A:$S,19,FALSE)</f>
        <v>DPTO. DE CIENCIAS DE FONOAUDIOLOGÍA</v>
      </c>
      <c r="G186" s="2"/>
      <c r="H186" s="2"/>
    </row>
    <row r="187" spans="1:8" x14ac:dyDescent="0.35">
      <c r="A187">
        <v>186</v>
      </c>
      <c r="B187">
        <v>8943910</v>
      </c>
      <c r="C187" t="s">
        <v>175</v>
      </c>
      <c r="D187" t="str">
        <f>VLOOKUP(B187,[1]Sheet1!$B:$H,7,FALSE)</f>
        <v>JSANCHEZ@UTALCA.CL</v>
      </c>
      <c r="E187" t="str">
        <f>VLOOKUP(Tabla1[[#This Row],[NRO. PERSONAL]],[2]Sheet1!$A:$R,18,FALSE)</f>
        <v>FACULTAD DE ECONOMÍA Y NEGOCIOS</v>
      </c>
      <c r="F187" t="str">
        <f>VLOOKUP(Tabla1[[#This Row],[NRO. PERSONAL]],[2]Sheet1!$A:$S,19,FALSE)</f>
        <v>ESC. AUDITORIA Y CONTROL DE GESTIÓN TLCA</v>
      </c>
      <c r="G187" s="2"/>
      <c r="H187" s="2"/>
    </row>
    <row r="188" spans="1:8" x14ac:dyDescent="0.35">
      <c r="A188">
        <v>187</v>
      </c>
      <c r="B188">
        <v>9517837</v>
      </c>
      <c r="C188" t="s">
        <v>166</v>
      </c>
      <c r="D188" t="str">
        <f>VLOOKUP(B188,[1]Sheet1!$B:$H,7,FALSE)</f>
        <v>VALENTIN.SANTANDER@UTALCA.CL</v>
      </c>
      <c r="E188" t="str">
        <f>VLOOKUP(Tabla1[[#This Row],[NRO. PERSONAL]],[2]Sheet1!$A:$R,18,FALSE)</f>
        <v>FACULTAD DE ECONOMÍA Y NEGOCIOS</v>
      </c>
      <c r="F188" t="str">
        <f>VLOOKUP(Tabla1[[#This Row],[NRO. PERSONAL]],[2]Sheet1!$A:$S,19,FALSE)</f>
        <v>ESC. AUDITORIA Y CONTROL DE GESTIÓN TLCA</v>
      </c>
      <c r="G188" s="2"/>
      <c r="H188" s="2"/>
    </row>
    <row r="189" spans="1:8" x14ac:dyDescent="0.35">
      <c r="A189">
        <v>188</v>
      </c>
      <c r="B189">
        <v>7976936</v>
      </c>
      <c r="C189" t="s">
        <v>161</v>
      </c>
      <c r="D189" t="str">
        <f>VLOOKUP(B189,[1]Sheet1!$B:$H,7,FALSE)</f>
        <v>ESANTIBANEZ@UTALCA.CL</v>
      </c>
      <c r="E189" t="str">
        <f>VLOOKUP(Tabla1[[#This Row],[NRO. PERSONAL]],[2]Sheet1!$A:$R,18,FALSE)</f>
        <v>FACULTAD DE INGENIERÍA</v>
      </c>
      <c r="F189" t="str">
        <f>VLOOKUP(Tabla1[[#This Row],[NRO. PERSONAL]],[2]Sheet1!$A:$S,19,FALSE)</f>
        <v>DEPARTAMENTO DE INGENIERÍA INDUSTRIAL</v>
      </c>
      <c r="G189" s="2"/>
      <c r="H189" s="2"/>
    </row>
    <row r="190" spans="1:8" x14ac:dyDescent="0.35">
      <c r="A190">
        <v>189</v>
      </c>
      <c r="B190">
        <v>13143572</v>
      </c>
      <c r="C190" t="s">
        <v>116</v>
      </c>
      <c r="D190" t="str">
        <f>VLOOKUP(B190,[1]Sheet1!$B:$H,7,FALSE)</f>
        <v>CSANTOS@UTALCA.CL</v>
      </c>
      <c r="E190" t="str">
        <f>VLOOKUP(Tabla1[[#This Row],[NRO. PERSONAL]],[2]Sheet1!$A:$R,18,FALSE)</f>
        <v>DIRECCIÓN DE PREGRADO</v>
      </c>
      <c r="F190" t="str">
        <f>VLOOKUP(Tabla1[[#This Row],[NRO. PERSONAL]],[2]Sheet1!$A:$S,19,FALSE)</f>
        <v>PROGRAMA DE DEPORTES</v>
      </c>
      <c r="G190" s="2"/>
      <c r="H190" s="2"/>
    </row>
    <row r="191" spans="1:8" x14ac:dyDescent="0.35">
      <c r="A191">
        <v>190</v>
      </c>
      <c r="B191">
        <v>14596078</v>
      </c>
      <c r="C191" t="s">
        <v>67</v>
      </c>
      <c r="D191" t="str">
        <f>VLOOKUP(B191,[1]Sheet1!$B:$H,7,FALSE)</f>
        <v>MARTIN@UTALCA.CL</v>
      </c>
      <c r="E191" t="str">
        <f>VLOOKUP(Tabla1[[#This Row],[NRO. PERSONAL]],[2]Sheet1!$A:$R,18,FALSE)</f>
        <v>FACULTAD DE ECONOMÍA Y NEGOCIOS</v>
      </c>
      <c r="F191" t="str">
        <f>VLOOKUP(Tabla1[[#This Row],[NRO. PERSONAL]],[2]Sheet1!$A:$S,19,FALSE)</f>
        <v>ESC. DE ING. INFORMÁTICA EMPRESARIAL</v>
      </c>
      <c r="G191" s="2"/>
      <c r="H191" s="2"/>
    </row>
    <row r="192" spans="1:8" x14ac:dyDescent="0.35">
      <c r="A192">
        <v>191</v>
      </c>
      <c r="B192">
        <v>22128343</v>
      </c>
      <c r="C192" t="s">
        <v>6</v>
      </c>
      <c r="D192" t="str">
        <f>VLOOKUP(B192,[1]Sheet1!$B:$H,7,FALSE)</f>
        <v>LSSANTOS@UTALCA.CL</v>
      </c>
      <c r="E192" t="str">
        <f>VLOOKUP(Tabla1[[#This Row],[NRO. PERSONAL]],[2]Sheet1!$A:$R,18,FALSE)</f>
        <v>INSTITUTO QUÍMICA DE RECURSOS NATURALES</v>
      </c>
      <c r="F192" t="str">
        <f>VLOOKUP(Tabla1[[#This Row],[NRO. PERSONAL]],[2]Sheet1!$A:$S,19,FALSE)</f>
        <v>INSTITUTO QUÍMICA DE RECURSOS NATURALES</v>
      </c>
      <c r="G192" s="2"/>
      <c r="H192" s="2"/>
    </row>
    <row r="193" spans="1:8" x14ac:dyDescent="0.35">
      <c r="A193">
        <v>192</v>
      </c>
      <c r="B193">
        <v>8158868</v>
      </c>
      <c r="C193" t="s">
        <v>177</v>
      </c>
      <c r="D193" t="str">
        <f>VLOOKUP(B193,[1]Sheet1!$B:$H,7,FALSE)</f>
        <v>CSUAREZ@UTALCA.CL</v>
      </c>
      <c r="E193" t="str">
        <f>VLOOKUP(Tabla1[[#This Row],[NRO. PERSONAL]],[2]Sheet1!$A:$R,18,FALSE)</f>
        <v>FACULTAD CIENCIAS JURÍDICAS Y SOCIALES</v>
      </c>
      <c r="F193" t="str">
        <f>VLOOKUP(Tabla1[[#This Row],[NRO. PERSONAL]],[2]Sheet1!$A:$S,19,FALSE)</f>
        <v>DEPARTAMENTO DE DERECHO PÚBLICO</v>
      </c>
      <c r="G193" s="2"/>
      <c r="H193" s="2"/>
    </row>
    <row r="194" spans="1:8" x14ac:dyDescent="0.35">
      <c r="A194">
        <v>193</v>
      </c>
      <c r="B194">
        <v>10711017</v>
      </c>
      <c r="C194" t="s">
        <v>146</v>
      </c>
      <c r="D194" t="str">
        <f>VLOOKUP(B194,[1]Sheet1!$B:$H,7,FALSE)</f>
        <v>NSUAZO@UTALCA.CL</v>
      </c>
      <c r="E194" t="str">
        <f>VLOOKUP(Tabla1[[#This Row],[NRO. PERSONAL]],[2]Sheet1!$A:$R,18,FALSE)</f>
        <v>FACULTAD DE CIENCIAS DE LA SALUD</v>
      </c>
      <c r="F194" t="str">
        <f>VLOOKUP(Tabla1[[#This Row],[NRO. PERSONAL]],[2]Sheet1!$A:$S,19,FALSE)</f>
        <v>DEPTO. CIENCIAS DEL CUIDADO EN ENFERM.</v>
      </c>
      <c r="G194" s="2"/>
      <c r="H194" s="2"/>
    </row>
    <row r="195" spans="1:8" x14ac:dyDescent="0.35">
      <c r="A195">
        <v>194</v>
      </c>
      <c r="B195">
        <v>10544161</v>
      </c>
      <c r="C195" t="s">
        <v>148</v>
      </c>
      <c r="D195" t="str">
        <f>VLOOKUP(B195,[1]Sheet1!$B:$H,7,FALSE)</f>
        <v>NTAPIA@UTALCA.CL</v>
      </c>
      <c r="E195" t="str">
        <f>VLOOKUP(Tabla1[[#This Row],[NRO. PERSONAL]],[2]Sheet1!$A:$R,18,FALSE)</f>
        <v>DIRECCIÓN DE PREGRADO</v>
      </c>
      <c r="F195" t="str">
        <f>VLOOKUP(Tabla1[[#This Row],[NRO. PERSONAL]],[2]Sheet1!$A:$S,19,FALSE)</f>
        <v>PROGRAMA DE FORMACIÓN FUNDAMENTAL</v>
      </c>
      <c r="G195" s="2"/>
      <c r="H195" s="2"/>
    </row>
    <row r="196" spans="1:8" x14ac:dyDescent="0.35">
      <c r="A196">
        <v>195</v>
      </c>
      <c r="B196">
        <v>9189921</v>
      </c>
      <c r="C196" t="s">
        <v>171</v>
      </c>
      <c r="D196" t="str">
        <f>VLOOKUP(B196,[1]Sheet1!$B:$H,7,FALSE)</f>
        <v>JTAPIA@UTALCA.CL</v>
      </c>
      <c r="E196" t="str">
        <f>VLOOKUP(Tabla1[[#This Row],[NRO. PERSONAL]],[2]Sheet1!$A:$R,18,FALSE)</f>
        <v>INSTITUTO QUÍMICA DE RECURSOS NATURALES</v>
      </c>
      <c r="F196" t="str">
        <f>VLOOKUP(Tabla1[[#This Row],[NRO. PERSONAL]],[2]Sheet1!$A:$S,19,FALSE)</f>
        <v>INSTITUTO QUÍMICA DE RECURSOS NATURALES</v>
      </c>
      <c r="G196" s="2"/>
      <c r="H196" s="2"/>
    </row>
    <row r="197" spans="1:8" x14ac:dyDescent="0.35">
      <c r="A197">
        <v>196</v>
      </c>
      <c r="B197">
        <v>10801551</v>
      </c>
      <c r="C197" t="s">
        <v>143</v>
      </c>
      <c r="D197" t="str">
        <f>VLOOKUP(B197,[1]Sheet1!$B:$H,7,FALSE)</f>
        <v>JTELLO@UTALCA.CL</v>
      </c>
      <c r="E197" t="str">
        <f>VLOOKUP(Tabla1[[#This Row],[NRO. PERSONAL]],[2]Sheet1!$A:$R,18,FALSE)</f>
        <v>FACULTAD DE ECONOMÍA Y NEGOCIOS</v>
      </c>
      <c r="F197" t="str">
        <f>VLOOKUP(Tabla1[[#This Row],[NRO. PERSONAL]],[2]Sheet1!$A:$S,19,FALSE)</f>
        <v>ESC. AUDITORIA Y CONTROL DE GESTIÓN TLCA</v>
      </c>
      <c r="G197" s="2"/>
      <c r="H197" s="2"/>
    </row>
    <row r="198" spans="1:8" x14ac:dyDescent="0.35">
      <c r="A198">
        <v>197</v>
      </c>
      <c r="B198">
        <v>13858469</v>
      </c>
      <c r="C198" t="s">
        <v>90</v>
      </c>
      <c r="D198" t="str">
        <f>VLOOKUP(B198,[1]Sheet1!$B:$H,7,FALSE)</f>
        <v>TTIGERO@UTALCA.CL</v>
      </c>
      <c r="E198" t="str">
        <f>VLOOKUP(Tabla1[[#This Row],[NRO. PERSONAL]],[2]Sheet1!$A:$R,18,FALSE)</f>
        <v>FACULTAD DE ECONOMÍA Y NEGOCIOS</v>
      </c>
      <c r="F198" t="str">
        <f>VLOOKUP(Tabla1[[#This Row],[NRO. PERSONAL]],[2]Sheet1!$A:$S,19,FALSE)</f>
        <v>ESCUELA DE INGENIERÍA COMERCIAL DE TALCA</v>
      </c>
      <c r="G198" s="2"/>
      <c r="H198" s="2"/>
    </row>
    <row r="199" spans="1:8" x14ac:dyDescent="0.35">
      <c r="A199">
        <v>198</v>
      </c>
      <c r="B199">
        <v>8209952</v>
      </c>
      <c r="C199" t="s">
        <v>189</v>
      </c>
      <c r="D199" t="str">
        <f>VLOOKUP(B199,[1]Sheet1!$B:$H,7,FALSE)</f>
        <v>CTOLEDOA@UTALCA.CL</v>
      </c>
      <c r="E199" t="str">
        <f>VLOOKUP(Tabla1[[#This Row],[NRO. PERSONAL]],[2]Sheet1!$A:$R,18,FALSE)</f>
        <v>FACULTAD DE INGENIERÍA</v>
      </c>
      <c r="F199" t="str">
        <f>VLOOKUP(Tabla1[[#This Row],[NRO. PERSONAL]],[2]Sheet1!$A:$S,19,FALSE)</f>
        <v>DEPARTAMENTO DE INGENIERÍA INDUSTRIAL</v>
      </c>
      <c r="G199" s="2"/>
      <c r="H199" s="2"/>
    </row>
    <row r="200" spans="1:8" x14ac:dyDescent="0.35">
      <c r="A200">
        <v>199</v>
      </c>
      <c r="B200">
        <v>13305460</v>
      </c>
      <c r="C200" t="s">
        <v>112</v>
      </c>
      <c r="D200" t="str">
        <f>VLOOKUP(B200,[1]Sheet1!$B:$H,7,FALSE)</f>
        <v>CTORO@UTALCA.CL</v>
      </c>
      <c r="E200" t="str">
        <f>VLOOKUP(Tabla1[[#This Row],[NRO. PERSONAL]],[2]Sheet1!$A:$R,18,FALSE)</f>
        <v>FACULTAD DE CIENCIAS DE LA SALUD</v>
      </c>
      <c r="F200" t="str">
        <f>VLOOKUP(Tabla1[[#This Row],[NRO. PERSONAL]],[2]Sheet1!$A:$S,19,FALSE)</f>
        <v>DPTO. BIOQUÍM. CLÍN. E INMUNOHEMATOLOGÍA</v>
      </c>
      <c r="G200" s="2"/>
      <c r="H200" s="2"/>
    </row>
    <row r="201" spans="1:8" x14ac:dyDescent="0.35">
      <c r="A201">
        <v>200</v>
      </c>
      <c r="B201">
        <v>13001148</v>
      </c>
      <c r="C201" t="s">
        <v>218</v>
      </c>
      <c r="D201" t="str">
        <f>VLOOKUP(B201,[1]Sheet1!$B:$H,7,FALSE)</f>
        <v>CTORRES@UTALCA.CL</v>
      </c>
      <c r="E201" t="str">
        <f>VLOOKUP(Tabla1[[#This Row],[NRO. PERSONAL]],[2]Sheet1!$A:$R,18,FALSE)</f>
        <v>FACULTAD DE INGENIERÍA</v>
      </c>
      <c r="F201" t="str">
        <f>VLOOKUP(Tabla1[[#This Row],[NRO. PERSONAL]],[2]Sheet1!$A:$S,19,FALSE)</f>
        <v>DEPARTAMENTO DE INGENIERÍA INDUSTRIAL</v>
      </c>
      <c r="G201" s="2"/>
      <c r="H201" s="2"/>
    </row>
    <row r="202" spans="1:8" x14ac:dyDescent="0.35">
      <c r="A202">
        <v>201</v>
      </c>
      <c r="B202">
        <v>15877215</v>
      </c>
      <c r="C202" t="s">
        <v>43</v>
      </c>
      <c r="D202" t="str">
        <f>VLOOKUP(B202,[1]Sheet1!$B:$H,7,FALSE)</f>
        <v>ANDTORRES@UTALCA.CL</v>
      </c>
      <c r="E202" t="str">
        <f>VLOOKUP(Tabla1[[#This Row],[NRO. PERSONAL]],[2]Sheet1!$A:$R,18,FALSE)</f>
        <v>FACULTAD DE CIENCIAS DE LA SALUD</v>
      </c>
      <c r="F202" t="str">
        <f>VLOOKUP(Tabla1[[#This Row],[NRO. PERSONAL]],[2]Sheet1!$A:$S,19,FALSE)</f>
        <v>DEPTO. CIENCIAS DE LA NUT. Y ALIMENTOS</v>
      </c>
      <c r="G202" s="2"/>
      <c r="H202" s="2"/>
    </row>
    <row r="203" spans="1:8" x14ac:dyDescent="0.35">
      <c r="A203">
        <v>202</v>
      </c>
      <c r="B203" s="2">
        <v>16555109</v>
      </c>
      <c r="C203" t="s">
        <v>234</v>
      </c>
      <c r="D203" t="str">
        <f>VLOOKUP(B203,[1]Sheet1!$B:$H,7,FALSE)</f>
        <v>PIATRONCOSO@UTALCA.CL</v>
      </c>
      <c r="E203" s="2" t="str">
        <f>VLOOKUP(Tabla1[[#This Row],[NRO. PERSONAL]],[2]Sheet1!$A:$R,18,FALSE)</f>
        <v>FACULTAD DE ODONTOLOGÍA</v>
      </c>
      <c r="F203" s="2" t="str">
        <f>VLOOKUP(Tabla1[[#This Row],[NRO. PERSONAL]],[2]Sheet1!$A:$S,19,FALSE)</f>
        <v>DEPARTAMENTO DE PEDIATRÍA ESTOMATOLÓGICA</v>
      </c>
      <c r="G203" s="2"/>
      <c r="H203" s="2"/>
    </row>
    <row r="204" spans="1:8" x14ac:dyDescent="0.35">
      <c r="A204">
        <v>203</v>
      </c>
      <c r="B204">
        <v>15943002</v>
      </c>
      <c r="C204" t="s">
        <v>42</v>
      </c>
      <c r="D204" t="str">
        <f>VLOOKUP(B204,[1]Sheet1!$B:$H,7,FALSE)</f>
        <v>GURRUTIA@UTALCA.CL</v>
      </c>
      <c r="E204" t="str">
        <f>VLOOKUP(Tabla1[[#This Row],[NRO. PERSONAL]],[2]Sheet1!$A:$R,18,FALSE)</f>
        <v>FACULTAD DE CIENCIAS DE LA SALUD</v>
      </c>
      <c r="F204" t="str">
        <f>VLOOKUP(Tabla1[[#This Row],[NRO. PERSONAL]],[2]Sheet1!$A:$S,19,FALSE)</f>
        <v>DPTO. DE CIENCIAS DE FONOAUDIOLOGÍA</v>
      </c>
      <c r="G204" s="2"/>
      <c r="H204" s="2"/>
    </row>
    <row r="205" spans="1:8" x14ac:dyDescent="0.35">
      <c r="A205">
        <v>204</v>
      </c>
      <c r="B205">
        <v>16255924</v>
      </c>
      <c r="C205" t="s">
        <v>230</v>
      </c>
      <c r="D205" t="str">
        <f>VLOOKUP(B205,[1]Sheet1!$B:$H,7,FALSE)</f>
        <v>CLAUDIO.VALENZUELA@UTALCA.CL</v>
      </c>
      <c r="E205" t="str">
        <f>VLOOKUP(Tabla1[[#This Row],[NRO. PERSONAL]],[2]Sheet1!$A:$R,18,FALSE)</f>
        <v>FACULTAD DE CIENCIAS DE LA SALUD</v>
      </c>
      <c r="F205" t="str">
        <f>VLOOKUP(Tabla1[[#This Row],[NRO. PERSONAL]],[2]Sheet1!$A:$S,19,FALSE)</f>
        <v>ESCUELA DE OBSTETRICIA Y PUERICULTURA</v>
      </c>
      <c r="G205" s="2"/>
      <c r="H205" s="2"/>
    </row>
    <row r="206" spans="1:8" x14ac:dyDescent="0.35">
      <c r="A206">
        <v>205</v>
      </c>
      <c r="B206">
        <v>18450903</v>
      </c>
      <c r="C206" t="s">
        <v>12</v>
      </c>
      <c r="D206" t="str">
        <f>VLOOKUP(B206,[1]Sheet1!$B:$H,7,FALSE)</f>
        <v>EUVALENZUELA@UTALCA.CL</v>
      </c>
      <c r="E206" t="str">
        <f>VLOOKUP(Tabla1[[#This Row],[NRO. PERSONAL]],[2]Sheet1!$A:$R,18,FALSE)</f>
        <v>FACULTAD DE CIENCIAS DE LA SALUD</v>
      </c>
      <c r="F206" t="str">
        <f>VLOOKUP(Tabla1[[#This Row],[NRO. PERSONAL]],[2]Sheet1!$A:$S,19,FALSE)</f>
        <v>DPTO. DE CIENCIAS BÁSICAS BIOMÉDICAS</v>
      </c>
      <c r="G206" s="2"/>
      <c r="H206" s="2"/>
    </row>
    <row r="207" spans="1:8" x14ac:dyDescent="0.35">
      <c r="A207">
        <v>206</v>
      </c>
      <c r="B207">
        <v>12684156</v>
      </c>
      <c r="C207" t="s">
        <v>124</v>
      </c>
      <c r="D207" t="str">
        <f>VLOOKUP(B207,[1]Sheet1!$B:$H,7,FALSE)</f>
        <v>HVARGAS@UTALCA.CL</v>
      </c>
      <c r="E207" t="str">
        <f>VLOOKUP(Tabla1[[#This Row],[NRO. PERSONAL]],[2]Sheet1!$A:$R,18,FALSE)</f>
        <v>FACULTAD DE PSICOLOGÍA</v>
      </c>
      <c r="F207" t="str">
        <f>VLOOKUP(Tabla1[[#This Row],[NRO. PERSONAL]],[2]Sheet1!$A:$S,19,FALSE)</f>
        <v>FACULTAD DE PSICOLOGÍA</v>
      </c>
      <c r="G207" s="2"/>
      <c r="H207" s="2"/>
    </row>
    <row r="208" spans="1:8" x14ac:dyDescent="0.35">
      <c r="A208">
        <v>207</v>
      </c>
      <c r="B208">
        <v>16001476</v>
      </c>
      <c r="C208" t="s">
        <v>38</v>
      </c>
      <c r="D208" t="str">
        <f>VLOOKUP(B208,[1]Sheet1!$B:$H,7,FALSE)</f>
        <v>MIVASQUEZ@UTALCA.CL</v>
      </c>
      <c r="E208" t="str">
        <f>VLOOKUP(Tabla1[[#This Row],[NRO. PERSONAL]],[2]Sheet1!$A:$R,18,FALSE)</f>
        <v>FACULTAD DE CIENCIAS DE LA SALUD</v>
      </c>
      <c r="F208" t="str">
        <f>VLOOKUP(Tabla1[[#This Row],[NRO. PERSONAL]],[2]Sheet1!$A:$S,19,FALSE)</f>
        <v>DPTO. DE CIENCIAS DE FONOAUDIOLOGÍA</v>
      </c>
      <c r="G208" s="2"/>
      <c r="H208" s="2"/>
    </row>
    <row r="209" spans="1:8" x14ac:dyDescent="0.35">
      <c r="A209">
        <v>208</v>
      </c>
      <c r="B209">
        <v>18197791</v>
      </c>
      <c r="C209" t="s">
        <v>13</v>
      </c>
      <c r="D209" t="str">
        <f>VLOOKUP(B209,[1]Sheet1!$B:$H,7,FALSE)</f>
        <v>EDGAR.VASQUEZ@UTALCA.CL</v>
      </c>
      <c r="E209" t="str">
        <f>VLOOKUP(Tabla1[[#This Row],[NRO. PERSONAL]],[2]Sheet1!$A:$R,18,FALSE)</f>
        <v>FACULTAD DE PSICOLOGÍA</v>
      </c>
      <c r="F209" t="str">
        <f>VLOOKUP(Tabla1[[#This Row],[NRO. PERSONAL]],[2]Sheet1!$A:$S,19,FALSE)</f>
        <v>ESCUELA DE TERAPIA OCUPACIONAL</v>
      </c>
      <c r="G209" s="2"/>
      <c r="H209" s="2"/>
    </row>
    <row r="210" spans="1:8" x14ac:dyDescent="0.35">
      <c r="A210">
        <v>209</v>
      </c>
      <c r="B210">
        <v>14580788</v>
      </c>
      <c r="C210" t="s">
        <v>211</v>
      </c>
      <c r="D210" t="str">
        <f>VLOOKUP(B210,[1]Sheet1!$B:$H,7,FALSE)</f>
        <v>SVASQUEZ@UTALCA.CL</v>
      </c>
      <c r="E210" t="str">
        <f>VLOOKUP(Tabla1[[#This Row],[NRO. PERSONAL]],[2]Sheet1!$A:$R,18,FALSE)</f>
        <v>FACULTAD DE ODONTOLOGÍA</v>
      </c>
      <c r="F210" t="str">
        <f>VLOOKUP(Tabla1[[#This Row],[NRO. PERSONAL]],[2]Sheet1!$A:$S,19,FALSE)</f>
        <v>DEPARTAMENTO DE ESTOMATOLOGÍA</v>
      </c>
      <c r="G210" s="2"/>
      <c r="H210" s="2"/>
    </row>
    <row r="211" spans="1:8" x14ac:dyDescent="0.35">
      <c r="A211">
        <v>210</v>
      </c>
      <c r="B211">
        <v>23559830</v>
      </c>
      <c r="C211" t="s">
        <v>3</v>
      </c>
      <c r="D211" t="str">
        <f>VLOOKUP(B211,[1]Sheet1!$B:$H,7,FALSE)</f>
        <v>DIANA.VASQUEZ@UTALCA.CL</v>
      </c>
      <c r="E211" t="str">
        <f>VLOOKUP(Tabla1[[#This Row],[NRO. PERSONAL]],[2]Sheet1!$A:$R,18,FALSE)</f>
        <v>FACULTAD DE PSICOLOGÍA</v>
      </c>
      <c r="F211" t="str">
        <f>VLOOKUP(Tabla1[[#This Row],[NRO. PERSONAL]],[2]Sheet1!$A:$S,19,FALSE)</f>
        <v>ESCUELA DE TERAPIA OCUPACIONAL</v>
      </c>
      <c r="G211" s="2"/>
      <c r="H211" s="2"/>
    </row>
    <row r="212" spans="1:8" x14ac:dyDescent="0.35">
      <c r="A212">
        <v>211</v>
      </c>
      <c r="B212">
        <v>9655934</v>
      </c>
      <c r="C212" t="s">
        <v>163</v>
      </c>
      <c r="D212" t="str">
        <f>VLOOKUP(B212,[1]Sheet1!$B:$H,7,FALSE)</f>
        <v>MVASQURO@UTALCA.CL</v>
      </c>
      <c r="E212" t="str">
        <f>VLOOKUP(Tabla1[[#This Row],[NRO. PERSONAL]],[2]Sheet1!$A:$R,18,FALSE)</f>
        <v>FACULTAD DE CIENCIAS DE LA SALUD</v>
      </c>
      <c r="F212" t="str">
        <f>VLOOKUP(Tabla1[[#This Row],[NRO. PERSONAL]],[2]Sheet1!$A:$S,19,FALSE)</f>
        <v>DPTO. BIOQUÍM. CLÍN. E INMUNOHEMATOLOGÍA</v>
      </c>
      <c r="G212" s="2"/>
      <c r="H212" s="2"/>
    </row>
    <row r="213" spans="1:8" x14ac:dyDescent="0.35">
      <c r="A213">
        <v>212</v>
      </c>
      <c r="B213">
        <v>17495545</v>
      </c>
      <c r="C213" t="s">
        <v>16</v>
      </c>
      <c r="D213" t="str">
        <f>VLOOKUP(B213,[1]Sheet1!$B:$H,7,FALSE)</f>
        <v>MVELIZ@UTALCA.CL</v>
      </c>
      <c r="E213" t="str">
        <f>VLOOKUP(Tabla1[[#This Row],[NRO. PERSONAL]],[2]Sheet1!$A:$R,18,FALSE)</f>
        <v>FACULTAD DE CIENCIAS DE LA SALUD</v>
      </c>
      <c r="F213" t="str">
        <f>VLOOKUP(Tabla1[[#This Row],[NRO. PERSONAL]],[2]Sheet1!$A:$S,19,FALSE)</f>
        <v>DPTO. BIOQUÍM. CLÍN. E INMUNOHEMATOLOGÍA</v>
      </c>
      <c r="G213" s="2"/>
      <c r="H213" s="2"/>
    </row>
    <row r="214" spans="1:8" x14ac:dyDescent="0.35">
      <c r="A214">
        <v>213</v>
      </c>
      <c r="B214">
        <v>7707241</v>
      </c>
      <c r="C214" t="s">
        <v>134</v>
      </c>
      <c r="D214" t="str">
        <f>VLOOKUP(B214,[1]Sheet1!$B:$H,7,FALSE)</f>
        <v>BVENEGAS@UTALCA.CL</v>
      </c>
      <c r="E214" t="str">
        <f>VLOOKUP(Tabla1[[#This Row],[NRO. PERSONAL]],[2]Sheet1!$A:$R,18,FALSE)</f>
        <v>FACULTAD DE ODONTOLOGÍA</v>
      </c>
      <c r="F214" t="str">
        <f>VLOOKUP(Tabla1[[#This Row],[NRO. PERSONAL]],[2]Sheet1!$A:$S,19,FALSE)</f>
        <v>DEPARTAMENTO DE ESTOMATOLOGÍA</v>
      </c>
      <c r="G214" s="2"/>
      <c r="H214" s="2"/>
    </row>
    <row r="215" spans="1:8" x14ac:dyDescent="0.35">
      <c r="A215">
        <v>214</v>
      </c>
      <c r="B215">
        <v>8690753</v>
      </c>
      <c r="C215" t="s">
        <v>186</v>
      </c>
      <c r="D215" t="str">
        <f>VLOOKUP(B215,[1]Sheet1!$B:$H,7,FALSE)</f>
        <v>LVERAR@UTALCA.CL</v>
      </c>
      <c r="E215" t="str">
        <f>VLOOKUP(Tabla1[[#This Row],[NRO. PERSONAL]],[2]Sheet1!$A:$R,18,FALSE)</f>
        <v>FACULTAD DE CIENCIAS DE LA SALUD</v>
      </c>
      <c r="F215" t="str">
        <f>VLOOKUP(Tabla1[[#This Row],[NRO. PERSONAL]],[2]Sheet1!$A:$S,19,FALSE)</f>
        <v>DPTO. DE CIENCIAS DEL MOVIMIENTO HUMANO</v>
      </c>
      <c r="G215" s="2"/>
      <c r="H215" s="2"/>
    </row>
    <row r="216" spans="1:8" x14ac:dyDescent="0.35">
      <c r="A216">
        <v>215</v>
      </c>
      <c r="B216">
        <v>15155720</v>
      </c>
      <c r="C216" t="s">
        <v>62</v>
      </c>
      <c r="D216" t="str">
        <f>VLOOKUP(B216,[1]Sheet1!$B:$H,7,FALSE)</f>
        <v>PAUVERDUGO@UTALCA.CL</v>
      </c>
      <c r="E216" t="str">
        <f>VLOOKUP(Tabla1[[#This Row],[NRO. PERSONAL]],[2]Sheet1!$A:$R,18,FALSE)</f>
        <v>FACULTAD DE CIENCIAS DE LA EDUCACIÓN</v>
      </c>
      <c r="F216" t="str">
        <f>VLOOKUP(Tabla1[[#This Row],[NRO. PERSONAL]],[2]Sheet1!$A:$S,19,FALSE)</f>
        <v>ESC. PDG.CIENCIAS NATURALES Y EXACTAS</v>
      </c>
      <c r="G216" s="2"/>
      <c r="H216" s="2"/>
    </row>
    <row r="217" spans="1:8" x14ac:dyDescent="0.35">
      <c r="A217">
        <v>216</v>
      </c>
      <c r="B217">
        <v>12093133</v>
      </c>
      <c r="C217" t="s">
        <v>130</v>
      </c>
      <c r="D217" t="str">
        <f>VLOOKUP(B217,[1]Sheet1!$B:$H,7,FALSE)</f>
        <v>JVERDUGO@UTALCA.CL</v>
      </c>
      <c r="E217" t="str">
        <f>VLOOKUP(Tabla1[[#This Row],[NRO. PERSONAL]],[2]Sheet1!$A:$R,18,FALSE)</f>
        <v>FACULTAD DE CIENCIAS DE LA EDUCACIÓN</v>
      </c>
      <c r="F217" t="str">
        <f>VLOOKUP(Tabla1[[#This Row],[NRO. PERSONAL]],[2]Sheet1!$A:$S,19,FALSE)</f>
        <v>ESC. PDG.CIENCIAS NATURALES Y EXACTAS</v>
      </c>
      <c r="G217" s="2"/>
      <c r="H217" s="2"/>
    </row>
    <row r="218" spans="1:8" x14ac:dyDescent="0.35">
      <c r="A218">
        <v>217</v>
      </c>
      <c r="B218">
        <v>13857116</v>
      </c>
      <c r="C218" t="s">
        <v>91</v>
      </c>
      <c r="D218" t="str">
        <f>VLOOKUP(B218,[1]Sheet1!$B:$H,7,FALSE)</f>
        <v>CVIDAL@UTALCA.CL</v>
      </c>
      <c r="E218" t="str">
        <f>VLOOKUP(Tabla1[[#This Row],[NRO. PERSONAL]],[2]Sheet1!$A:$R,18,FALSE)</f>
        <v>FACULTAD DE INGENIERÍA</v>
      </c>
      <c r="F218" t="str">
        <f>VLOOKUP(Tabla1[[#This Row],[NRO. PERSONAL]],[2]Sheet1!$A:$S,19,FALSE)</f>
        <v>DPTO. VISUALI. INTERACTIVA Y REA.VIRTUAL</v>
      </c>
      <c r="G218" s="2"/>
      <c r="H218" s="2"/>
    </row>
    <row r="219" spans="1:8" x14ac:dyDescent="0.35">
      <c r="A219">
        <v>218</v>
      </c>
      <c r="B219">
        <v>13856896</v>
      </c>
      <c r="C219" t="s">
        <v>92</v>
      </c>
      <c r="D219" t="str">
        <f>VLOOKUP(B219,[1]Sheet1!$B:$H,7,FALSE)</f>
        <v>CVILLALOBOS@UTALCA.CL</v>
      </c>
      <c r="E219" t="str">
        <f>VLOOKUP(Tabla1[[#This Row],[NRO. PERSONAL]],[2]Sheet1!$A:$R,18,FALSE)</f>
        <v>FACULTAD DE ECONOMÍA Y NEGOCIOS</v>
      </c>
      <c r="F219" t="str">
        <f>VLOOKUP(Tabla1[[#This Row],[NRO. PERSONAL]],[2]Sheet1!$A:$S,19,FALSE)</f>
        <v>ESCUELA DE INGENIERÍA COMERCIAL DE TALCA</v>
      </c>
      <c r="G219" s="2"/>
      <c r="H219" s="2"/>
    </row>
    <row r="220" spans="1:8" x14ac:dyDescent="0.35">
      <c r="A220">
        <v>219</v>
      </c>
      <c r="B220">
        <v>13450842</v>
      </c>
      <c r="C220" t="s">
        <v>110</v>
      </c>
      <c r="D220" t="str">
        <f>VLOOKUP(B220,[1]Sheet1!$B:$H,7,FALSE)</f>
        <v>AVILLARROEL@UTALCA.CL</v>
      </c>
      <c r="E220" t="str">
        <f>VLOOKUP(Tabla1[[#This Row],[NRO. PERSONAL]],[2]Sheet1!$A:$R,18,FALSE)</f>
        <v>DIRECCIÓN DE PREGRADO</v>
      </c>
      <c r="F220" t="str">
        <f>VLOOKUP(Tabla1[[#This Row],[NRO. PERSONAL]],[2]Sheet1!$A:$S,19,FALSE)</f>
        <v>PROGRAMA DE FORMACIÓN FUNDAMENTAL</v>
      </c>
      <c r="G220" s="2"/>
      <c r="H220" s="2"/>
    </row>
    <row r="221" spans="1:8" x14ac:dyDescent="0.35">
      <c r="A221">
        <v>220</v>
      </c>
      <c r="B221">
        <v>7488503</v>
      </c>
      <c r="C221" t="s">
        <v>118</v>
      </c>
      <c r="D221" t="str">
        <f>VLOOKUP(B221,[1]Sheet1!$B:$H,7,FALSE)</f>
        <v>JVILLASE@UTALCA.CL</v>
      </c>
      <c r="E221" t="str">
        <f>VLOOKUP(Tabla1[[#This Row],[NRO. PERSONAL]],[2]Sheet1!$A:$R,18,FALSE)</f>
        <v>INSTITUTO QUÍMICA DE RECURSOS NATURALES</v>
      </c>
      <c r="F221" t="str">
        <f>VLOOKUP(Tabla1[[#This Row],[NRO. PERSONAL]],[2]Sheet1!$A:$S,19,FALSE)</f>
        <v>INSTITUTO QUÍMICA DE RECURSOS NATURALES</v>
      </c>
      <c r="G221" s="2"/>
      <c r="H221" s="2"/>
    </row>
    <row r="222" spans="1:8" x14ac:dyDescent="0.35">
      <c r="A222">
        <v>221</v>
      </c>
      <c r="B222">
        <v>8937432</v>
      </c>
      <c r="C222" t="s">
        <v>176</v>
      </c>
      <c r="D222" t="str">
        <f>VLOOKUP(B222,[1]Sheet1!$B:$H,7,FALSE)</f>
        <v>MVILLENAS@UTALCA.CL</v>
      </c>
      <c r="E222" t="str">
        <f>VLOOKUP(Tabla1[[#This Row],[NRO. PERSONAL]],[2]Sheet1!$A:$R,18,FALSE)</f>
        <v>INST. ESTUDIOS HUMANÍSTICOS ABATE J.I.M.</v>
      </c>
      <c r="F222" t="str">
        <f>VLOOKUP(Tabla1[[#This Row],[NRO. PERSONAL]],[2]Sheet1!$A:$S,19,FALSE)</f>
        <v>INST. ESTUDIOS HUMANÍSTICOS ABATE J.I.M.</v>
      </c>
      <c r="G222" s="2"/>
      <c r="H222" s="2"/>
    </row>
    <row r="223" spans="1:8" x14ac:dyDescent="0.35">
      <c r="A223">
        <v>222</v>
      </c>
      <c r="B223">
        <v>14325568</v>
      </c>
      <c r="C223" t="s">
        <v>80</v>
      </c>
      <c r="D223" t="str">
        <f>VLOOKUP(B223,[1]Sheet1!$B:$H,7,FALSE)</f>
        <v>SNUNEZ@UTALCA.CL</v>
      </c>
      <c r="E223" t="str">
        <f>VLOOKUP(Tabla1[[#This Row],[NRO. PERSONAL]],[2]Sheet1!$A:$R,18,FALSE)</f>
        <v>FACULTAD DE CIENCIAS DE LA SALUD</v>
      </c>
      <c r="F223" t="str">
        <f>VLOOKUP(Tabla1[[#This Row],[NRO. PERSONAL]],[2]Sheet1!$A:$S,19,FALSE)</f>
        <v>DPTO. BIOQUÍM. CLÍN. E INMUNOHEMATOLOGÍA</v>
      </c>
      <c r="G223" s="2"/>
      <c r="H223" s="2"/>
    </row>
    <row r="224" spans="1:8" x14ac:dyDescent="0.35">
      <c r="A224">
        <v>223</v>
      </c>
      <c r="B224">
        <v>7223921</v>
      </c>
      <c r="C224" t="s">
        <v>95</v>
      </c>
      <c r="D224" t="str">
        <f>VLOOKUP(B224,[1]Sheet1!$B:$H,7,FALSE)</f>
        <v>MWILLSON@UTALCA.CL</v>
      </c>
      <c r="E224" t="str">
        <f>VLOOKUP(Tabla1[[#This Row],[NRO. PERSONAL]],[2]Sheet1!$A:$R,18,FALSE)</f>
        <v>FACULTAD DE CIENCIAS DE LA SALUD</v>
      </c>
      <c r="F224" t="str">
        <f>VLOOKUP(Tabla1[[#This Row],[NRO. PERSONAL]],[2]Sheet1!$A:$S,19,FALSE)</f>
        <v>DEPTO. CIENCIAS DE LA NUT. Y ALIMENTOS</v>
      </c>
      <c r="G224" s="2"/>
      <c r="H224" s="2"/>
    </row>
    <row r="225" spans="1:8" x14ac:dyDescent="0.35">
      <c r="A225">
        <v>224</v>
      </c>
      <c r="B225">
        <v>25503818</v>
      </c>
      <c r="C225" t="s">
        <v>212</v>
      </c>
      <c r="D225" t="str">
        <f>VLOOKUP(B225,[1]Sheet1!$B:$H,7,FALSE)</f>
        <v>IWONG@UTALCA.CL</v>
      </c>
      <c r="E225" t="str">
        <f>VLOOKUP(Tabla1[[#This Row],[NRO. PERSONAL]],[2]Sheet1!$A:$R,18,FALSE)</f>
        <v>FACULTAD DE ARQUITECTUR, MÚSICA Y DISEÑO</v>
      </c>
      <c r="F225" t="str">
        <f>VLOOKUP(Tabla1[[#This Row],[NRO. PERSONAL]],[2]Sheet1!$A:$S,19,FALSE)</f>
        <v>DEPTO. DE INTERP. Y FORM. MUSICAL ESPEC.</v>
      </c>
      <c r="G225" s="2"/>
      <c r="H225" s="2"/>
    </row>
    <row r="226" spans="1:8" x14ac:dyDescent="0.35">
      <c r="A226">
        <v>225</v>
      </c>
      <c r="B226">
        <v>12159402</v>
      </c>
      <c r="C226" t="s">
        <v>129</v>
      </c>
      <c r="D226" t="str">
        <f>VLOOKUP(B226,[1]Sheet1!$B:$H,7,FALSE)</f>
        <v>CZAMBRANO@UTALCA.CL</v>
      </c>
      <c r="E226" t="str">
        <f>VLOOKUP(Tabla1[[#This Row],[NRO. PERSONAL]],[2]Sheet1!$A:$R,18,FALSE)</f>
        <v>FACULTAD DE CIENCIAS DE LA SALUD</v>
      </c>
      <c r="F226" t="str">
        <f>VLOOKUP(Tabla1[[#This Row],[NRO. PERSONAL]],[2]Sheet1!$A:$S,19,FALSE)</f>
        <v>DPTO. DE CIENCIAS DEL MOVIMIENTO HUMANO</v>
      </c>
      <c r="G226" s="2"/>
      <c r="H226" s="2"/>
    </row>
    <row r="227" spans="1:8" x14ac:dyDescent="0.35">
      <c r="A227">
        <v>226</v>
      </c>
      <c r="B227">
        <v>5674705</v>
      </c>
      <c r="C227" t="s">
        <v>8</v>
      </c>
      <c r="D227" t="str">
        <f>VLOOKUP(B227,[1]Sheet1!$B:$H,7,FALSE)</f>
        <v>PZAMOPER@UTALCA.CL</v>
      </c>
      <c r="E227" t="str">
        <f>VLOOKUP(Tabla1[[#This Row],[NRO. PERSONAL]],[2]Sheet1!$A:$R,18,FALSE)</f>
        <v>INST. ESTUDIOS HUMANÍSTICOS ABATE J.I.M.</v>
      </c>
      <c r="F227" t="str">
        <f>VLOOKUP(Tabla1[[#This Row],[NRO. PERSONAL]],[2]Sheet1!$A:$S,19,FALSE)</f>
        <v>INST. ESTUDIOS HUMANÍSTICOS ABATE J.I.M.</v>
      </c>
      <c r="G227" s="2"/>
      <c r="H227" s="2"/>
    </row>
    <row r="228" spans="1:8" x14ac:dyDescent="0.35">
      <c r="A228">
        <v>227</v>
      </c>
      <c r="B228">
        <v>13765940</v>
      </c>
      <c r="C228" t="s">
        <v>96</v>
      </c>
      <c r="D228" t="str">
        <f>VLOOKUP(B228,[1]Sheet1!$B:$H,7,FALSE)</f>
        <v>CZENTENO@UTALCA.CL</v>
      </c>
      <c r="E228" t="str">
        <f>VLOOKUP(Tabla1[[#This Row],[NRO. PERSONAL]],[2]Sheet1!$A:$R,18,FALSE)</f>
        <v>FACULTAD DE CIENCIAS DE LA SALUD</v>
      </c>
      <c r="F228" t="str">
        <f>VLOOKUP(Tabla1[[#This Row],[NRO. PERSONAL]],[2]Sheet1!$A:$S,19,FALSE)</f>
        <v>DEPTO. CIENCIAS DEL CUIDADO EN ENFERM.</v>
      </c>
      <c r="G228" s="2"/>
      <c r="H228" s="2"/>
    </row>
    <row r="229" spans="1:8" x14ac:dyDescent="0.35">
      <c r="A229">
        <v>228</v>
      </c>
      <c r="B229">
        <v>14200190</v>
      </c>
      <c r="C229" t="s">
        <v>83</v>
      </c>
      <c r="D229" t="str">
        <f>VLOOKUP(B229,[1]Sheet1!$B:$H,7,FALSE)</f>
        <v>JEZUNIGA@UTALCA.CL</v>
      </c>
      <c r="E229" t="str">
        <f>VLOOKUP(Tabla1[[#This Row],[NRO. PERSONAL]],[2]Sheet1!$A:$R,18,FALSE)</f>
        <v>FACULTAD DE CIENCIAS DE LA SALUD</v>
      </c>
      <c r="F229" t="str">
        <f>VLOOKUP(Tabla1[[#This Row],[NRO. PERSONAL]],[2]Sheet1!$A:$S,19,FALSE)</f>
        <v>DPTO. DE CIENCIAS BÁSICAS BIOMÉDICAS</v>
      </c>
      <c r="G229" s="2"/>
      <c r="H229" s="2"/>
    </row>
  </sheetData>
  <hyperlinks>
    <hyperlink ref="D46" r:id="rId1" xr:uid="{F1E5CEF9-4E2B-4BBF-9878-435B08A651DC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280D-D146-495F-9008-013D1536CAD6}">
  <dimension ref="A1:J230"/>
  <sheetViews>
    <sheetView tabSelected="1" workbookViewId="0">
      <selection activeCell="K19" sqref="K19"/>
    </sheetView>
  </sheetViews>
  <sheetFormatPr baseColWidth="10" defaultRowHeight="14.5" x14ac:dyDescent="0.35"/>
  <cols>
    <col min="1" max="1" width="3.81640625" bestFit="1" customWidth="1"/>
    <col min="2" max="2" width="14.453125" bestFit="1" customWidth="1"/>
    <col min="3" max="3" width="39.36328125" customWidth="1"/>
    <col min="4" max="4" width="30.81640625" bestFit="1" customWidth="1"/>
    <col min="5" max="5" width="40.36328125" bestFit="1" customWidth="1"/>
    <col min="6" max="6" width="42.6328125" customWidth="1"/>
    <col min="7" max="7" width="15.81640625" style="3" bestFit="1" customWidth="1"/>
    <col min="8" max="8" width="11.81640625" style="3" bestFit="1" customWidth="1"/>
    <col min="9" max="9" width="11.81640625" style="3" customWidth="1"/>
  </cols>
  <sheetData>
    <row r="1" spans="1:10" s="6" customFormat="1" ht="29.5" thickBot="1" x14ac:dyDescent="0.4">
      <c r="A1" s="4" t="s">
        <v>193</v>
      </c>
      <c r="B1" s="4" t="s">
        <v>192</v>
      </c>
      <c r="C1" s="4" t="s">
        <v>191</v>
      </c>
      <c r="D1" s="4" t="s">
        <v>190</v>
      </c>
      <c r="E1" s="4" t="s">
        <v>214</v>
      </c>
      <c r="F1" s="4" t="s">
        <v>215</v>
      </c>
      <c r="G1" s="5" t="s">
        <v>235</v>
      </c>
      <c r="H1" s="5" t="s">
        <v>236</v>
      </c>
      <c r="I1" s="5" t="s">
        <v>524</v>
      </c>
      <c r="J1" s="7">
        <v>40859.279999999999</v>
      </c>
    </row>
    <row r="2" spans="1:10" x14ac:dyDescent="0.35">
      <c r="A2">
        <v>1</v>
      </c>
      <c r="B2">
        <v>13077406</v>
      </c>
      <c r="C2" t="s">
        <v>119</v>
      </c>
      <c r="D2" t="s">
        <v>237</v>
      </c>
      <c r="E2" t="s">
        <v>238</v>
      </c>
      <c r="F2" t="s">
        <v>239</v>
      </c>
      <c r="G2" s="3">
        <f>0.15*$J$1</f>
        <v>6128.8919999999998</v>
      </c>
      <c r="H2" s="3">
        <f>+_xlfn.XLOOKUP(B2&amp;"-*",[3]Hoja1!$E:$E,[3]Hoja1!$AC:$AC,0,2)</f>
        <v>0</v>
      </c>
      <c r="I2" s="3">
        <f>+G2+H2</f>
        <v>6128.8919999999998</v>
      </c>
    </row>
    <row r="3" spans="1:10" x14ac:dyDescent="0.35">
      <c r="A3">
        <v>2</v>
      </c>
      <c r="B3">
        <v>16997754</v>
      </c>
      <c r="C3" t="s">
        <v>22</v>
      </c>
      <c r="D3" t="s">
        <v>240</v>
      </c>
      <c r="E3" t="s">
        <v>238</v>
      </c>
      <c r="F3" t="s">
        <v>241</v>
      </c>
      <c r="G3" s="3">
        <f t="shared" ref="G3:G66" si="0">0.15*$J$1</f>
        <v>6128.8919999999998</v>
      </c>
      <c r="H3" s="3">
        <f>+_xlfn.XLOOKUP(B3&amp;"-*",[3]Hoja1!$E:$E,[3]Hoja1!$AC:$AC,0,2)</f>
        <v>76677.258496900002</v>
      </c>
      <c r="I3" s="3">
        <f t="shared" ref="I3:I66" si="1">+G3+H3</f>
        <v>82806.150496899994</v>
      </c>
    </row>
    <row r="4" spans="1:10" x14ac:dyDescent="0.35">
      <c r="A4">
        <v>3</v>
      </c>
      <c r="B4">
        <v>10764734</v>
      </c>
      <c r="C4" t="s">
        <v>145</v>
      </c>
      <c r="D4" t="s">
        <v>242</v>
      </c>
      <c r="E4" t="s">
        <v>243</v>
      </c>
      <c r="F4" t="s">
        <v>244</v>
      </c>
      <c r="G4" s="3">
        <f t="shared" si="0"/>
        <v>6128.8919999999998</v>
      </c>
      <c r="H4" s="3">
        <f>+_xlfn.XLOOKUP(B4&amp;"-*",[3]Hoja1!$E:$E,[3]Hoja1!$AC:$AC,0,2)</f>
        <v>0</v>
      </c>
      <c r="I4" s="3">
        <f t="shared" si="1"/>
        <v>6128.8919999999998</v>
      </c>
    </row>
    <row r="5" spans="1:10" x14ac:dyDescent="0.35">
      <c r="A5">
        <v>4</v>
      </c>
      <c r="B5">
        <v>13371939</v>
      </c>
      <c r="C5" t="s">
        <v>111</v>
      </c>
      <c r="D5" t="s">
        <v>245</v>
      </c>
      <c r="E5" t="s">
        <v>238</v>
      </c>
      <c r="F5" t="s">
        <v>246</v>
      </c>
      <c r="G5" s="3">
        <f t="shared" si="0"/>
        <v>6128.8919999999998</v>
      </c>
      <c r="H5" s="3">
        <f>+_xlfn.XLOOKUP(B5&amp;"-*",[3]Hoja1!$E:$E,[3]Hoja1!$AC:$AC,0,2)</f>
        <v>0</v>
      </c>
      <c r="I5" s="3">
        <f t="shared" si="1"/>
        <v>6128.8919999999998</v>
      </c>
    </row>
    <row r="6" spans="1:10" x14ac:dyDescent="0.35">
      <c r="A6">
        <v>5</v>
      </c>
      <c r="B6">
        <v>15013097</v>
      </c>
      <c r="C6" t="s">
        <v>217</v>
      </c>
      <c r="D6" t="s">
        <v>247</v>
      </c>
      <c r="E6" t="s">
        <v>248</v>
      </c>
      <c r="F6" t="s">
        <v>249</v>
      </c>
      <c r="G6" s="3">
        <f t="shared" si="0"/>
        <v>6128.8919999999998</v>
      </c>
      <c r="H6" s="3">
        <f>+_xlfn.XLOOKUP(B6&amp;"-*",[3]Hoja1!$E:$E,[3]Hoja1!$AC:$AC,0,2)</f>
        <v>0</v>
      </c>
      <c r="I6" s="3">
        <f t="shared" si="1"/>
        <v>6128.8919999999998</v>
      </c>
    </row>
    <row r="7" spans="1:10" x14ac:dyDescent="0.35">
      <c r="A7">
        <v>6</v>
      </c>
      <c r="B7">
        <v>11288477</v>
      </c>
      <c r="C7" t="s">
        <v>137</v>
      </c>
      <c r="D7" t="s">
        <v>250</v>
      </c>
      <c r="E7" t="s">
        <v>251</v>
      </c>
      <c r="F7" t="s">
        <v>252</v>
      </c>
      <c r="G7" s="3">
        <f t="shared" si="0"/>
        <v>6128.8919999999998</v>
      </c>
      <c r="H7" s="3">
        <f>+_xlfn.XLOOKUP(B7&amp;"-*",[3]Hoja1!$E:$E,[3]Hoja1!$AC:$AC,0,2)</f>
        <v>23114.217786699999</v>
      </c>
      <c r="I7" s="3">
        <f t="shared" si="1"/>
        <v>29243.109786699999</v>
      </c>
    </row>
    <row r="8" spans="1:10" x14ac:dyDescent="0.35">
      <c r="A8">
        <v>7</v>
      </c>
      <c r="B8">
        <v>13612039</v>
      </c>
      <c r="C8" t="s">
        <v>100</v>
      </c>
      <c r="D8" t="s">
        <v>253</v>
      </c>
      <c r="E8" t="s">
        <v>238</v>
      </c>
      <c r="F8" t="s">
        <v>241</v>
      </c>
      <c r="G8" s="3">
        <f t="shared" si="0"/>
        <v>6128.8919999999998</v>
      </c>
      <c r="H8" s="3">
        <f>+_xlfn.XLOOKUP(B8&amp;"-*",[3]Hoja1!$E:$E,[3]Hoja1!$AC:$AC,0,2)</f>
        <v>0</v>
      </c>
      <c r="I8" s="3">
        <f t="shared" si="1"/>
        <v>6128.8919999999998</v>
      </c>
    </row>
    <row r="9" spans="1:10" x14ac:dyDescent="0.35">
      <c r="A9">
        <v>8</v>
      </c>
      <c r="B9">
        <v>16454320</v>
      </c>
      <c r="C9" t="s">
        <v>30</v>
      </c>
      <c r="D9" t="s">
        <v>254</v>
      </c>
      <c r="E9" t="s">
        <v>238</v>
      </c>
      <c r="F9" t="s">
        <v>255</v>
      </c>
      <c r="G9" s="3">
        <f t="shared" si="0"/>
        <v>6128.8919999999998</v>
      </c>
      <c r="H9" s="3">
        <f>+_xlfn.XLOOKUP(B9&amp;"-*",[3]Hoja1!$E:$E,[3]Hoja1!$AC:$AC,0,2)</f>
        <v>89946.505424200004</v>
      </c>
      <c r="I9" s="3">
        <f t="shared" si="1"/>
        <v>96075.397424199997</v>
      </c>
    </row>
    <row r="10" spans="1:10" x14ac:dyDescent="0.35">
      <c r="A10">
        <v>9</v>
      </c>
      <c r="B10">
        <v>13454341</v>
      </c>
      <c r="C10" t="s">
        <v>109</v>
      </c>
      <c r="D10" t="s">
        <v>256</v>
      </c>
      <c r="E10" t="s">
        <v>238</v>
      </c>
      <c r="F10" t="s">
        <v>257</v>
      </c>
      <c r="G10" s="3">
        <f t="shared" si="0"/>
        <v>6128.8919999999998</v>
      </c>
      <c r="H10" s="3">
        <f>+_xlfn.XLOOKUP(B10&amp;"-*",[3]Hoja1!$E:$E,[3]Hoja1!$AC:$AC,0,2)</f>
        <v>46396.156534599999</v>
      </c>
      <c r="I10" s="3">
        <f t="shared" si="1"/>
        <v>52525.048534599999</v>
      </c>
    </row>
    <row r="11" spans="1:10" x14ac:dyDescent="0.35">
      <c r="A11">
        <v>10</v>
      </c>
      <c r="B11">
        <v>13776374</v>
      </c>
      <c r="C11" t="s">
        <v>93</v>
      </c>
      <c r="D11" t="s">
        <v>258</v>
      </c>
      <c r="E11" t="s">
        <v>248</v>
      </c>
      <c r="F11" t="s">
        <v>259</v>
      </c>
      <c r="G11" s="3">
        <f t="shared" si="0"/>
        <v>6128.8919999999998</v>
      </c>
      <c r="H11" s="3">
        <f>+_xlfn.XLOOKUP(B11&amp;"-*",[3]Hoja1!$E:$E,[3]Hoja1!$AC:$AC,0,2)</f>
        <v>0</v>
      </c>
      <c r="I11" s="3">
        <f t="shared" si="1"/>
        <v>6128.8919999999998</v>
      </c>
    </row>
    <row r="12" spans="1:10" x14ac:dyDescent="0.35">
      <c r="A12">
        <v>11</v>
      </c>
      <c r="B12">
        <v>17059038</v>
      </c>
      <c r="C12" t="s">
        <v>19</v>
      </c>
      <c r="D12" t="s">
        <v>260</v>
      </c>
      <c r="E12" t="s">
        <v>251</v>
      </c>
      <c r="F12" t="s">
        <v>252</v>
      </c>
      <c r="G12" s="3">
        <f t="shared" si="0"/>
        <v>6128.8919999999998</v>
      </c>
      <c r="H12" s="3">
        <f>+_xlfn.XLOOKUP(B12&amp;"-*",[3]Hoja1!$E:$E,[3]Hoja1!$AC:$AC,0,2)</f>
        <v>0</v>
      </c>
      <c r="I12" s="3">
        <f t="shared" si="1"/>
        <v>6128.8919999999998</v>
      </c>
    </row>
    <row r="13" spans="1:10" x14ac:dyDescent="0.35">
      <c r="A13">
        <v>12</v>
      </c>
      <c r="B13">
        <v>13895761</v>
      </c>
      <c r="C13" t="s">
        <v>88</v>
      </c>
      <c r="D13" t="s">
        <v>261</v>
      </c>
      <c r="E13" t="s">
        <v>248</v>
      </c>
      <c r="F13" t="s">
        <v>262</v>
      </c>
      <c r="G13" s="3">
        <f t="shared" si="0"/>
        <v>6128.8919999999998</v>
      </c>
      <c r="H13" s="3">
        <f>+_xlfn.XLOOKUP(B13&amp;"-*",[3]Hoja1!$E:$E,[3]Hoja1!$AC:$AC,0,2)</f>
        <v>0</v>
      </c>
      <c r="I13" s="3">
        <f t="shared" si="1"/>
        <v>6128.8919999999998</v>
      </c>
    </row>
    <row r="14" spans="1:10" x14ac:dyDescent="0.35">
      <c r="A14">
        <v>13</v>
      </c>
      <c r="B14">
        <v>15144619</v>
      </c>
      <c r="C14" t="s">
        <v>63</v>
      </c>
      <c r="D14" t="s">
        <v>263</v>
      </c>
      <c r="E14" t="s">
        <v>238</v>
      </c>
      <c r="F14" t="s">
        <v>241</v>
      </c>
      <c r="G14" s="3">
        <f t="shared" si="0"/>
        <v>6128.8919999999998</v>
      </c>
      <c r="H14" s="3">
        <f>+_xlfn.XLOOKUP(B14&amp;"-*",[3]Hoja1!$E:$E,[3]Hoja1!$AC:$AC,0,2)</f>
        <v>0</v>
      </c>
      <c r="I14" s="3">
        <f t="shared" si="1"/>
        <v>6128.8919999999998</v>
      </c>
    </row>
    <row r="15" spans="1:10" x14ac:dyDescent="0.35">
      <c r="A15">
        <v>14</v>
      </c>
      <c r="B15">
        <v>13137660</v>
      </c>
      <c r="C15" t="s">
        <v>117</v>
      </c>
      <c r="D15" t="s">
        <v>264</v>
      </c>
      <c r="E15" t="s">
        <v>248</v>
      </c>
      <c r="F15" t="s">
        <v>262</v>
      </c>
      <c r="G15" s="3">
        <f t="shared" si="0"/>
        <v>6128.8919999999998</v>
      </c>
      <c r="H15" s="3">
        <f>+_xlfn.XLOOKUP(B15&amp;"-*",[3]Hoja1!$E:$E,[3]Hoja1!$AC:$AC,0,2)</f>
        <v>0</v>
      </c>
      <c r="I15" s="3">
        <f t="shared" si="1"/>
        <v>6128.8919999999998</v>
      </c>
    </row>
    <row r="16" spans="1:10" x14ac:dyDescent="0.35">
      <c r="A16">
        <v>15</v>
      </c>
      <c r="B16">
        <v>9803981</v>
      </c>
      <c r="C16" t="s">
        <v>162</v>
      </c>
      <c r="D16" t="s">
        <v>265</v>
      </c>
      <c r="E16" t="s">
        <v>238</v>
      </c>
      <c r="F16" t="s">
        <v>241</v>
      </c>
      <c r="G16" s="3">
        <f t="shared" si="0"/>
        <v>6128.8919999999998</v>
      </c>
      <c r="H16" s="3">
        <f>+_xlfn.XLOOKUP(B16&amp;"-*",[3]Hoja1!$E:$E,[3]Hoja1!$AC:$AC,0,2)</f>
        <v>0</v>
      </c>
      <c r="I16" s="3">
        <f t="shared" si="1"/>
        <v>6128.8919999999998</v>
      </c>
    </row>
    <row r="17" spans="1:9" x14ac:dyDescent="0.35">
      <c r="A17">
        <v>16</v>
      </c>
      <c r="B17">
        <v>13699261</v>
      </c>
      <c r="C17" t="s">
        <v>233</v>
      </c>
      <c r="D17" t="s">
        <v>266</v>
      </c>
      <c r="E17" t="s">
        <v>267</v>
      </c>
      <c r="F17" t="s">
        <v>267</v>
      </c>
      <c r="G17" s="3">
        <f t="shared" si="0"/>
        <v>6128.8919999999998</v>
      </c>
      <c r="H17" s="3">
        <f>+_xlfn.XLOOKUP(B17&amp;"-*",[3]Hoja1!$E:$E,[3]Hoja1!$AC:$AC,0,2)</f>
        <v>23114.217786699999</v>
      </c>
      <c r="I17" s="3">
        <f t="shared" si="1"/>
        <v>29243.109786699999</v>
      </c>
    </row>
    <row r="18" spans="1:9" x14ac:dyDescent="0.35">
      <c r="A18">
        <v>17</v>
      </c>
      <c r="B18">
        <v>15617614</v>
      </c>
      <c r="C18" t="s">
        <v>52</v>
      </c>
      <c r="D18" t="s">
        <v>268</v>
      </c>
      <c r="E18" t="s">
        <v>238</v>
      </c>
      <c r="F18" t="s">
        <v>269</v>
      </c>
      <c r="G18" s="3">
        <f t="shared" si="0"/>
        <v>6128.8919999999998</v>
      </c>
      <c r="H18" s="3">
        <f>+_xlfn.XLOOKUP(B18&amp;"-*",[3]Hoja1!$E:$E,[3]Hoja1!$AC:$AC,0,2)</f>
        <v>0</v>
      </c>
      <c r="I18" s="3">
        <f t="shared" si="1"/>
        <v>6128.8919999999998</v>
      </c>
    </row>
    <row r="19" spans="1:9" x14ac:dyDescent="0.35">
      <c r="A19">
        <v>18</v>
      </c>
      <c r="B19">
        <v>17187067</v>
      </c>
      <c r="C19" t="s">
        <v>18</v>
      </c>
      <c r="D19" t="s">
        <v>270</v>
      </c>
      <c r="E19" t="s">
        <v>238</v>
      </c>
      <c r="F19" t="s">
        <v>246</v>
      </c>
      <c r="G19" s="3">
        <f t="shared" si="0"/>
        <v>6128.8919999999998</v>
      </c>
      <c r="H19" s="3">
        <f>+_xlfn.XLOOKUP(B19&amp;"-*",[3]Hoja1!$E:$E,[3]Hoja1!$AC:$AC,0,2)</f>
        <v>0</v>
      </c>
      <c r="I19" s="3">
        <f t="shared" si="1"/>
        <v>6128.8919999999998</v>
      </c>
    </row>
    <row r="20" spans="1:9" x14ac:dyDescent="0.35">
      <c r="A20">
        <v>19</v>
      </c>
      <c r="B20">
        <v>9193027</v>
      </c>
      <c r="C20" t="s">
        <v>170</v>
      </c>
      <c r="D20" t="s">
        <v>271</v>
      </c>
      <c r="E20" t="s">
        <v>267</v>
      </c>
      <c r="F20" t="s">
        <v>272</v>
      </c>
      <c r="G20" s="3">
        <f t="shared" si="0"/>
        <v>6128.8919999999998</v>
      </c>
      <c r="H20" s="3">
        <f>+_xlfn.XLOOKUP(B20&amp;"-*",[3]Hoja1!$E:$E,[3]Hoja1!$AC:$AC,0,2)</f>
        <v>0</v>
      </c>
      <c r="I20" s="3">
        <f t="shared" si="1"/>
        <v>6128.8919999999998</v>
      </c>
    </row>
    <row r="21" spans="1:9" x14ac:dyDescent="0.35">
      <c r="A21">
        <v>20</v>
      </c>
      <c r="B21">
        <v>22110036</v>
      </c>
      <c r="C21" t="s">
        <v>7</v>
      </c>
      <c r="D21" t="s">
        <v>273</v>
      </c>
      <c r="E21" t="s">
        <v>248</v>
      </c>
      <c r="F21" t="s">
        <v>262</v>
      </c>
      <c r="G21" s="3">
        <f t="shared" si="0"/>
        <v>6128.8919999999998</v>
      </c>
      <c r="H21" s="3">
        <f>+_xlfn.XLOOKUP(B21&amp;"-*",[3]Hoja1!$E:$E,[3]Hoja1!$AC:$AC,0,2)</f>
        <v>0</v>
      </c>
      <c r="I21" s="3">
        <f t="shared" si="1"/>
        <v>6128.8919999999998</v>
      </c>
    </row>
    <row r="22" spans="1:9" x14ac:dyDescent="0.35">
      <c r="A22">
        <v>21</v>
      </c>
      <c r="B22">
        <v>9371495</v>
      </c>
      <c r="C22" t="s">
        <v>167</v>
      </c>
      <c r="D22" t="s">
        <v>274</v>
      </c>
      <c r="E22" t="s">
        <v>275</v>
      </c>
      <c r="F22" t="s">
        <v>275</v>
      </c>
      <c r="G22" s="3">
        <f t="shared" si="0"/>
        <v>6128.8919999999998</v>
      </c>
      <c r="H22" s="3">
        <f>+_xlfn.XLOOKUP(B22&amp;"-*",[3]Hoja1!$E:$E,[3]Hoja1!$AC:$AC,0,2)</f>
        <v>0</v>
      </c>
      <c r="I22" s="3">
        <f t="shared" si="1"/>
        <v>6128.8919999999998</v>
      </c>
    </row>
    <row r="23" spans="1:9" x14ac:dyDescent="0.35">
      <c r="A23">
        <v>22</v>
      </c>
      <c r="B23">
        <v>15598255</v>
      </c>
      <c r="C23" t="s">
        <v>54</v>
      </c>
      <c r="D23" t="s">
        <v>276</v>
      </c>
      <c r="E23" t="s">
        <v>238</v>
      </c>
      <c r="F23" t="s">
        <v>239</v>
      </c>
      <c r="G23" s="3">
        <f t="shared" si="0"/>
        <v>6128.8919999999998</v>
      </c>
      <c r="H23" s="3">
        <f>+_xlfn.XLOOKUP(B23&amp;"-*",[3]Hoja1!$E:$E,[3]Hoja1!$AC:$AC,0,2)</f>
        <v>0</v>
      </c>
      <c r="I23" s="3">
        <f t="shared" si="1"/>
        <v>6128.8919999999998</v>
      </c>
    </row>
    <row r="24" spans="1:9" x14ac:dyDescent="0.35">
      <c r="A24">
        <v>23</v>
      </c>
      <c r="B24">
        <v>14096334</v>
      </c>
      <c r="C24" t="s">
        <v>224</v>
      </c>
      <c r="D24" t="s">
        <v>277</v>
      </c>
      <c r="E24" t="s">
        <v>248</v>
      </c>
      <c r="F24" t="s">
        <v>278</v>
      </c>
      <c r="G24" s="3">
        <f t="shared" si="0"/>
        <v>6128.8919999999998</v>
      </c>
      <c r="H24" s="3">
        <f>+_xlfn.XLOOKUP(B24&amp;"-*",[3]Hoja1!$E:$E,[3]Hoja1!$AC:$AC,0,2)</f>
        <v>46396.156534599999</v>
      </c>
      <c r="I24" s="3">
        <f t="shared" si="1"/>
        <v>52525.048534599999</v>
      </c>
    </row>
    <row r="25" spans="1:9" x14ac:dyDescent="0.35">
      <c r="A25">
        <v>24</v>
      </c>
      <c r="B25">
        <v>7354667</v>
      </c>
      <c r="C25" t="s">
        <v>204</v>
      </c>
      <c r="D25" t="s">
        <v>279</v>
      </c>
      <c r="E25" t="s">
        <v>243</v>
      </c>
      <c r="F25" t="s">
        <v>280</v>
      </c>
      <c r="G25" s="3">
        <f t="shared" si="0"/>
        <v>6128.8919999999998</v>
      </c>
      <c r="H25" s="3">
        <f>+_xlfn.XLOOKUP(B25&amp;"-*",[3]Hoja1!$E:$E,[3]Hoja1!$AC:$AC,0,2)</f>
        <v>0</v>
      </c>
      <c r="I25" s="3">
        <f t="shared" si="1"/>
        <v>6128.8919999999998</v>
      </c>
    </row>
    <row r="26" spans="1:9" x14ac:dyDescent="0.35">
      <c r="A26">
        <v>25</v>
      </c>
      <c r="B26">
        <v>14372571</v>
      </c>
      <c r="C26" t="s">
        <v>79</v>
      </c>
      <c r="D26" t="s">
        <v>281</v>
      </c>
      <c r="E26" t="s">
        <v>251</v>
      </c>
      <c r="F26" t="s">
        <v>282</v>
      </c>
      <c r="G26" s="3">
        <f t="shared" si="0"/>
        <v>6128.8919999999998</v>
      </c>
      <c r="H26" s="3">
        <f>+_xlfn.XLOOKUP(B26&amp;"-*",[3]Hoja1!$E:$E,[3]Hoja1!$AC:$AC,0,2)</f>
        <v>33126.909607299996</v>
      </c>
      <c r="I26" s="3">
        <f t="shared" si="1"/>
        <v>39255.801607299996</v>
      </c>
    </row>
    <row r="27" spans="1:9" x14ac:dyDescent="0.35">
      <c r="A27">
        <v>26</v>
      </c>
      <c r="B27">
        <v>10460707</v>
      </c>
      <c r="C27" t="s">
        <v>150</v>
      </c>
      <c r="D27" t="s">
        <v>283</v>
      </c>
      <c r="E27" t="s">
        <v>243</v>
      </c>
      <c r="F27" t="s">
        <v>244</v>
      </c>
      <c r="G27" s="3">
        <f t="shared" si="0"/>
        <v>6128.8919999999998</v>
      </c>
      <c r="H27" s="3">
        <f>+_xlfn.XLOOKUP(B27&amp;"-*",[3]Hoja1!$E:$E,[3]Hoja1!$AC:$AC,0,2)</f>
        <v>0</v>
      </c>
      <c r="I27" s="3">
        <f t="shared" si="1"/>
        <v>6128.8919999999998</v>
      </c>
    </row>
    <row r="28" spans="1:9" x14ac:dyDescent="0.35">
      <c r="A28">
        <v>27</v>
      </c>
      <c r="B28">
        <v>15991682</v>
      </c>
      <c r="C28" t="s">
        <v>39</v>
      </c>
      <c r="D28" t="s">
        <v>284</v>
      </c>
      <c r="E28" t="s">
        <v>238</v>
      </c>
      <c r="F28" t="s">
        <v>285</v>
      </c>
      <c r="G28" s="3">
        <f t="shared" si="0"/>
        <v>6128.8919999999998</v>
      </c>
      <c r="H28" s="3">
        <f>+_xlfn.XLOOKUP(B28&amp;"-*",[3]Hoja1!$E:$E,[3]Hoja1!$AC:$AC,0,2)</f>
        <v>89946.505424200004</v>
      </c>
      <c r="I28" s="3">
        <f t="shared" si="1"/>
        <v>96075.397424199997</v>
      </c>
    </row>
    <row r="29" spans="1:9" x14ac:dyDescent="0.35">
      <c r="A29">
        <v>28</v>
      </c>
      <c r="B29">
        <v>22277695</v>
      </c>
      <c r="C29" t="s">
        <v>5</v>
      </c>
      <c r="D29" t="s">
        <v>286</v>
      </c>
      <c r="E29" t="s">
        <v>251</v>
      </c>
      <c r="F29" t="s">
        <v>287</v>
      </c>
      <c r="G29" s="3">
        <f t="shared" si="0"/>
        <v>6128.8919999999998</v>
      </c>
      <c r="H29" s="3">
        <f>+_xlfn.XLOOKUP(B29&amp;"-*",[3]Hoja1!$E:$E,[3]Hoja1!$AC:$AC,0,2)</f>
        <v>0</v>
      </c>
      <c r="I29" s="3">
        <f t="shared" si="1"/>
        <v>6128.8919999999998</v>
      </c>
    </row>
    <row r="30" spans="1:9" x14ac:dyDescent="0.35">
      <c r="A30">
        <v>29</v>
      </c>
      <c r="B30">
        <v>16298160</v>
      </c>
      <c r="C30" t="s">
        <v>32</v>
      </c>
      <c r="D30" t="s">
        <v>288</v>
      </c>
      <c r="E30" t="s">
        <v>248</v>
      </c>
      <c r="F30" t="s">
        <v>278</v>
      </c>
      <c r="G30" s="3">
        <f t="shared" si="0"/>
        <v>6128.8919999999998</v>
      </c>
      <c r="H30" s="3">
        <f>+_xlfn.XLOOKUP(B30&amp;"-*",[3]Hoja1!$E:$E,[3]Hoja1!$AC:$AC,0,2)</f>
        <v>0</v>
      </c>
      <c r="I30" s="3">
        <f t="shared" si="1"/>
        <v>6128.8919999999998</v>
      </c>
    </row>
    <row r="31" spans="1:9" x14ac:dyDescent="0.35">
      <c r="A31">
        <v>30</v>
      </c>
      <c r="B31">
        <v>17040374</v>
      </c>
      <c r="C31" t="s">
        <v>231</v>
      </c>
      <c r="D31" t="s">
        <v>289</v>
      </c>
      <c r="E31" t="s">
        <v>251</v>
      </c>
      <c r="F31" t="s">
        <v>290</v>
      </c>
      <c r="G31" s="3">
        <f t="shared" si="0"/>
        <v>6128.8919999999998</v>
      </c>
      <c r="H31" s="3">
        <f>+_xlfn.XLOOKUP(B31&amp;"-*",[3]Hoja1!$E:$E,[3]Hoja1!$AC:$AC,0,2)</f>
        <v>0</v>
      </c>
      <c r="I31" s="3">
        <f t="shared" si="1"/>
        <v>6128.8919999999998</v>
      </c>
    </row>
    <row r="32" spans="1:9" x14ac:dyDescent="0.35">
      <c r="A32">
        <v>31</v>
      </c>
      <c r="B32">
        <v>14550528</v>
      </c>
      <c r="C32" t="s">
        <v>72</v>
      </c>
      <c r="D32" t="s">
        <v>291</v>
      </c>
      <c r="E32" t="s">
        <v>238</v>
      </c>
      <c r="F32" t="s">
        <v>241</v>
      </c>
      <c r="G32" s="3">
        <f t="shared" si="0"/>
        <v>6128.8919999999998</v>
      </c>
      <c r="H32" s="3">
        <f>+_xlfn.XLOOKUP(B32&amp;"-*",[3]Hoja1!$E:$E,[3]Hoja1!$AC:$AC,0,2)</f>
        <v>0</v>
      </c>
      <c r="I32" s="3">
        <f t="shared" si="1"/>
        <v>6128.8919999999998</v>
      </c>
    </row>
    <row r="33" spans="1:9" x14ac:dyDescent="0.35">
      <c r="A33">
        <v>32</v>
      </c>
      <c r="B33">
        <v>7125752</v>
      </c>
      <c r="C33" t="s">
        <v>76</v>
      </c>
      <c r="D33" t="s">
        <v>292</v>
      </c>
      <c r="E33" t="s">
        <v>251</v>
      </c>
      <c r="F33" t="s">
        <v>282</v>
      </c>
      <c r="G33" s="3">
        <f t="shared" si="0"/>
        <v>6128.8919999999998</v>
      </c>
      <c r="H33" s="3">
        <f>+_xlfn.XLOOKUP(B33&amp;"-*",[3]Hoja1!$E:$E,[3]Hoja1!$AC:$AC,0,2)</f>
        <v>0</v>
      </c>
      <c r="I33" s="3">
        <f t="shared" si="1"/>
        <v>6128.8919999999998</v>
      </c>
    </row>
    <row r="34" spans="1:9" x14ac:dyDescent="0.35">
      <c r="A34">
        <v>33</v>
      </c>
      <c r="B34">
        <v>9160827</v>
      </c>
      <c r="C34" t="s">
        <v>228</v>
      </c>
      <c r="D34" t="s">
        <v>293</v>
      </c>
      <c r="E34" t="s">
        <v>238</v>
      </c>
      <c r="F34" t="s">
        <v>294</v>
      </c>
      <c r="G34" s="3">
        <f t="shared" si="0"/>
        <v>6128.8919999999998</v>
      </c>
      <c r="H34" s="3">
        <f>+_xlfn.XLOOKUP(B34&amp;"-*",[3]Hoja1!$E:$E,[3]Hoja1!$AC:$AC,0,2)</f>
        <v>0</v>
      </c>
      <c r="I34" s="3">
        <f t="shared" si="1"/>
        <v>6128.8919999999998</v>
      </c>
    </row>
    <row r="35" spans="1:9" x14ac:dyDescent="0.35">
      <c r="A35">
        <v>34</v>
      </c>
      <c r="B35">
        <v>11320798</v>
      </c>
      <c r="C35" t="s">
        <v>136</v>
      </c>
      <c r="D35" t="s">
        <v>295</v>
      </c>
      <c r="E35" t="s">
        <v>296</v>
      </c>
      <c r="F35" t="s">
        <v>297</v>
      </c>
      <c r="G35" s="3">
        <f t="shared" si="0"/>
        <v>6128.8919999999998</v>
      </c>
      <c r="H35" s="3">
        <f>+_xlfn.XLOOKUP(B35&amp;"-*",[3]Hoja1!$E:$E,[3]Hoja1!$AC:$AC,0,2)</f>
        <v>33126.909607299996</v>
      </c>
      <c r="I35" s="3">
        <f t="shared" si="1"/>
        <v>39255.801607299996</v>
      </c>
    </row>
    <row r="36" spans="1:9" x14ac:dyDescent="0.35">
      <c r="A36">
        <v>35</v>
      </c>
      <c r="B36">
        <v>8702168</v>
      </c>
      <c r="C36" t="s">
        <v>202</v>
      </c>
      <c r="D36" t="s">
        <v>298</v>
      </c>
      <c r="E36" t="s">
        <v>251</v>
      </c>
      <c r="F36" t="s">
        <v>290</v>
      </c>
      <c r="G36" s="3">
        <f t="shared" si="0"/>
        <v>6128.8919999999998</v>
      </c>
      <c r="H36" s="3">
        <f>+_xlfn.XLOOKUP(B36&amp;"-*",[3]Hoja1!$E:$E,[3]Hoja1!$AC:$AC,0,2)</f>
        <v>0</v>
      </c>
      <c r="I36" s="3">
        <f t="shared" si="1"/>
        <v>6128.8919999999998</v>
      </c>
    </row>
    <row r="37" spans="1:9" x14ac:dyDescent="0.35">
      <c r="A37">
        <v>36</v>
      </c>
      <c r="B37">
        <v>12109784</v>
      </c>
      <c r="C37" t="s">
        <v>226</v>
      </c>
      <c r="D37" t="s">
        <v>299</v>
      </c>
      <c r="E37" t="s">
        <v>238</v>
      </c>
      <c r="F37" t="s">
        <v>294</v>
      </c>
      <c r="G37" s="3">
        <f t="shared" si="0"/>
        <v>6128.8919999999998</v>
      </c>
      <c r="H37" s="3">
        <f>+_xlfn.XLOOKUP(B37&amp;"-*",[3]Hoja1!$E:$E,[3]Hoja1!$AC:$AC,0,2)</f>
        <v>46396.156534599999</v>
      </c>
      <c r="I37" s="3">
        <f t="shared" si="1"/>
        <v>52525.048534599999</v>
      </c>
    </row>
    <row r="38" spans="1:9" x14ac:dyDescent="0.35">
      <c r="A38">
        <v>37</v>
      </c>
      <c r="B38">
        <v>15575962</v>
      </c>
      <c r="C38" t="s">
        <v>56</v>
      </c>
      <c r="D38" t="s">
        <v>300</v>
      </c>
      <c r="E38" t="s">
        <v>301</v>
      </c>
      <c r="F38" t="s">
        <v>302</v>
      </c>
      <c r="G38" s="3">
        <f t="shared" si="0"/>
        <v>6128.8919999999998</v>
      </c>
      <c r="H38" s="3">
        <f>+_xlfn.XLOOKUP(B38&amp;"-*",[3]Hoja1!$E:$E,[3]Hoja1!$AC:$AC,0,2)</f>
        <v>0</v>
      </c>
      <c r="I38" s="3">
        <f t="shared" si="1"/>
        <v>6128.8919999999998</v>
      </c>
    </row>
    <row r="39" spans="1:9" x14ac:dyDescent="0.35">
      <c r="A39">
        <v>38</v>
      </c>
      <c r="B39">
        <v>13860126</v>
      </c>
      <c r="C39" t="s">
        <v>89</v>
      </c>
      <c r="D39" t="s">
        <v>303</v>
      </c>
      <c r="E39" t="s">
        <v>243</v>
      </c>
      <c r="F39" t="s">
        <v>304</v>
      </c>
      <c r="G39" s="3">
        <f t="shared" si="0"/>
        <v>6128.8919999999998</v>
      </c>
      <c r="H39" s="3">
        <f>+_xlfn.XLOOKUP(B39&amp;"-*",[3]Hoja1!$E:$E,[3]Hoja1!$AC:$AC,0,2)</f>
        <v>0</v>
      </c>
      <c r="I39" s="3">
        <f t="shared" si="1"/>
        <v>6128.8919999999998</v>
      </c>
    </row>
    <row r="40" spans="1:9" x14ac:dyDescent="0.35">
      <c r="A40">
        <v>39</v>
      </c>
      <c r="B40">
        <v>15678036</v>
      </c>
      <c r="C40" t="s">
        <v>49</v>
      </c>
      <c r="D40" t="s">
        <v>305</v>
      </c>
      <c r="E40" t="s">
        <v>238</v>
      </c>
      <c r="F40" t="s">
        <v>239</v>
      </c>
      <c r="G40" s="3">
        <f t="shared" si="0"/>
        <v>6128.8919999999998</v>
      </c>
      <c r="H40" s="3">
        <f>+_xlfn.XLOOKUP(B40&amp;"-*",[3]Hoja1!$E:$E,[3]Hoja1!$AC:$AC,0,2)</f>
        <v>0</v>
      </c>
      <c r="I40" s="3">
        <f t="shared" si="1"/>
        <v>6128.8919999999998</v>
      </c>
    </row>
    <row r="41" spans="1:9" x14ac:dyDescent="0.35">
      <c r="A41">
        <v>40</v>
      </c>
      <c r="B41">
        <v>14514667</v>
      </c>
      <c r="C41" t="s">
        <v>73</v>
      </c>
      <c r="D41" t="s">
        <v>306</v>
      </c>
      <c r="E41" t="s">
        <v>267</v>
      </c>
      <c r="F41" t="s">
        <v>272</v>
      </c>
      <c r="G41" s="3">
        <f t="shared" si="0"/>
        <v>6128.8919999999998</v>
      </c>
      <c r="H41" s="3">
        <f>+_xlfn.XLOOKUP(B41&amp;"-*",[3]Hoja1!$E:$E,[3]Hoja1!$AC:$AC,0,2)</f>
        <v>0</v>
      </c>
      <c r="I41" s="3">
        <f t="shared" si="1"/>
        <v>6128.8919999999998</v>
      </c>
    </row>
    <row r="42" spans="1:9" x14ac:dyDescent="0.35">
      <c r="A42">
        <v>41</v>
      </c>
      <c r="B42">
        <v>15466213</v>
      </c>
      <c r="C42" t="s">
        <v>58</v>
      </c>
      <c r="D42" t="s">
        <v>307</v>
      </c>
      <c r="E42" t="s">
        <v>238</v>
      </c>
      <c r="F42" t="s">
        <v>239</v>
      </c>
      <c r="G42" s="3">
        <f t="shared" si="0"/>
        <v>6128.8919999999998</v>
      </c>
      <c r="H42" s="3">
        <f>+_xlfn.XLOOKUP(B42&amp;"-*",[3]Hoja1!$E:$E,[3]Hoja1!$AC:$AC,0,2)</f>
        <v>0</v>
      </c>
      <c r="I42" s="3">
        <f t="shared" si="1"/>
        <v>6128.8919999999998</v>
      </c>
    </row>
    <row r="43" spans="1:9" x14ac:dyDescent="0.35">
      <c r="A43">
        <v>42</v>
      </c>
      <c r="B43">
        <v>9270305</v>
      </c>
      <c r="C43" t="s">
        <v>168</v>
      </c>
      <c r="D43" t="s">
        <v>308</v>
      </c>
      <c r="E43" t="s">
        <v>243</v>
      </c>
      <c r="F43" t="s">
        <v>244</v>
      </c>
      <c r="G43" s="3">
        <f t="shared" si="0"/>
        <v>6128.8919999999998</v>
      </c>
      <c r="H43" s="3">
        <f>+_xlfn.XLOOKUP(B43&amp;"-*",[3]Hoja1!$E:$E,[3]Hoja1!$AC:$AC,0,2)</f>
        <v>23114.217786699999</v>
      </c>
      <c r="I43" s="3">
        <f t="shared" si="1"/>
        <v>29243.109786699999</v>
      </c>
    </row>
    <row r="44" spans="1:9" x14ac:dyDescent="0.35">
      <c r="A44">
        <v>43</v>
      </c>
      <c r="B44">
        <v>8879757</v>
      </c>
      <c r="C44" t="s">
        <v>180</v>
      </c>
      <c r="D44" t="s">
        <v>309</v>
      </c>
      <c r="E44" t="s">
        <v>251</v>
      </c>
      <c r="F44" t="s">
        <v>290</v>
      </c>
      <c r="G44" s="3">
        <f t="shared" si="0"/>
        <v>6128.8919999999998</v>
      </c>
      <c r="H44" s="3">
        <f>+_xlfn.XLOOKUP(B44&amp;"-*",[3]Hoja1!$E:$E,[3]Hoja1!$AC:$AC,0,2)</f>
        <v>46396.156534599999</v>
      </c>
      <c r="I44" s="3">
        <f t="shared" si="1"/>
        <v>52525.048534599999</v>
      </c>
    </row>
    <row r="45" spans="1:9" x14ac:dyDescent="0.35">
      <c r="A45">
        <v>44</v>
      </c>
      <c r="B45">
        <v>16524518</v>
      </c>
      <c r="C45" t="s">
        <v>26</v>
      </c>
      <c r="D45" t="s">
        <v>310</v>
      </c>
      <c r="E45" t="s">
        <v>238</v>
      </c>
      <c r="F45" t="s">
        <v>246</v>
      </c>
      <c r="G45" s="3">
        <f t="shared" si="0"/>
        <v>6128.8919999999998</v>
      </c>
      <c r="H45" s="3">
        <f>+_xlfn.XLOOKUP(B45&amp;"-*",[3]Hoja1!$E:$E,[3]Hoja1!$AC:$AC,0,2)</f>
        <v>0</v>
      </c>
      <c r="I45" s="3">
        <f t="shared" si="1"/>
        <v>6128.8919999999998</v>
      </c>
    </row>
    <row r="46" spans="1:9" x14ac:dyDescent="0.35">
      <c r="A46">
        <v>45</v>
      </c>
      <c r="B46">
        <v>15136673</v>
      </c>
      <c r="C46" t="s">
        <v>194</v>
      </c>
      <c r="D46" t="s">
        <v>195</v>
      </c>
      <c r="E46" t="s">
        <v>311</v>
      </c>
      <c r="F46" t="s">
        <v>312</v>
      </c>
      <c r="G46" s="3">
        <f t="shared" si="0"/>
        <v>6128.8919999999998</v>
      </c>
      <c r="H46" s="3">
        <f>+_xlfn.XLOOKUP(B46&amp;"-*",[3]Hoja1!$E:$E,[3]Hoja1!$AC:$AC,0,2)</f>
        <v>0</v>
      </c>
      <c r="I46" s="3">
        <f t="shared" si="1"/>
        <v>6128.8919999999998</v>
      </c>
    </row>
    <row r="47" spans="1:9" x14ac:dyDescent="0.35">
      <c r="A47">
        <v>46</v>
      </c>
      <c r="B47">
        <v>8742829</v>
      </c>
      <c r="C47" t="s">
        <v>185</v>
      </c>
      <c r="D47" t="s">
        <v>313</v>
      </c>
      <c r="E47" t="s">
        <v>251</v>
      </c>
      <c r="F47" t="s">
        <v>282</v>
      </c>
      <c r="G47" s="3">
        <f t="shared" si="0"/>
        <v>6128.8919999999998</v>
      </c>
      <c r="H47" s="3">
        <f>+_xlfn.XLOOKUP(B47&amp;"-*",[3]Hoja1!$E:$E,[3]Hoja1!$AC:$AC,0,2)</f>
        <v>0</v>
      </c>
      <c r="I47" s="3">
        <f t="shared" si="1"/>
        <v>6128.8919999999998</v>
      </c>
    </row>
    <row r="48" spans="1:9" x14ac:dyDescent="0.35">
      <c r="A48">
        <v>47</v>
      </c>
      <c r="B48">
        <v>9545383</v>
      </c>
      <c r="C48" t="s">
        <v>164</v>
      </c>
      <c r="D48" t="s">
        <v>314</v>
      </c>
      <c r="E48" t="s">
        <v>251</v>
      </c>
      <c r="F48" t="s">
        <v>282</v>
      </c>
      <c r="G48" s="3">
        <f t="shared" si="0"/>
        <v>6128.8919999999998</v>
      </c>
      <c r="H48" s="3">
        <f>+_xlfn.XLOOKUP(B48&amp;"-*",[3]Hoja1!$E:$E,[3]Hoja1!$AC:$AC,0,2)</f>
        <v>33126.909607299996</v>
      </c>
      <c r="I48" s="3">
        <f t="shared" si="1"/>
        <v>39255.801607299996</v>
      </c>
    </row>
    <row r="49" spans="1:9" x14ac:dyDescent="0.35">
      <c r="A49">
        <v>48</v>
      </c>
      <c r="B49">
        <v>8762722</v>
      </c>
      <c r="C49" t="s">
        <v>183</v>
      </c>
      <c r="D49" t="s">
        <v>315</v>
      </c>
      <c r="E49" t="s">
        <v>316</v>
      </c>
      <c r="F49" t="s">
        <v>316</v>
      </c>
      <c r="G49" s="3">
        <f t="shared" si="0"/>
        <v>6128.8919999999998</v>
      </c>
      <c r="H49" s="3">
        <f>+_xlfn.XLOOKUP(B49&amp;"-*",[3]Hoja1!$E:$E,[3]Hoja1!$AC:$AC,0,2)</f>
        <v>0</v>
      </c>
      <c r="I49" s="3">
        <f t="shared" si="1"/>
        <v>6128.8919999999998</v>
      </c>
    </row>
    <row r="50" spans="1:9" x14ac:dyDescent="0.35">
      <c r="A50">
        <v>49</v>
      </c>
      <c r="B50">
        <v>15613206</v>
      </c>
      <c r="C50" t="s">
        <v>53</v>
      </c>
      <c r="D50" t="s">
        <v>317</v>
      </c>
      <c r="E50" t="s">
        <v>238</v>
      </c>
      <c r="F50" t="s">
        <v>269</v>
      </c>
      <c r="G50" s="3">
        <f t="shared" si="0"/>
        <v>6128.8919999999998</v>
      </c>
      <c r="H50" s="3">
        <f>+_xlfn.XLOOKUP(B50&amp;"-*",[3]Hoja1!$E:$E,[3]Hoja1!$AC:$AC,0,2)</f>
        <v>0</v>
      </c>
      <c r="I50" s="3">
        <f t="shared" si="1"/>
        <v>6128.8919999999998</v>
      </c>
    </row>
    <row r="51" spans="1:9" x14ac:dyDescent="0.35">
      <c r="A51">
        <v>50</v>
      </c>
      <c r="B51">
        <v>25184028</v>
      </c>
      <c r="C51" t="s">
        <v>209</v>
      </c>
      <c r="D51" t="s">
        <v>318</v>
      </c>
      <c r="E51" t="s">
        <v>319</v>
      </c>
      <c r="F51" t="s">
        <v>320</v>
      </c>
      <c r="G51" s="3">
        <f t="shared" si="0"/>
        <v>6128.8919999999998</v>
      </c>
      <c r="H51" s="3">
        <f>+_xlfn.XLOOKUP(B51&amp;"-*",[3]Hoja1!$E:$E,[3]Hoja1!$AC:$AC,0,2)</f>
        <v>0</v>
      </c>
      <c r="I51" s="3">
        <f t="shared" si="1"/>
        <v>6128.8919999999998</v>
      </c>
    </row>
    <row r="52" spans="1:9" x14ac:dyDescent="0.35">
      <c r="A52">
        <v>51</v>
      </c>
      <c r="B52">
        <v>12862275</v>
      </c>
      <c r="C52" t="s">
        <v>122</v>
      </c>
      <c r="D52" t="s">
        <v>321</v>
      </c>
      <c r="E52" t="s">
        <v>238</v>
      </c>
      <c r="F52" t="s">
        <v>322</v>
      </c>
      <c r="G52" s="3">
        <f t="shared" si="0"/>
        <v>6128.8919999999998</v>
      </c>
      <c r="H52" s="3">
        <f>+_xlfn.XLOOKUP(B52&amp;"-*",[3]Hoja1!$E:$E,[3]Hoja1!$AC:$AC,0,2)</f>
        <v>0</v>
      </c>
      <c r="I52" s="3">
        <f t="shared" si="1"/>
        <v>6128.8919999999998</v>
      </c>
    </row>
    <row r="53" spans="1:9" x14ac:dyDescent="0.35">
      <c r="A53">
        <v>52</v>
      </c>
      <c r="B53">
        <v>11032140</v>
      </c>
      <c r="C53" t="s">
        <v>139</v>
      </c>
      <c r="D53" t="s">
        <v>323</v>
      </c>
      <c r="E53" t="s">
        <v>238</v>
      </c>
      <c r="F53" t="s">
        <v>322</v>
      </c>
      <c r="G53" s="3">
        <f t="shared" si="0"/>
        <v>6128.8919999999998</v>
      </c>
      <c r="H53" s="3">
        <f>+_xlfn.XLOOKUP(B53&amp;"-*",[3]Hoja1!$E:$E,[3]Hoja1!$AC:$AC,0,2)</f>
        <v>0</v>
      </c>
      <c r="I53" s="3">
        <f t="shared" si="1"/>
        <v>6128.8919999999998</v>
      </c>
    </row>
    <row r="54" spans="1:9" x14ac:dyDescent="0.35">
      <c r="A54">
        <v>53</v>
      </c>
      <c r="B54">
        <v>16270756</v>
      </c>
      <c r="C54" t="s">
        <v>34</v>
      </c>
      <c r="D54" t="s">
        <v>324</v>
      </c>
      <c r="E54" t="s">
        <v>248</v>
      </c>
      <c r="F54" t="s">
        <v>278</v>
      </c>
      <c r="G54" s="3">
        <f t="shared" si="0"/>
        <v>6128.8919999999998</v>
      </c>
      <c r="H54" s="3">
        <f>+_xlfn.XLOOKUP(B54&amp;"-*",[3]Hoja1!$E:$E,[3]Hoja1!$AC:$AC,0,2)</f>
        <v>46396.156534599999</v>
      </c>
      <c r="I54" s="3">
        <f t="shared" si="1"/>
        <v>52525.048534599999</v>
      </c>
    </row>
    <row r="55" spans="1:9" x14ac:dyDescent="0.35">
      <c r="A55">
        <v>54</v>
      </c>
      <c r="B55">
        <v>10885251</v>
      </c>
      <c r="C55" t="s">
        <v>219</v>
      </c>
      <c r="D55" t="s">
        <v>325</v>
      </c>
      <c r="E55" t="s">
        <v>248</v>
      </c>
      <c r="F55" t="s">
        <v>326</v>
      </c>
      <c r="G55" s="3">
        <f t="shared" si="0"/>
        <v>6128.8919999999998</v>
      </c>
      <c r="H55" s="3">
        <f>+_xlfn.XLOOKUP(B55&amp;"-*",[3]Hoja1!$E:$E,[3]Hoja1!$AC:$AC,0,2)</f>
        <v>0</v>
      </c>
      <c r="I55" s="3">
        <f t="shared" si="1"/>
        <v>6128.8919999999998</v>
      </c>
    </row>
    <row r="56" spans="1:9" x14ac:dyDescent="0.35">
      <c r="A56">
        <v>55</v>
      </c>
      <c r="B56">
        <v>13206803</v>
      </c>
      <c r="C56" t="s">
        <v>114</v>
      </c>
      <c r="D56" t="s">
        <v>327</v>
      </c>
      <c r="E56" t="s">
        <v>296</v>
      </c>
      <c r="F56" t="s">
        <v>328</v>
      </c>
      <c r="G56" s="3">
        <f t="shared" si="0"/>
        <v>6128.8919999999998</v>
      </c>
      <c r="H56" s="3">
        <f>+_xlfn.XLOOKUP(B56&amp;"-*",[3]Hoja1!$E:$E,[3]Hoja1!$AC:$AC,0,2)</f>
        <v>46396.156534599999</v>
      </c>
      <c r="I56" s="3">
        <f t="shared" si="1"/>
        <v>52525.048534599999</v>
      </c>
    </row>
    <row r="57" spans="1:9" x14ac:dyDescent="0.35">
      <c r="A57">
        <v>56</v>
      </c>
      <c r="B57">
        <v>15135460</v>
      </c>
      <c r="C57" t="s">
        <v>64</v>
      </c>
      <c r="D57" t="s">
        <v>329</v>
      </c>
      <c r="E57" t="s">
        <v>238</v>
      </c>
      <c r="F57" t="s">
        <v>241</v>
      </c>
      <c r="G57" s="3">
        <f t="shared" si="0"/>
        <v>6128.8919999999998</v>
      </c>
      <c r="H57" s="3">
        <f>+_xlfn.XLOOKUP(B57&amp;"-*",[3]Hoja1!$E:$E,[3]Hoja1!$AC:$AC,0,2)</f>
        <v>0</v>
      </c>
      <c r="I57" s="3">
        <f t="shared" si="1"/>
        <v>6128.8919999999998</v>
      </c>
    </row>
    <row r="58" spans="1:9" x14ac:dyDescent="0.35">
      <c r="A58">
        <v>57</v>
      </c>
      <c r="B58">
        <v>15805362</v>
      </c>
      <c r="C58" t="s">
        <v>47</v>
      </c>
      <c r="D58" t="s">
        <v>330</v>
      </c>
      <c r="E58" t="s">
        <v>267</v>
      </c>
      <c r="F58" t="s">
        <v>331</v>
      </c>
      <c r="G58" s="3">
        <f t="shared" si="0"/>
        <v>6128.8919999999998</v>
      </c>
      <c r="H58" s="3">
        <f>+_xlfn.XLOOKUP(B58&amp;"-*",[3]Hoja1!$E:$E,[3]Hoja1!$AC:$AC,0,2)</f>
        <v>54902.084052099992</v>
      </c>
      <c r="I58" s="3">
        <f t="shared" si="1"/>
        <v>61030.976052099992</v>
      </c>
    </row>
    <row r="59" spans="1:9" x14ac:dyDescent="0.35">
      <c r="A59">
        <v>58</v>
      </c>
      <c r="B59">
        <v>12642886</v>
      </c>
      <c r="C59" t="s">
        <v>125</v>
      </c>
      <c r="D59" t="s">
        <v>332</v>
      </c>
      <c r="E59" t="s">
        <v>311</v>
      </c>
      <c r="F59" t="s">
        <v>333</v>
      </c>
      <c r="G59" s="3">
        <f t="shared" si="0"/>
        <v>6128.8919999999998</v>
      </c>
      <c r="H59" s="3">
        <f>+_xlfn.XLOOKUP(B59&amp;"-*",[3]Hoja1!$E:$E,[3]Hoja1!$AC:$AC,0,2)</f>
        <v>0</v>
      </c>
      <c r="I59" s="3">
        <f t="shared" si="1"/>
        <v>6128.8919999999998</v>
      </c>
    </row>
    <row r="60" spans="1:9" x14ac:dyDescent="0.35">
      <c r="A60">
        <v>59</v>
      </c>
      <c r="B60">
        <v>7097392</v>
      </c>
      <c r="C60" t="s">
        <v>71</v>
      </c>
      <c r="D60" t="s">
        <v>334</v>
      </c>
      <c r="E60" t="s">
        <v>248</v>
      </c>
      <c r="F60" t="s">
        <v>335</v>
      </c>
      <c r="G60" s="3">
        <f t="shared" si="0"/>
        <v>6128.8919999999998</v>
      </c>
      <c r="H60" s="3">
        <f>+_xlfn.XLOOKUP(B60&amp;"-*",[3]Hoja1!$E:$E,[3]Hoja1!$AC:$AC,0,2)</f>
        <v>32832.3614887</v>
      </c>
      <c r="I60" s="3">
        <f t="shared" si="1"/>
        <v>38961.2534887</v>
      </c>
    </row>
    <row r="61" spans="1:9" x14ac:dyDescent="0.35">
      <c r="A61">
        <v>60</v>
      </c>
      <c r="B61">
        <v>14565030</v>
      </c>
      <c r="C61" t="s">
        <v>206</v>
      </c>
      <c r="D61" t="s">
        <v>336</v>
      </c>
      <c r="E61" t="s">
        <v>311</v>
      </c>
      <c r="F61" t="s">
        <v>312</v>
      </c>
      <c r="G61" s="3">
        <f t="shared" si="0"/>
        <v>6128.8919999999998</v>
      </c>
      <c r="H61" s="3">
        <f>+_xlfn.XLOOKUP(B61&amp;"-*",[3]Hoja1!$E:$E,[3]Hoja1!$AC:$AC,0,2)</f>
        <v>0</v>
      </c>
      <c r="I61" s="3">
        <f t="shared" si="1"/>
        <v>6128.8919999999998</v>
      </c>
    </row>
    <row r="62" spans="1:9" x14ac:dyDescent="0.35">
      <c r="A62">
        <v>61</v>
      </c>
      <c r="B62">
        <v>21295178</v>
      </c>
      <c r="C62" t="s">
        <v>9</v>
      </c>
      <c r="D62" t="s">
        <v>337</v>
      </c>
      <c r="E62" t="s">
        <v>238</v>
      </c>
      <c r="F62" t="s">
        <v>246</v>
      </c>
      <c r="G62" s="3">
        <f t="shared" si="0"/>
        <v>6128.8919999999998</v>
      </c>
      <c r="H62" s="3">
        <f>+_xlfn.XLOOKUP(B62&amp;"-*",[3]Hoja1!$E:$E,[3]Hoja1!$AC:$AC,0,2)</f>
        <v>0</v>
      </c>
      <c r="I62" s="3">
        <f t="shared" si="1"/>
        <v>6128.8919999999998</v>
      </c>
    </row>
    <row r="63" spans="1:9" x14ac:dyDescent="0.35">
      <c r="A63">
        <v>62</v>
      </c>
      <c r="B63">
        <v>13459074</v>
      </c>
      <c r="C63" t="s">
        <v>107</v>
      </c>
      <c r="D63" t="s">
        <v>338</v>
      </c>
      <c r="E63" t="s">
        <v>238</v>
      </c>
      <c r="F63" t="s">
        <v>294</v>
      </c>
      <c r="G63" s="3">
        <f t="shared" si="0"/>
        <v>6128.8919999999998</v>
      </c>
      <c r="H63" s="3">
        <f>+_xlfn.XLOOKUP(B63&amp;"-*",[3]Hoja1!$E:$E,[3]Hoja1!$AC:$AC,0,2)</f>
        <v>46396.156534599999</v>
      </c>
      <c r="I63" s="3">
        <f t="shared" si="1"/>
        <v>52525.048534599999</v>
      </c>
    </row>
    <row r="64" spans="1:9" x14ac:dyDescent="0.35">
      <c r="A64">
        <v>63</v>
      </c>
      <c r="B64">
        <v>16350400</v>
      </c>
      <c r="C64" t="s">
        <v>31</v>
      </c>
      <c r="D64" t="s">
        <v>339</v>
      </c>
      <c r="E64" t="s">
        <v>238</v>
      </c>
      <c r="F64" t="s">
        <v>257</v>
      </c>
      <c r="G64" s="3">
        <f t="shared" si="0"/>
        <v>6128.8919999999998</v>
      </c>
      <c r="H64" s="3">
        <f>+_xlfn.XLOOKUP(B64&amp;"-*",[3]Hoja1!$E:$E,[3]Hoja1!$AC:$AC,0,2)</f>
        <v>89946.505424200004</v>
      </c>
      <c r="I64" s="3">
        <f t="shared" si="1"/>
        <v>96075.397424199997</v>
      </c>
    </row>
    <row r="65" spans="1:9" x14ac:dyDescent="0.35">
      <c r="A65">
        <v>64</v>
      </c>
      <c r="B65">
        <v>7956416</v>
      </c>
      <c r="C65" t="s">
        <v>158</v>
      </c>
      <c r="D65" t="s">
        <v>340</v>
      </c>
      <c r="E65" t="s">
        <v>238</v>
      </c>
      <c r="F65" t="s">
        <v>294</v>
      </c>
      <c r="G65" s="3">
        <f t="shared" si="0"/>
        <v>6128.8919999999998</v>
      </c>
      <c r="H65" s="3">
        <f>+_xlfn.XLOOKUP(B65&amp;"-*",[3]Hoja1!$E:$E,[3]Hoja1!$AC:$AC,0,2)</f>
        <v>0</v>
      </c>
      <c r="I65" s="3">
        <f t="shared" si="1"/>
        <v>6128.8919999999998</v>
      </c>
    </row>
    <row r="66" spans="1:9" x14ac:dyDescent="0.35">
      <c r="A66">
        <v>65</v>
      </c>
      <c r="B66">
        <v>14510677</v>
      </c>
      <c r="C66" t="s">
        <v>74</v>
      </c>
      <c r="D66" t="s">
        <v>341</v>
      </c>
      <c r="E66" t="s">
        <v>248</v>
      </c>
      <c r="F66" t="s">
        <v>342</v>
      </c>
      <c r="G66" s="3">
        <f t="shared" si="0"/>
        <v>6128.8919999999998</v>
      </c>
      <c r="H66" s="3">
        <f>+_xlfn.XLOOKUP(B66&amp;"-*",[3]Hoja1!$E:$E,[3]Hoja1!$AC:$AC,0,2)</f>
        <v>0</v>
      </c>
      <c r="I66" s="3">
        <f t="shared" si="1"/>
        <v>6128.8919999999998</v>
      </c>
    </row>
    <row r="67" spans="1:9" x14ac:dyDescent="0.35">
      <c r="A67">
        <v>66</v>
      </c>
      <c r="B67">
        <v>14555025</v>
      </c>
      <c r="C67" t="s">
        <v>70</v>
      </c>
      <c r="D67" t="s">
        <v>343</v>
      </c>
      <c r="E67" t="s">
        <v>238</v>
      </c>
      <c r="F67" t="s">
        <v>241</v>
      </c>
      <c r="G67" s="3">
        <f t="shared" ref="G67:G130" si="2">0.15*$J$1</f>
        <v>6128.8919999999998</v>
      </c>
      <c r="H67" s="3">
        <f>+_xlfn.XLOOKUP(B67&amp;"-*",[3]Hoja1!$E:$E,[3]Hoja1!$AC:$AC,0,2)</f>
        <v>46396.156534599999</v>
      </c>
      <c r="I67" s="3">
        <f t="shared" ref="I67:I130" si="3">+G67+H67</f>
        <v>52525.048534599999</v>
      </c>
    </row>
    <row r="68" spans="1:9" x14ac:dyDescent="0.35">
      <c r="A68">
        <v>67</v>
      </c>
      <c r="B68">
        <v>11675278</v>
      </c>
      <c r="C68" t="s">
        <v>133</v>
      </c>
      <c r="D68" t="s">
        <v>344</v>
      </c>
      <c r="E68" t="s">
        <v>238</v>
      </c>
      <c r="F68" t="s">
        <v>285</v>
      </c>
      <c r="G68" s="3">
        <f t="shared" si="2"/>
        <v>6128.8919999999998</v>
      </c>
      <c r="H68" s="3">
        <f>+_xlfn.XLOOKUP(B68&amp;"-*",[3]Hoja1!$E:$E,[3]Hoja1!$AC:$AC,0,2)</f>
        <v>0</v>
      </c>
      <c r="I68" s="3">
        <f t="shared" si="3"/>
        <v>6128.8919999999998</v>
      </c>
    </row>
    <row r="69" spans="1:9" x14ac:dyDescent="0.35">
      <c r="A69">
        <v>68</v>
      </c>
      <c r="B69">
        <v>10649954</v>
      </c>
      <c r="C69" t="s">
        <v>147</v>
      </c>
      <c r="D69" t="s">
        <v>345</v>
      </c>
      <c r="E69" t="s">
        <v>346</v>
      </c>
      <c r="F69" t="s">
        <v>347</v>
      </c>
      <c r="G69" s="3">
        <f t="shared" si="2"/>
        <v>6128.8919999999998</v>
      </c>
      <c r="H69" s="3">
        <f>+_xlfn.XLOOKUP(B69&amp;"-*",[3]Hoja1!$E:$E,[3]Hoja1!$AC:$AC,0,2)</f>
        <v>0</v>
      </c>
      <c r="I69" s="3">
        <f t="shared" si="3"/>
        <v>6128.8919999999998</v>
      </c>
    </row>
    <row r="70" spans="1:9" x14ac:dyDescent="0.35">
      <c r="A70">
        <v>69</v>
      </c>
      <c r="B70">
        <v>10902914</v>
      </c>
      <c r="C70" t="s">
        <v>142</v>
      </c>
      <c r="D70" t="s">
        <v>348</v>
      </c>
      <c r="E70" t="s">
        <v>238</v>
      </c>
      <c r="F70" t="s">
        <v>241</v>
      </c>
      <c r="G70" s="3">
        <f t="shared" si="2"/>
        <v>6128.8919999999998</v>
      </c>
      <c r="H70" s="3">
        <f>+_xlfn.XLOOKUP(B70&amp;"-*",[3]Hoja1!$E:$E,[3]Hoja1!$AC:$AC,0,2)</f>
        <v>0</v>
      </c>
      <c r="I70" s="3">
        <f t="shared" si="3"/>
        <v>6128.8919999999998</v>
      </c>
    </row>
    <row r="71" spans="1:9" x14ac:dyDescent="0.35">
      <c r="A71">
        <v>70</v>
      </c>
      <c r="B71">
        <v>13612712</v>
      </c>
      <c r="C71" t="s">
        <v>213</v>
      </c>
      <c r="D71" t="s">
        <v>349</v>
      </c>
      <c r="E71" t="s">
        <v>267</v>
      </c>
      <c r="F71" t="s">
        <v>331</v>
      </c>
      <c r="G71" s="3">
        <f t="shared" si="2"/>
        <v>6128.8919999999998</v>
      </c>
      <c r="H71" s="3">
        <f>+_xlfn.XLOOKUP(B71&amp;"-*",[3]Hoja1!$E:$E,[3]Hoja1!$AC:$AC,0,2)</f>
        <v>0</v>
      </c>
      <c r="I71" s="3">
        <f t="shared" si="3"/>
        <v>6128.8919999999998</v>
      </c>
    </row>
    <row r="72" spans="1:9" x14ac:dyDescent="0.35">
      <c r="A72">
        <v>71</v>
      </c>
      <c r="B72">
        <v>14302931</v>
      </c>
      <c r="C72" t="s">
        <v>81</v>
      </c>
      <c r="D72" t="s">
        <v>350</v>
      </c>
      <c r="E72" t="s">
        <v>296</v>
      </c>
      <c r="F72" t="s">
        <v>297</v>
      </c>
      <c r="G72" s="3">
        <f t="shared" si="2"/>
        <v>6128.8919999999998</v>
      </c>
      <c r="H72" s="3">
        <f>+_xlfn.XLOOKUP(B72&amp;"-*",[3]Hoja1!$E:$E,[3]Hoja1!$AC:$AC,0,2)</f>
        <v>0</v>
      </c>
      <c r="I72" s="3">
        <f t="shared" si="3"/>
        <v>6128.8919999999998</v>
      </c>
    </row>
    <row r="73" spans="1:9" x14ac:dyDescent="0.35">
      <c r="A73">
        <v>72</v>
      </c>
      <c r="B73">
        <v>14399847</v>
      </c>
      <c r="C73" t="s">
        <v>75</v>
      </c>
      <c r="D73" t="s">
        <v>351</v>
      </c>
      <c r="E73" t="s">
        <v>238</v>
      </c>
      <c r="F73" t="s">
        <v>294</v>
      </c>
      <c r="G73" s="3">
        <f t="shared" si="2"/>
        <v>6128.8919999999998</v>
      </c>
      <c r="H73" s="3">
        <f>+_xlfn.XLOOKUP(B73&amp;"-*",[3]Hoja1!$E:$E,[3]Hoja1!$AC:$AC,0,2)</f>
        <v>0</v>
      </c>
      <c r="I73" s="3">
        <f t="shared" si="3"/>
        <v>6128.8919999999998</v>
      </c>
    </row>
    <row r="74" spans="1:9" x14ac:dyDescent="0.35">
      <c r="A74">
        <v>73</v>
      </c>
      <c r="B74">
        <v>14575310</v>
      </c>
      <c r="C74" t="s">
        <v>68</v>
      </c>
      <c r="D74" t="s">
        <v>352</v>
      </c>
      <c r="E74" t="s">
        <v>238</v>
      </c>
      <c r="F74" t="s">
        <v>246</v>
      </c>
      <c r="G74" s="3">
        <f t="shared" si="2"/>
        <v>6128.8919999999998</v>
      </c>
      <c r="H74" s="3">
        <f>+_xlfn.XLOOKUP(B74&amp;"-*",[3]Hoja1!$E:$E,[3]Hoja1!$AC:$AC,0,2)</f>
        <v>0</v>
      </c>
      <c r="I74" s="3">
        <f t="shared" si="3"/>
        <v>6128.8919999999998</v>
      </c>
    </row>
    <row r="75" spans="1:9" x14ac:dyDescent="0.35">
      <c r="A75">
        <v>74</v>
      </c>
      <c r="B75">
        <v>15808734</v>
      </c>
      <c r="C75" t="s">
        <v>46</v>
      </c>
      <c r="D75" t="s">
        <v>353</v>
      </c>
      <c r="E75" t="s">
        <v>243</v>
      </c>
      <c r="F75" t="s">
        <v>304</v>
      </c>
      <c r="G75" s="3">
        <f t="shared" si="2"/>
        <v>6128.8919999999998</v>
      </c>
      <c r="H75" s="3">
        <f>+_xlfn.XLOOKUP(B75&amp;"-*",[3]Hoja1!$E:$E,[3]Hoja1!$AC:$AC,0,2)</f>
        <v>0</v>
      </c>
      <c r="I75" s="3">
        <f t="shared" si="3"/>
        <v>6128.8919999999998</v>
      </c>
    </row>
    <row r="76" spans="1:9" x14ac:dyDescent="0.35">
      <c r="A76">
        <v>75</v>
      </c>
      <c r="B76">
        <v>11729069</v>
      </c>
      <c r="C76" t="s">
        <v>132</v>
      </c>
      <c r="D76" t="s">
        <v>354</v>
      </c>
      <c r="E76" t="s">
        <v>238</v>
      </c>
      <c r="F76" t="s">
        <v>285</v>
      </c>
      <c r="G76" s="3">
        <f t="shared" si="2"/>
        <v>6128.8919999999998</v>
      </c>
      <c r="H76" s="3">
        <f>+_xlfn.XLOOKUP(B76&amp;"-*",[3]Hoja1!$E:$E,[3]Hoja1!$AC:$AC,0,2)</f>
        <v>54902.084052099992</v>
      </c>
      <c r="I76" s="3">
        <f t="shared" si="3"/>
        <v>61030.976052099992</v>
      </c>
    </row>
    <row r="77" spans="1:9" x14ac:dyDescent="0.35">
      <c r="A77">
        <v>76</v>
      </c>
      <c r="B77">
        <v>8809997</v>
      </c>
      <c r="C77" t="s">
        <v>182</v>
      </c>
      <c r="D77" t="s">
        <v>355</v>
      </c>
      <c r="E77" t="s">
        <v>248</v>
      </c>
      <c r="F77" t="s">
        <v>262</v>
      </c>
      <c r="G77" s="3">
        <f t="shared" si="2"/>
        <v>6128.8919999999998</v>
      </c>
      <c r="H77" s="3">
        <f>+_xlfn.XLOOKUP(B77&amp;"-*",[3]Hoja1!$E:$E,[3]Hoja1!$AC:$AC,0,2)</f>
        <v>0</v>
      </c>
      <c r="I77" s="3">
        <f t="shared" si="3"/>
        <v>6128.8919999999998</v>
      </c>
    </row>
    <row r="78" spans="1:9" x14ac:dyDescent="0.35">
      <c r="A78">
        <v>77</v>
      </c>
      <c r="B78">
        <v>16204534</v>
      </c>
      <c r="C78" t="s">
        <v>199</v>
      </c>
      <c r="D78" t="s">
        <v>356</v>
      </c>
      <c r="E78" t="s">
        <v>275</v>
      </c>
      <c r="F78" t="s">
        <v>275</v>
      </c>
      <c r="G78" s="3">
        <f t="shared" si="2"/>
        <v>6128.8919999999998</v>
      </c>
      <c r="H78" s="3">
        <f>+_xlfn.XLOOKUP(B78&amp;"-*",[3]Hoja1!$E:$E,[3]Hoja1!$AC:$AC,0,2)</f>
        <v>0</v>
      </c>
      <c r="I78" s="3">
        <f t="shared" si="3"/>
        <v>6128.8919999999998</v>
      </c>
    </row>
    <row r="79" spans="1:9" x14ac:dyDescent="0.35">
      <c r="A79">
        <v>78</v>
      </c>
      <c r="B79">
        <v>13505511</v>
      </c>
      <c r="C79" t="s">
        <v>105</v>
      </c>
      <c r="D79" t="s">
        <v>357</v>
      </c>
      <c r="E79" t="s">
        <v>238</v>
      </c>
      <c r="F79" t="s">
        <v>294</v>
      </c>
      <c r="G79" s="3">
        <f t="shared" si="2"/>
        <v>6128.8919999999998</v>
      </c>
      <c r="H79" s="3">
        <f>+_xlfn.XLOOKUP(B79&amp;"-*",[3]Hoja1!$E:$E,[3]Hoja1!$AC:$AC,0,2)</f>
        <v>0</v>
      </c>
      <c r="I79" s="3">
        <f t="shared" si="3"/>
        <v>6128.8919999999998</v>
      </c>
    </row>
    <row r="80" spans="1:9" x14ac:dyDescent="0.35">
      <c r="A80">
        <v>79</v>
      </c>
      <c r="B80">
        <v>11895630</v>
      </c>
      <c r="C80" t="s">
        <v>131</v>
      </c>
      <c r="D80" t="s">
        <v>358</v>
      </c>
      <c r="E80" t="s">
        <v>267</v>
      </c>
      <c r="F80" t="s">
        <v>272</v>
      </c>
      <c r="G80" s="3">
        <f t="shared" si="2"/>
        <v>6128.8919999999998</v>
      </c>
      <c r="H80" s="3">
        <f>+_xlfn.XLOOKUP(B80&amp;"-*",[3]Hoja1!$E:$E,[3]Hoja1!$AC:$AC,0,2)</f>
        <v>0</v>
      </c>
      <c r="I80" s="3">
        <f t="shared" si="3"/>
        <v>6128.8919999999998</v>
      </c>
    </row>
    <row r="81" spans="1:9" x14ac:dyDescent="0.35">
      <c r="A81">
        <v>80</v>
      </c>
      <c r="B81">
        <v>9537477</v>
      </c>
      <c r="C81" t="s">
        <v>165</v>
      </c>
      <c r="D81" t="s">
        <v>359</v>
      </c>
      <c r="E81" t="s">
        <v>319</v>
      </c>
      <c r="F81" t="s">
        <v>360</v>
      </c>
      <c r="G81" s="3">
        <f t="shared" si="2"/>
        <v>6128.8919999999998</v>
      </c>
      <c r="H81" s="3">
        <f>+_xlfn.XLOOKUP(B81&amp;"-*",[3]Hoja1!$E:$E,[3]Hoja1!$AC:$AC,0,2)</f>
        <v>0</v>
      </c>
      <c r="I81" s="3">
        <f t="shared" si="3"/>
        <v>6128.8919999999998</v>
      </c>
    </row>
    <row r="82" spans="1:9" x14ac:dyDescent="0.35">
      <c r="A82">
        <v>81</v>
      </c>
      <c r="B82">
        <v>14508030</v>
      </c>
      <c r="C82" t="s">
        <v>198</v>
      </c>
      <c r="D82" t="s">
        <v>361</v>
      </c>
      <c r="E82" t="s">
        <v>311</v>
      </c>
      <c r="F82" t="s">
        <v>311</v>
      </c>
      <c r="G82" s="3">
        <f t="shared" si="2"/>
        <v>6128.8919999999998</v>
      </c>
      <c r="H82" s="3">
        <f>+_xlfn.XLOOKUP(B82&amp;"-*",[3]Hoja1!$E:$E,[3]Hoja1!$AC:$AC,0,2)</f>
        <v>0</v>
      </c>
      <c r="I82" s="3">
        <f t="shared" si="3"/>
        <v>6128.8919999999998</v>
      </c>
    </row>
    <row r="83" spans="1:9" x14ac:dyDescent="0.35">
      <c r="A83">
        <v>82</v>
      </c>
      <c r="B83">
        <v>10223124</v>
      </c>
      <c r="C83" t="s">
        <v>153</v>
      </c>
      <c r="D83" t="s">
        <v>362</v>
      </c>
      <c r="E83" t="s">
        <v>248</v>
      </c>
      <c r="F83" t="s">
        <v>249</v>
      </c>
      <c r="G83" s="3">
        <f t="shared" si="2"/>
        <v>6128.8919999999998</v>
      </c>
      <c r="H83" s="3">
        <f>+_xlfn.XLOOKUP(B83&amp;"-*",[3]Hoja1!$E:$E,[3]Hoja1!$AC:$AC,0,2)</f>
        <v>0</v>
      </c>
      <c r="I83" s="3">
        <f t="shared" si="3"/>
        <v>6128.8919999999998</v>
      </c>
    </row>
    <row r="84" spans="1:9" x14ac:dyDescent="0.35">
      <c r="A84">
        <v>83</v>
      </c>
      <c r="B84">
        <v>16023257</v>
      </c>
      <c r="C84" t="s">
        <v>36</v>
      </c>
      <c r="D84" t="s">
        <v>363</v>
      </c>
      <c r="E84" t="s">
        <v>238</v>
      </c>
      <c r="F84" t="s">
        <v>269</v>
      </c>
      <c r="G84" s="3">
        <f t="shared" si="2"/>
        <v>6128.8919999999998</v>
      </c>
      <c r="H84" s="3">
        <f>+_xlfn.XLOOKUP(B84&amp;"-*",[3]Hoja1!$E:$E,[3]Hoja1!$AC:$AC,0,2)</f>
        <v>0</v>
      </c>
      <c r="I84" s="3">
        <f t="shared" si="3"/>
        <v>6128.8919999999998</v>
      </c>
    </row>
    <row r="85" spans="1:9" x14ac:dyDescent="0.35">
      <c r="A85">
        <v>84</v>
      </c>
      <c r="B85">
        <v>16001355</v>
      </c>
      <c r="C85" t="s">
        <v>227</v>
      </c>
      <c r="D85" t="s">
        <v>364</v>
      </c>
      <c r="E85" t="s">
        <v>238</v>
      </c>
      <c r="F85" t="s">
        <v>285</v>
      </c>
      <c r="G85" s="3">
        <f t="shared" si="2"/>
        <v>6128.8919999999998</v>
      </c>
      <c r="H85" s="3">
        <f>+_xlfn.XLOOKUP(B85&amp;"-*",[3]Hoja1!$E:$E,[3]Hoja1!$AC:$AC,0,2)</f>
        <v>0</v>
      </c>
      <c r="I85" s="3">
        <f t="shared" si="3"/>
        <v>6128.8919999999998</v>
      </c>
    </row>
    <row r="86" spans="1:9" x14ac:dyDescent="0.35">
      <c r="A86">
        <v>85</v>
      </c>
      <c r="B86">
        <v>14399417</v>
      </c>
      <c r="C86" t="s">
        <v>78</v>
      </c>
      <c r="D86" t="s">
        <v>365</v>
      </c>
      <c r="E86" t="s">
        <v>251</v>
      </c>
      <c r="F86" t="s">
        <v>290</v>
      </c>
      <c r="G86" s="3">
        <f t="shared" si="2"/>
        <v>6128.8919999999998</v>
      </c>
      <c r="H86" s="3">
        <f>+_xlfn.XLOOKUP(B86&amp;"-*",[3]Hoja1!$E:$E,[3]Hoja1!$AC:$AC,0,2)</f>
        <v>46396.156534599999</v>
      </c>
      <c r="I86" s="3">
        <f t="shared" si="3"/>
        <v>52525.048534599999</v>
      </c>
    </row>
    <row r="87" spans="1:9" x14ac:dyDescent="0.35">
      <c r="A87">
        <v>86</v>
      </c>
      <c r="B87">
        <v>16001930</v>
      </c>
      <c r="C87" t="s">
        <v>37</v>
      </c>
      <c r="D87" t="s">
        <v>366</v>
      </c>
      <c r="E87" t="s">
        <v>238</v>
      </c>
      <c r="F87" t="s">
        <v>285</v>
      </c>
      <c r="G87" s="3">
        <f t="shared" si="2"/>
        <v>6128.8919999999998</v>
      </c>
      <c r="H87" s="3">
        <f>+_xlfn.XLOOKUP(B87&amp;"-*",[3]Hoja1!$E:$E,[3]Hoja1!$AC:$AC,0,2)</f>
        <v>46396.156534599999</v>
      </c>
      <c r="I87" s="3">
        <f t="shared" si="3"/>
        <v>52525.048534599999</v>
      </c>
    </row>
    <row r="88" spans="1:9" x14ac:dyDescent="0.35">
      <c r="A88">
        <v>87</v>
      </c>
      <c r="B88">
        <v>15923848</v>
      </c>
      <c r="C88" t="s">
        <v>205</v>
      </c>
      <c r="D88" t="s">
        <v>367</v>
      </c>
      <c r="E88" t="s">
        <v>238</v>
      </c>
      <c r="F88" t="s">
        <v>255</v>
      </c>
      <c r="G88" s="3">
        <f t="shared" si="2"/>
        <v>6128.8919999999998</v>
      </c>
      <c r="H88" s="3">
        <f>+_xlfn.XLOOKUP(B88&amp;"-*",[3]Hoja1!$E:$E,[3]Hoja1!$AC:$AC,0,2)</f>
        <v>0</v>
      </c>
      <c r="I88" s="3">
        <f t="shared" si="3"/>
        <v>6128.8919999999998</v>
      </c>
    </row>
    <row r="89" spans="1:9" x14ac:dyDescent="0.35">
      <c r="A89">
        <v>88</v>
      </c>
      <c r="B89">
        <v>11675234</v>
      </c>
      <c r="C89" t="s">
        <v>135</v>
      </c>
      <c r="D89" t="s">
        <v>368</v>
      </c>
      <c r="E89" t="s">
        <v>238</v>
      </c>
      <c r="F89" t="s">
        <v>246</v>
      </c>
      <c r="G89" s="3">
        <f t="shared" si="2"/>
        <v>6128.8919999999998</v>
      </c>
      <c r="H89" s="3">
        <f>+_xlfn.XLOOKUP(B89&amp;"-*",[3]Hoja1!$E:$E,[3]Hoja1!$AC:$AC,0,2)</f>
        <v>0</v>
      </c>
      <c r="I89" s="3">
        <f t="shared" si="3"/>
        <v>6128.8919999999998</v>
      </c>
    </row>
    <row r="90" spans="1:9" x14ac:dyDescent="0.35">
      <c r="A90">
        <v>89</v>
      </c>
      <c r="B90">
        <v>16792921</v>
      </c>
      <c r="C90" t="s">
        <v>223</v>
      </c>
      <c r="D90" t="s">
        <v>369</v>
      </c>
      <c r="E90" t="s">
        <v>251</v>
      </c>
      <c r="F90" t="s">
        <v>252</v>
      </c>
      <c r="G90" s="3">
        <f t="shared" si="2"/>
        <v>6128.8919999999998</v>
      </c>
      <c r="H90" s="3">
        <f>+_xlfn.XLOOKUP(B90&amp;"-*",[3]Hoja1!$E:$E,[3]Hoja1!$AC:$AC,0,2)</f>
        <v>0</v>
      </c>
      <c r="I90" s="3">
        <f t="shared" si="3"/>
        <v>6128.8919999999998</v>
      </c>
    </row>
    <row r="91" spans="1:9" x14ac:dyDescent="0.35">
      <c r="A91">
        <v>90</v>
      </c>
      <c r="B91">
        <v>13725804</v>
      </c>
      <c r="C91" t="s">
        <v>97</v>
      </c>
      <c r="D91" t="s">
        <v>370</v>
      </c>
      <c r="E91" t="s">
        <v>301</v>
      </c>
      <c r="F91" t="s">
        <v>371</v>
      </c>
      <c r="G91" s="3">
        <f t="shared" si="2"/>
        <v>6128.8919999999998</v>
      </c>
      <c r="H91" s="3">
        <f>+_xlfn.XLOOKUP(B91&amp;"-*",[3]Hoja1!$E:$E,[3]Hoja1!$AC:$AC,0,2)</f>
        <v>0</v>
      </c>
      <c r="I91" s="3">
        <f t="shared" si="3"/>
        <v>6128.8919999999998</v>
      </c>
    </row>
    <row r="92" spans="1:9" x14ac:dyDescent="0.35">
      <c r="A92">
        <v>91</v>
      </c>
      <c r="B92">
        <v>15569522</v>
      </c>
      <c r="C92" t="s">
        <v>57</v>
      </c>
      <c r="D92" t="s">
        <v>372</v>
      </c>
      <c r="E92" t="s">
        <v>238</v>
      </c>
      <c r="F92" t="s">
        <v>269</v>
      </c>
      <c r="G92" s="3">
        <f t="shared" si="2"/>
        <v>6128.8919999999998</v>
      </c>
      <c r="H92" s="3">
        <f>+_xlfn.XLOOKUP(B92&amp;"-*",[3]Hoja1!$E:$E,[3]Hoja1!$AC:$AC,0,2)</f>
        <v>0</v>
      </c>
      <c r="I92" s="3">
        <f t="shared" si="3"/>
        <v>6128.8919999999998</v>
      </c>
    </row>
    <row r="93" spans="1:9" x14ac:dyDescent="0.35">
      <c r="A93">
        <v>92</v>
      </c>
      <c r="B93">
        <v>14011885</v>
      </c>
      <c r="C93" t="s">
        <v>85</v>
      </c>
      <c r="D93" t="s">
        <v>373</v>
      </c>
      <c r="E93" t="s">
        <v>238</v>
      </c>
      <c r="F93" t="s">
        <v>257</v>
      </c>
      <c r="G93" s="3">
        <f t="shared" si="2"/>
        <v>6128.8919999999998</v>
      </c>
      <c r="H93" s="3">
        <f>+_xlfn.XLOOKUP(B93&amp;"-*",[3]Hoja1!$E:$E,[3]Hoja1!$AC:$AC,0,2)</f>
        <v>0</v>
      </c>
      <c r="I93" s="3">
        <f t="shared" si="3"/>
        <v>6128.8919999999998</v>
      </c>
    </row>
    <row r="94" spans="1:9" x14ac:dyDescent="0.35">
      <c r="A94">
        <v>93</v>
      </c>
      <c r="B94">
        <v>16092616</v>
      </c>
      <c r="C94" t="s">
        <v>35</v>
      </c>
      <c r="D94" t="s">
        <v>374</v>
      </c>
      <c r="E94" t="s">
        <v>311</v>
      </c>
      <c r="F94" t="s">
        <v>333</v>
      </c>
      <c r="G94" s="3">
        <f t="shared" si="2"/>
        <v>6128.8919999999998</v>
      </c>
      <c r="H94" s="3">
        <f>+_xlfn.XLOOKUP(B94&amp;"-*",[3]Hoja1!$E:$E,[3]Hoja1!$AC:$AC,0,2)</f>
        <v>0</v>
      </c>
      <c r="I94" s="3">
        <f t="shared" si="3"/>
        <v>6128.8919999999998</v>
      </c>
    </row>
    <row r="95" spans="1:9" x14ac:dyDescent="0.35">
      <c r="A95">
        <v>94</v>
      </c>
      <c r="B95">
        <v>13505248</v>
      </c>
      <c r="C95" t="s">
        <v>106</v>
      </c>
      <c r="D95" t="s">
        <v>375</v>
      </c>
      <c r="E95" t="s">
        <v>251</v>
      </c>
      <c r="F95" t="s">
        <v>282</v>
      </c>
      <c r="G95" s="3">
        <f t="shared" si="2"/>
        <v>6128.8919999999998</v>
      </c>
      <c r="H95" s="3">
        <f>+_xlfn.XLOOKUP(B95&amp;"-*",[3]Hoja1!$E:$E,[3]Hoja1!$AC:$AC,0,2)</f>
        <v>0</v>
      </c>
      <c r="I95" s="3">
        <f t="shared" si="3"/>
        <v>6128.8919999999998</v>
      </c>
    </row>
    <row r="96" spans="1:9" x14ac:dyDescent="0.35">
      <c r="A96">
        <v>95</v>
      </c>
      <c r="B96">
        <v>14253940</v>
      </c>
      <c r="C96" t="s">
        <v>82</v>
      </c>
      <c r="D96" t="s">
        <v>376</v>
      </c>
      <c r="E96" t="s">
        <v>311</v>
      </c>
      <c r="F96" t="s">
        <v>311</v>
      </c>
      <c r="G96" s="3">
        <f t="shared" si="2"/>
        <v>6128.8919999999998</v>
      </c>
      <c r="H96" s="3">
        <f>+_xlfn.XLOOKUP(B96&amp;"-*",[3]Hoja1!$E:$E,[3]Hoja1!$AC:$AC,0,2)</f>
        <v>0</v>
      </c>
      <c r="I96" s="3">
        <f t="shared" si="3"/>
        <v>6128.8919999999998</v>
      </c>
    </row>
    <row r="97" spans="1:9" x14ac:dyDescent="0.35">
      <c r="A97">
        <v>96</v>
      </c>
      <c r="B97">
        <v>15598017</v>
      </c>
      <c r="C97" t="s">
        <v>55</v>
      </c>
      <c r="D97" t="s">
        <v>377</v>
      </c>
      <c r="E97" t="s">
        <v>238</v>
      </c>
      <c r="F97" t="s">
        <v>246</v>
      </c>
      <c r="G97" s="3">
        <f t="shared" si="2"/>
        <v>6128.8919999999998</v>
      </c>
      <c r="H97" s="3">
        <f>+_xlfn.XLOOKUP(B97&amp;"-*",[3]Hoja1!$E:$E,[3]Hoja1!$AC:$AC,0,2)</f>
        <v>0</v>
      </c>
      <c r="I97" s="3">
        <f t="shared" si="3"/>
        <v>6128.8919999999998</v>
      </c>
    </row>
    <row r="98" spans="1:9" x14ac:dyDescent="0.35">
      <c r="A98">
        <v>97</v>
      </c>
      <c r="B98">
        <v>25944987</v>
      </c>
      <c r="C98" t="s">
        <v>208</v>
      </c>
      <c r="D98" t="s">
        <v>378</v>
      </c>
      <c r="E98" t="s">
        <v>296</v>
      </c>
      <c r="F98" t="s">
        <v>297</v>
      </c>
      <c r="G98" s="3">
        <f t="shared" si="2"/>
        <v>6128.8919999999998</v>
      </c>
      <c r="H98" s="3">
        <f>+_xlfn.XLOOKUP(B98&amp;"-*",[3]Hoja1!$E:$E,[3]Hoja1!$AC:$AC,0,2)</f>
        <v>0</v>
      </c>
      <c r="I98" s="3">
        <f t="shared" si="3"/>
        <v>6128.8919999999998</v>
      </c>
    </row>
    <row r="99" spans="1:9" x14ac:dyDescent="0.35">
      <c r="A99">
        <v>98</v>
      </c>
      <c r="B99">
        <v>13304000</v>
      </c>
      <c r="C99" t="s">
        <v>113</v>
      </c>
      <c r="D99" t="s">
        <v>379</v>
      </c>
      <c r="E99" t="s">
        <v>248</v>
      </c>
      <c r="F99" t="s">
        <v>249</v>
      </c>
      <c r="G99" s="3">
        <f t="shared" si="2"/>
        <v>6128.8919999999998</v>
      </c>
      <c r="H99" s="3">
        <f>+_xlfn.XLOOKUP(B99&amp;"-*",[3]Hoja1!$E:$E,[3]Hoja1!$AC:$AC,0,2)</f>
        <v>0</v>
      </c>
      <c r="I99" s="3">
        <f t="shared" si="3"/>
        <v>6128.8919999999998</v>
      </c>
    </row>
    <row r="100" spans="1:9" x14ac:dyDescent="0.35">
      <c r="A100">
        <v>99</v>
      </c>
      <c r="B100">
        <v>10286289</v>
      </c>
      <c r="C100" t="s">
        <v>152</v>
      </c>
      <c r="D100" t="s">
        <v>380</v>
      </c>
      <c r="E100" t="s">
        <v>346</v>
      </c>
      <c r="F100" t="s">
        <v>381</v>
      </c>
      <c r="G100" s="3">
        <f t="shared" si="2"/>
        <v>6128.8919999999998</v>
      </c>
      <c r="H100" s="3">
        <f>+_xlfn.XLOOKUP(B100&amp;"-*",[3]Hoja1!$E:$E,[3]Hoja1!$AC:$AC,0,2)</f>
        <v>0</v>
      </c>
      <c r="I100" s="3">
        <f t="shared" si="3"/>
        <v>6128.8919999999998</v>
      </c>
    </row>
    <row r="101" spans="1:9" x14ac:dyDescent="0.35">
      <c r="A101">
        <v>100</v>
      </c>
      <c r="B101">
        <v>16569157</v>
      </c>
      <c r="C101" t="s">
        <v>24</v>
      </c>
      <c r="D101" t="s">
        <v>382</v>
      </c>
      <c r="E101" t="s">
        <v>311</v>
      </c>
      <c r="F101" t="s">
        <v>333</v>
      </c>
      <c r="G101" s="3">
        <f t="shared" si="2"/>
        <v>6128.8919999999998</v>
      </c>
      <c r="H101" s="3">
        <f>+_xlfn.XLOOKUP(B101&amp;"-*",[3]Hoja1!$E:$E,[3]Hoja1!$AC:$AC,0,2)</f>
        <v>0</v>
      </c>
      <c r="I101" s="3">
        <f t="shared" si="3"/>
        <v>6128.8919999999998</v>
      </c>
    </row>
    <row r="102" spans="1:9" x14ac:dyDescent="0.35">
      <c r="A102">
        <v>101</v>
      </c>
      <c r="B102">
        <v>10140056</v>
      </c>
      <c r="C102" t="s">
        <v>155</v>
      </c>
      <c r="D102" t="s">
        <v>383</v>
      </c>
      <c r="E102" t="s">
        <v>319</v>
      </c>
      <c r="F102" t="s">
        <v>320</v>
      </c>
      <c r="G102" s="3">
        <f t="shared" si="2"/>
        <v>6128.8919999999998</v>
      </c>
      <c r="H102" s="3">
        <f>+_xlfn.XLOOKUP(B102&amp;"-*",[3]Hoja1!$E:$E,[3]Hoja1!$AC:$AC,0,2)</f>
        <v>0</v>
      </c>
      <c r="I102" s="3">
        <f t="shared" si="3"/>
        <v>6128.8919999999998</v>
      </c>
    </row>
    <row r="103" spans="1:9" x14ac:dyDescent="0.35">
      <c r="A103">
        <v>102</v>
      </c>
      <c r="B103">
        <v>15130564</v>
      </c>
      <c r="C103" t="s">
        <v>66</v>
      </c>
      <c r="D103" t="s">
        <v>384</v>
      </c>
      <c r="E103" t="s">
        <v>296</v>
      </c>
      <c r="F103" t="s">
        <v>328</v>
      </c>
      <c r="G103" s="3">
        <f t="shared" si="2"/>
        <v>6128.8919999999998</v>
      </c>
      <c r="H103" s="3">
        <f>+_xlfn.XLOOKUP(B103&amp;"-*",[3]Hoja1!$E:$E,[3]Hoja1!$AC:$AC,0,2)</f>
        <v>46396.156534599999</v>
      </c>
      <c r="I103" s="3">
        <f t="shared" si="3"/>
        <v>52525.048534599999</v>
      </c>
    </row>
    <row r="104" spans="1:9" x14ac:dyDescent="0.35">
      <c r="A104">
        <v>103</v>
      </c>
      <c r="B104">
        <v>7901566</v>
      </c>
      <c r="C104" t="s">
        <v>144</v>
      </c>
      <c r="D104" t="s">
        <v>385</v>
      </c>
      <c r="E104" t="s">
        <v>251</v>
      </c>
      <c r="F104" t="s">
        <v>282</v>
      </c>
      <c r="G104" s="3">
        <f t="shared" si="2"/>
        <v>6128.8919999999998</v>
      </c>
      <c r="H104" s="3">
        <f>+_xlfn.XLOOKUP(B104&amp;"-*",[3]Hoja1!$E:$E,[3]Hoja1!$AC:$AC,0,2)</f>
        <v>0</v>
      </c>
      <c r="I104" s="3">
        <f t="shared" si="3"/>
        <v>6128.8919999999998</v>
      </c>
    </row>
    <row r="105" spans="1:9" x14ac:dyDescent="0.35">
      <c r="A105">
        <v>104</v>
      </c>
      <c r="B105">
        <v>8186262</v>
      </c>
      <c r="C105" t="s">
        <v>184</v>
      </c>
      <c r="D105" t="s">
        <v>386</v>
      </c>
      <c r="E105" t="s">
        <v>238</v>
      </c>
      <c r="F105" t="s">
        <v>239</v>
      </c>
      <c r="G105" s="3">
        <f t="shared" si="2"/>
        <v>6128.8919999999998</v>
      </c>
      <c r="H105" s="3">
        <f>+_xlfn.XLOOKUP(B105&amp;"-*",[3]Hoja1!$E:$E,[3]Hoja1!$AC:$AC,0,2)</f>
        <v>23114.217786699999</v>
      </c>
      <c r="I105" s="3">
        <f t="shared" si="3"/>
        <v>29243.109786699999</v>
      </c>
    </row>
    <row r="106" spans="1:9" x14ac:dyDescent="0.35">
      <c r="A106">
        <v>105</v>
      </c>
      <c r="B106">
        <v>9086541</v>
      </c>
      <c r="C106" t="s">
        <v>174</v>
      </c>
      <c r="D106" t="s">
        <v>387</v>
      </c>
      <c r="E106" t="s">
        <v>346</v>
      </c>
      <c r="F106" t="s">
        <v>381</v>
      </c>
      <c r="G106" s="3">
        <f t="shared" si="2"/>
        <v>6128.8919999999998</v>
      </c>
      <c r="H106" s="3">
        <f>+_xlfn.XLOOKUP(B106&amp;"-*",[3]Hoja1!$E:$E,[3]Hoja1!$AC:$AC,0,2)</f>
        <v>0</v>
      </c>
      <c r="I106" s="3">
        <f t="shared" si="3"/>
        <v>6128.8919999999998</v>
      </c>
    </row>
    <row r="107" spans="1:9" x14ac:dyDescent="0.35">
      <c r="A107">
        <v>106</v>
      </c>
      <c r="B107">
        <v>9098526</v>
      </c>
      <c r="C107" t="s">
        <v>232</v>
      </c>
      <c r="D107" t="s">
        <v>388</v>
      </c>
      <c r="E107" t="s">
        <v>346</v>
      </c>
      <c r="F107" t="s">
        <v>347</v>
      </c>
      <c r="G107" s="3">
        <f t="shared" si="2"/>
        <v>6128.8919999999998</v>
      </c>
      <c r="H107" s="3">
        <f>+_xlfn.XLOOKUP(B107&amp;"-*",[3]Hoja1!$E:$E,[3]Hoja1!$AC:$AC,0,2)</f>
        <v>46396.156534599999</v>
      </c>
      <c r="I107" s="3">
        <f t="shared" si="3"/>
        <v>52525.048534599999</v>
      </c>
    </row>
    <row r="108" spans="1:9" x14ac:dyDescent="0.35">
      <c r="A108">
        <v>107</v>
      </c>
      <c r="B108">
        <v>16484439</v>
      </c>
      <c r="C108" t="s">
        <v>28</v>
      </c>
      <c r="D108" t="s">
        <v>389</v>
      </c>
      <c r="E108" t="s">
        <v>311</v>
      </c>
      <c r="F108" t="s">
        <v>333</v>
      </c>
      <c r="G108" s="3">
        <f t="shared" si="2"/>
        <v>6128.8919999999998</v>
      </c>
      <c r="H108" s="3">
        <f>+_xlfn.XLOOKUP(B108&amp;"-*",[3]Hoja1!$E:$E,[3]Hoja1!$AC:$AC,0,2)</f>
        <v>0</v>
      </c>
      <c r="I108" s="3">
        <f t="shared" si="3"/>
        <v>6128.8919999999998</v>
      </c>
    </row>
    <row r="109" spans="1:9" x14ac:dyDescent="0.35">
      <c r="A109">
        <v>108</v>
      </c>
      <c r="B109">
        <v>13572240</v>
      </c>
      <c r="C109" t="s">
        <v>104</v>
      </c>
      <c r="D109" t="s">
        <v>390</v>
      </c>
      <c r="E109" t="s">
        <v>238</v>
      </c>
      <c r="F109" t="s">
        <v>246</v>
      </c>
      <c r="G109" s="3">
        <f t="shared" si="2"/>
        <v>6128.8919999999998</v>
      </c>
      <c r="H109" s="3">
        <f>+_xlfn.XLOOKUP(B109&amp;"-*",[3]Hoja1!$E:$E,[3]Hoja1!$AC:$AC,0,2)</f>
        <v>0</v>
      </c>
      <c r="I109" s="3">
        <f t="shared" si="3"/>
        <v>6128.8919999999998</v>
      </c>
    </row>
    <row r="110" spans="1:9" x14ac:dyDescent="0.35">
      <c r="A110">
        <v>109</v>
      </c>
      <c r="B110">
        <v>10960782</v>
      </c>
      <c r="C110" t="s">
        <v>140</v>
      </c>
      <c r="D110" t="s">
        <v>391</v>
      </c>
      <c r="E110" t="s">
        <v>251</v>
      </c>
      <c r="F110" t="s">
        <v>290</v>
      </c>
      <c r="G110" s="3">
        <f t="shared" si="2"/>
        <v>6128.8919999999998</v>
      </c>
      <c r="H110" s="3">
        <f>+_xlfn.XLOOKUP(B110&amp;"-*",[3]Hoja1!$E:$E,[3]Hoja1!$AC:$AC,0,2)</f>
        <v>68171.330979399994</v>
      </c>
      <c r="I110" s="3">
        <f t="shared" si="3"/>
        <v>74300.222979399987</v>
      </c>
    </row>
    <row r="111" spans="1:9" x14ac:dyDescent="0.35">
      <c r="A111">
        <v>110</v>
      </c>
      <c r="B111">
        <v>12899066</v>
      </c>
      <c r="C111" t="s">
        <v>121</v>
      </c>
      <c r="D111" t="s">
        <v>392</v>
      </c>
      <c r="E111" t="s">
        <v>296</v>
      </c>
      <c r="F111" t="s">
        <v>328</v>
      </c>
      <c r="G111" s="3">
        <f t="shared" si="2"/>
        <v>6128.8919999999998</v>
      </c>
      <c r="H111" s="3">
        <f>+_xlfn.XLOOKUP(B111&amp;"-*",[3]Hoja1!$E:$E,[3]Hoja1!$AC:$AC,0,2)</f>
        <v>0</v>
      </c>
      <c r="I111" s="3">
        <f t="shared" si="3"/>
        <v>6128.8919999999998</v>
      </c>
    </row>
    <row r="112" spans="1:9" x14ac:dyDescent="0.35">
      <c r="A112">
        <v>111</v>
      </c>
      <c r="B112">
        <v>11919599</v>
      </c>
      <c r="C112" t="s">
        <v>220</v>
      </c>
      <c r="D112" t="s">
        <v>393</v>
      </c>
      <c r="E112" t="s">
        <v>346</v>
      </c>
      <c r="F112" t="s">
        <v>394</v>
      </c>
      <c r="G112" s="3">
        <f t="shared" si="2"/>
        <v>6128.8919999999998</v>
      </c>
      <c r="H112" s="3">
        <f>+_xlfn.XLOOKUP(B112&amp;"-*",[3]Hoja1!$E:$E,[3]Hoja1!$AC:$AC,0,2)</f>
        <v>0</v>
      </c>
      <c r="I112" s="3">
        <f t="shared" si="3"/>
        <v>6128.8919999999998</v>
      </c>
    </row>
    <row r="113" spans="1:9" x14ac:dyDescent="0.35">
      <c r="A113">
        <v>112</v>
      </c>
      <c r="B113">
        <v>18672598</v>
      </c>
      <c r="C113" t="s">
        <v>11</v>
      </c>
      <c r="D113" t="s">
        <v>395</v>
      </c>
      <c r="E113" t="s">
        <v>311</v>
      </c>
      <c r="F113" t="s">
        <v>333</v>
      </c>
      <c r="G113" s="3">
        <f t="shared" si="2"/>
        <v>6128.8919999999998</v>
      </c>
      <c r="H113" s="3">
        <f>+_xlfn.XLOOKUP(B113&amp;"-*",[3]Hoja1!$E:$E,[3]Hoja1!$AC:$AC,0,2)</f>
        <v>0</v>
      </c>
      <c r="I113" s="3">
        <f t="shared" si="3"/>
        <v>6128.8919999999998</v>
      </c>
    </row>
    <row r="114" spans="1:9" x14ac:dyDescent="0.35">
      <c r="A114">
        <v>113</v>
      </c>
      <c r="B114">
        <v>13458926</v>
      </c>
      <c r="C114" t="s">
        <v>108</v>
      </c>
      <c r="D114" t="s">
        <v>396</v>
      </c>
      <c r="E114" t="s">
        <v>397</v>
      </c>
      <c r="F114" t="s">
        <v>397</v>
      </c>
      <c r="G114" s="3">
        <f t="shared" si="2"/>
        <v>6128.8919999999998</v>
      </c>
      <c r="H114" s="3">
        <f>+_xlfn.XLOOKUP(B114&amp;"-*",[3]Hoja1!$E:$E,[3]Hoja1!$AC:$AC,0,2)</f>
        <v>33126.909607299996</v>
      </c>
      <c r="I114" s="3">
        <f t="shared" si="3"/>
        <v>39255.801607299996</v>
      </c>
    </row>
    <row r="115" spans="1:9" x14ac:dyDescent="0.35">
      <c r="A115">
        <v>114</v>
      </c>
      <c r="B115">
        <v>13971764</v>
      </c>
      <c r="C115" t="s">
        <v>86</v>
      </c>
      <c r="D115" t="s">
        <v>398</v>
      </c>
      <c r="E115" t="s">
        <v>267</v>
      </c>
      <c r="F115" t="s">
        <v>272</v>
      </c>
      <c r="G115" s="3">
        <f t="shared" si="2"/>
        <v>6128.8919999999998</v>
      </c>
      <c r="H115" s="3">
        <f>+_xlfn.XLOOKUP(B115&amp;"-*",[3]Hoja1!$E:$E,[3]Hoja1!$AC:$AC,0,2)</f>
        <v>0</v>
      </c>
      <c r="I115" s="3">
        <f t="shared" si="3"/>
        <v>6128.8919999999998</v>
      </c>
    </row>
    <row r="116" spans="1:9" x14ac:dyDescent="0.35">
      <c r="A116">
        <v>115</v>
      </c>
      <c r="B116">
        <v>15991561</v>
      </c>
      <c r="C116" t="s">
        <v>40</v>
      </c>
      <c r="D116" t="s">
        <v>399</v>
      </c>
      <c r="E116" t="s">
        <v>238</v>
      </c>
      <c r="F116" t="s">
        <v>246</v>
      </c>
      <c r="G116" s="3">
        <f t="shared" si="2"/>
        <v>6128.8919999999998</v>
      </c>
      <c r="H116" s="3">
        <f>+_xlfn.XLOOKUP(B116&amp;"-*",[3]Hoja1!$E:$E,[3]Hoja1!$AC:$AC,0,2)</f>
        <v>46396.156534599999</v>
      </c>
      <c r="I116" s="3">
        <f t="shared" si="3"/>
        <v>52525.048534599999</v>
      </c>
    </row>
    <row r="117" spans="1:9" x14ac:dyDescent="0.35">
      <c r="A117">
        <v>116</v>
      </c>
      <c r="B117">
        <v>17404279</v>
      </c>
      <c r="C117" t="s">
        <v>17</v>
      </c>
      <c r="D117" t="s">
        <v>400</v>
      </c>
      <c r="E117" t="s">
        <v>267</v>
      </c>
      <c r="F117" t="s">
        <v>267</v>
      </c>
      <c r="G117" s="3">
        <f t="shared" si="2"/>
        <v>6128.8919999999998</v>
      </c>
      <c r="H117" s="3">
        <f>+_xlfn.XLOOKUP(B117&amp;"-*",[3]Hoja1!$E:$E,[3]Hoja1!$AC:$AC,0,2)</f>
        <v>0</v>
      </c>
      <c r="I117" s="3">
        <f t="shared" si="3"/>
        <v>6128.8919999999998</v>
      </c>
    </row>
    <row r="118" spans="1:9" x14ac:dyDescent="0.35">
      <c r="A118">
        <v>117</v>
      </c>
      <c r="B118">
        <v>10959102</v>
      </c>
      <c r="C118" t="s">
        <v>141</v>
      </c>
      <c r="D118" t="s">
        <v>401</v>
      </c>
      <c r="E118" t="s">
        <v>319</v>
      </c>
      <c r="F118" t="s">
        <v>402</v>
      </c>
      <c r="G118" s="3">
        <f t="shared" si="2"/>
        <v>6128.8919999999998</v>
      </c>
      <c r="H118" s="3">
        <f>+_xlfn.XLOOKUP(B118&amp;"-*",[3]Hoja1!$E:$E,[3]Hoja1!$AC:$AC,0,2)</f>
        <v>0</v>
      </c>
      <c r="I118" s="3">
        <f t="shared" si="3"/>
        <v>6128.8919999999998</v>
      </c>
    </row>
    <row r="119" spans="1:9" x14ac:dyDescent="0.35">
      <c r="A119">
        <v>118</v>
      </c>
      <c r="B119">
        <v>16298280</v>
      </c>
      <c r="C119" t="s">
        <v>200</v>
      </c>
      <c r="D119" t="s">
        <v>403</v>
      </c>
      <c r="E119" t="s">
        <v>296</v>
      </c>
      <c r="F119" t="s">
        <v>328</v>
      </c>
      <c r="G119" s="3">
        <f t="shared" si="2"/>
        <v>6128.8919999999998</v>
      </c>
      <c r="H119" s="3">
        <f>+_xlfn.XLOOKUP(B119&amp;"-*",[3]Hoja1!$E:$E,[3]Hoja1!$AC:$AC,0,2)</f>
        <v>46396.156534599999</v>
      </c>
      <c r="I119" s="3">
        <f t="shared" si="3"/>
        <v>52525.048534599999</v>
      </c>
    </row>
    <row r="120" spans="1:9" x14ac:dyDescent="0.35">
      <c r="A120">
        <v>119</v>
      </c>
      <c r="B120">
        <v>21280946</v>
      </c>
      <c r="C120" t="s">
        <v>10</v>
      </c>
      <c r="D120" t="s">
        <v>404</v>
      </c>
      <c r="E120" t="s">
        <v>296</v>
      </c>
      <c r="F120" t="s">
        <v>328</v>
      </c>
      <c r="G120" s="3">
        <f t="shared" si="2"/>
        <v>6128.8919999999998</v>
      </c>
      <c r="H120" s="3">
        <f>+_xlfn.XLOOKUP(B120&amp;"-*",[3]Hoja1!$E:$E,[3]Hoja1!$AC:$AC,0,2)</f>
        <v>0</v>
      </c>
      <c r="I120" s="3">
        <f t="shared" si="3"/>
        <v>6128.8919999999998</v>
      </c>
    </row>
    <row r="121" spans="1:9" x14ac:dyDescent="0.35">
      <c r="A121">
        <v>120</v>
      </c>
      <c r="B121">
        <v>10212771</v>
      </c>
      <c r="C121" t="s">
        <v>154</v>
      </c>
      <c r="D121" t="s">
        <v>405</v>
      </c>
      <c r="E121" t="s">
        <v>311</v>
      </c>
      <c r="F121" t="s">
        <v>311</v>
      </c>
      <c r="G121" s="3">
        <f t="shared" si="2"/>
        <v>6128.8919999999998</v>
      </c>
      <c r="H121" s="3">
        <f>+_xlfn.XLOOKUP(B121&amp;"-*",[3]Hoja1!$E:$E,[3]Hoja1!$AC:$AC,0,2)</f>
        <v>66664.56667629999</v>
      </c>
      <c r="I121" s="3">
        <f t="shared" si="3"/>
        <v>72793.458676299982</v>
      </c>
    </row>
    <row r="122" spans="1:9" x14ac:dyDescent="0.35">
      <c r="A122">
        <v>121</v>
      </c>
      <c r="B122">
        <v>23531888</v>
      </c>
      <c r="C122" t="s">
        <v>4</v>
      </c>
      <c r="D122" t="s">
        <v>406</v>
      </c>
      <c r="E122" t="s">
        <v>407</v>
      </c>
      <c r="F122" t="s">
        <v>407</v>
      </c>
      <c r="G122" s="3">
        <f t="shared" si="2"/>
        <v>6128.8919999999998</v>
      </c>
      <c r="H122" s="3">
        <f>+_xlfn.XLOOKUP(B122&amp;"-*",[3]Hoja1!$E:$E,[3]Hoja1!$AC:$AC,0,2)</f>
        <v>0</v>
      </c>
      <c r="I122" s="3">
        <f t="shared" si="3"/>
        <v>6128.8919999999998</v>
      </c>
    </row>
    <row r="123" spans="1:9" x14ac:dyDescent="0.35">
      <c r="A123">
        <v>122</v>
      </c>
      <c r="B123">
        <v>15791635</v>
      </c>
      <c r="C123" t="s">
        <v>48</v>
      </c>
      <c r="D123" t="s">
        <v>408</v>
      </c>
      <c r="E123" t="s">
        <v>296</v>
      </c>
      <c r="F123" t="s">
        <v>297</v>
      </c>
      <c r="G123" s="3">
        <f t="shared" si="2"/>
        <v>6128.8919999999998</v>
      </c>
      <c r="H123" s="3">
        <f>+_xlfn.XLOOKUP(B123&amp;"-*",[3]Hoja1!$E:$E,[3]Hoja1!$AC:$AC,0,2)</f>
        <v>23114.217786699999</v>
      </c>
      <c r="I123" s="3">
        <f t="shared" si="3"/>
        <v>29243.109786699999</v>
      </c>
    </row>
    <row r="124" spans="1:9" x14ac:dyDescent="0.35">
      <c r="A124">
        <v>123</v>
      </c>
      <c r="B124">
        <v>13611187</v>
      </c>
      <c r="C124" t="s">
        <v>102</v>
      </c>
      <c r="D124" t="s">
        <v>409</v>
      </c>
      <c r="E124" t="s">
        <v>238</v>
      </c>
      <c r="F124" t="s">
        <v>257</v>
      </c>
      <c r="G124" s="3">
        <f t="shared" si="2"/>
        <v>6128.8919999999998</v>
      </c>
      <c r="H124" s="3">
        <f>+_xlfn.XLOOKUP(B124&amp;"-*",[3]Hoja1!$E:$E,[3]Hoja1!$AC:$AC,0,2)</f>
        <v>0</v>
      </c>
      <c r="I124" s="3">
        <f t="shared" si="3"/>
        <v>6128.8919999999998</v>
      </c>
    </row>
    <row r="125" spans="1:9" x14ac:dyDescent="0.35">
      <c r="A125">
        <v>124</v>
      </c>
      <c r="B125">
        <v>14399511</v>
      </c>
      <c r="C125" t="s">
        <v>77</v>
      </c>
      <c r="D125" t="s">
        <v>410</v>
      </c>
      <c r="E125" t="s">
        <v>238</v>
      </c>
      <c r="F125" t="s">
        <v>239</v>
      </c>
      <c r="G125" s="3">
        <f t="shared" si="2"/>
        <v>6128.8919999999998</v>
      </c>
      <c r="H125" s="3">
        <f>+_xlfn.XLOOKUP(B125&amp;"-*",[3]Hoja1!$E:$E,[3]Hoja1!$AC:$AC,0,2)</f>
        <v>0</v>
      </c>
      <c r="I125" s="3">
        <f t="shared" si="3"/>
        <v>6128.8919999999998</v>
      </c>
    </row>
    <row r="126" spans="1:9" x14ac:dyDescent="0.35">
      <c r="A126">
        <v>125</v>
      </c>
      <c r="B126">
        <v>15222185</v>
      </c>
      <c r="C126" t="s">
        <v>60</v>
      </c>
      <c r="D126" t="s">
        <v>411</v>
      </c>
      <c r="E126" t="s">
        <v>238</v>
      </c>
      <c r="F126" t="s">
        <v>269</v>
      </c>
      <c r="G126" s="3">
        <f t="shared" si="2"/>
        <v>6128.8919999999998</v>
      </c>
      <c r="H126" s="3">
        <f>+_xlfn.XLOOKUP(B126&amp;"-*",[3]Hoja1!$E:$E,[3]Hoja1!$AC:$AC,0,2)</f>
        <v>0</v>
      </c>
      <c r="I126" s="3">
        <f t="shared" si="3"/>
        <v>6128.8919999999998</v>
      </c>
    </row>
    <row r="127" spans="1:9" x14ac:dyDescent="0.35">
      <c r="A127">
        <v>126</v>
      </c>
      <c r="B127">
        <v>10087812</v>
      </c>
      <c r="C127" t="s">
        <v>157</v>
      </c>
      <c r="D127" t="s">
        <v>412</v>
      </c>
      <c r="E127" t="s">
        <v>238</v>
      </c>
      <c r="F127" t="s">
        <v>241</v>
      </c>
      <c r="G127" s="3">
        <f t="shared" si="2"/>
        <v>6128.8919999999998</v>
      </c>
      <c r="H127" s="3">
        <f>+_xlfn.XLOOKUP(B127&amp;"-*",[3]Hoja1!$E:$E,[3]Hoja1!$AC:$AC,0,2)</f>
        <v>46396.156534599999</v>
      </c>
      <c r="I127" s="3">
        <f t="shared" si="3"/>
        <v>52525.048534599999</v>
      </c>
    </row>
    <row r="128" spans="1:9" x14ac:dyDescent="0.35">
      <c r="A128">
        <v>127</v>
      </c>
      <c r="B128">
        <v>13950341</v>
      </c>
      <c r="C128" t="s">
        <v>225</v>
      </c>
      <c r="D128" t="s">
        <v>413</v>
      </c>
      <c r="E128" t="s">
        <v>267</v>
      </c>
      <c r="F128" t="s">
        <v>272</v>
      </c>
      <c r="G128" s="3">
        <f t="shared" si="2"/>
        <v>6128.8919999999998</v>
      </c>
      <c r="H128" s="3">
        <f>+_xlfn.XLOOKUP(B128&amp;"-*",[3]Hoja1!$E:$E,[3]Hoja1!$AC:$AC,0,2)</f>
        <v>0</v>
      </c>
      <c r="I128" s="3">
        <f t="shared" si="3"/>
        <v>6128.8919999999998</v>
      </c>
    </row>
    <row r="129" spans="1:9" x14ac:dyDescent="0.35">
      <c r="A129">
        <v>128</v>
      </c>
      <c r="B129">
        <v>18111746</v>
      </c>
      <c r="C129" t="s">
        <v>203</v>
      </c>
      <c r="D129" t="s">
        <v>414</v>
      </c>
      <c r="E129" t="s">
        <v>311</v>
      </c>
      <c r="F129" t="s">
        <v>333</v>
      </c>
      <c r="G129" s="3">
        <f t="shared" si="2"/>
        <v>6128.8919999999998</v>
      </c>
      <c r="H129" s="3">
        <f>+_xlfn.XLOOKUP(B129&amp;"-*",[3]Hoja1!$E:$E,[3]Hoja1!$AC:$AC,0,2)</f>
        <v>0</v>
      </c>
      <c r="I129" s="3">
        <f t="shared" si="3"/>
        <v>6128.8919999999998</v>
      </c>
    </row>
    <row r="130" spans="1:9" x14ac:dyDescent="0.35">
      <c r="A130">
        <v>129</v>
      </c>
      <c r="B130">
        <v>9093951</v>
      </c>
      <c r="C130" t="s">
        <v>173</v>
      </c>
      <c r="D130" t="s">
        <v>415</v>
      </c>
      <c r="E130" t="s">
        <v>316</v>
      </c>
      <c r="F130" t="s">
        <v>316</v>
      </c>
      <c r="G130" s="3">
        <f t="shared" si="2"/>
        <v>6128.8919999999998</v>
      </c>
      <c r="H130" s="3">
        <f>+_xlfn.XLOOKUP(B130&amp;"-*",[3]Hoja1!$E:$E,[3]Hoja1!$AC:$AC,0,2)</f>
        <v>0</v>
      </c>
      <c r="I130" s="3">
        <f t="shared" si="3"/>
        <v>6128.8919999999998</v>
      </c>
    </row>
    <row r="131" spans="1:9" x14ac:dyDescent="0.35">
      <c r="A131">
        <v>130</v>
      </c>
      <c r="B131">
        <v>14495469</v>
      </c>
      <c r="C131" t="s">
        <v>221</v>
      </c>
      <c r="D131" t="s">
        <v>416</v>
      </c>
      <c r="E131" t="s">
        <v>267</v>
      </c>
      <c r="F131" t="s">
        <v>272</v>
      </c>
      <c r="G131" s="3">
        <f t="shared" ref="G131:G194" si="4">0.15*$J$1</f>
        <v>6128.8919999999998</v>
      </c>
      <c r="H131" s="3">
        <f>+_xlfn.XLOOKUP(B131&amp;"-*",[3]Hoja1!$E:$E,[3]Hoja1!$AC:$AC,0,2)</f>
        <v>46396.156534599999</v>
      </c>
      <c r="I131" s="3">
        <f t="shared" ref="I131:I194" si="5">+G131+H131</f>
        <v>52525.048534599999</v>
      </c>
    </row>
    <row r="132" spans="1:9" x14ac:dyDescent="0.35">
      <c r="A132">
        <v>131</v>
      </c>
      <c r="B132">
        <v>8827036</v>
      </c>
      <c r="C132" t="s">
        <v>181</v>
      </c>
      <c r="D132" t="s">
        <v>417</v>
      </c>
      <c r="E132" t="s">
        <v>238</v>
      </c>
      <c r="F132" t="s">
        <v>241</v>
      </c>
      <c r="G132" s="3">
        <f t="shared" si="4"/>
        <v>6128.8919999999998</v>
      </c>
      <c r="H132" s="3">
        <f>+_xlfn.XLOOKUP(B132&amp;"-*",[3]Hoja1!$E:$E,[3]Hoja1!$AC:$AC,0,2)</f>
        <v>0</v>
      </c>
      <c r="I132" s="3">
        <f t="shared" si="5"/>
        <v>6128.8919999999998</v>
      </c>
    </row>
    <row r="133" spans="1:9" x14ac:dyDescent="0.35">
      <c r="A133">
        <v>132</v>
      </c>
      <c r="B133">
        <v>16273108</v>
      </c>
      <c r="C133" t="s">
        <v>33</v>
      </c>
      <c r="D133" t="s">
        <v>418</v>
      </c>
      <c r="E133" t="s">
        <v>238</v>
      </c>
      <c r="F133" t="s">
        <v>257</v>
      </c>
      <c r="G133" s="3">
        <f t="shared" si="4"/>
        <v>6128.8919999999998</v>
      </c>
      <c r="H133" s="3">
        <f>+_xlfn.XLOOKUP(B133&amp;"-*",[3]Hoja1!$E:$E,[3]Hoja1!$AC:$AC,0,2)</f>
        <v>0</v>
      </c>
      <c r="I133" s="3">
        <f t="shared" si="5"/>
        <v>6128.8919999999998</v>
      </c>
    </row>
    <row r="134" spans="1:9" x14ac:dyDescent="0.35">
      <c r="A134">
        <v>133</v>
      </c>
      <c r="B134">
        <v>15319370</v>
      </c>
      <c r="C134" t="s">
        <v>59</v>
      </c>
      <c r="D134" t="s">
        <v>419</v>
      </c>
      <c r="E134" t="s">
        <v>319</v>
      </c>
      <c r="F134" t="s">
        <v>320</v>
      </c>
      <c r="G134" s="3">
        <f t="shared" si="4"/>
        <v>6128.8919999999998</v>
      </c>
      <c r="H134" s="3">
        <f>+_xlfn.XLOOKUP(B134&amp;"-*",[3]Hoja1!$E:$E,[3]Hoja1!$AC:$AC,0,2)</f>
        <v>0</v>
      </c>
      <c r="I134" s="3">
        <f t="shared" si="5"/>
        <v>6128.8919999999998</v>
      </c>
    </row>
    <row r="135" spans="1:9" x14ac:dyDescent="0.35">
      <c r="A135">
        <v>134</v>
      </c>
      <c r="B135">
        <v>15204508</v>
      </c>
      <c r="C135" t="s">
        <v>61</v>
      </c>
      <c r="D135" t="s">
        <v>420</v>
      </c>
      <c r="E135" t="s">
        <v>238</v>
      </c>
      <c r="F135" t="s">
        <v>241</v>
      </c>
      <c r="G135" s="3">
        <f t="shared" si="4"/>
        <v>6128.8919999999998</v>
      </c>
      <c r="H135" s="3">
        <f>+_xlfn.XLOOKUP(B135&amp;"-*",[3]Hoja1!$E:$E,[3]Hoja1!$AC:$AC,0,2)</f>
        <v>0</v>
      </c>
      <c r="I135" s="3">
        <f t="shared" si="5"/>
        <v>6128.8919999999998</v>
      </c>
    </row>
    <row r="136" spans="1:9" x14ac:dyDescent="0.35">
      <c r="A136">
        <v>135</v>
      </c>
      <c r="B136">
        <v>11130062</v>
      </c>
      <c r="C136" t="s">
        <v>138</v>
      </c>
      <c r="D136" t="s">
        <v>421</v>
      </c>
      <c r="E136" t="s">
        <v>238</v>
      </c>
      <c r="F136" t="s">
        <v>246</v>
      </c>
      <c r="G136" s="3">
        <f t="shared" si="4"/>
        <v>6128.8919999999998</v>
      </c>
      <c r="H136" s="3">
        <f>+_xlfn.XLOOKUP(B136&amp;"-*",[3]Hoja1!$E:$E,[3]Hoja1!$AC:$AC,0,2)</f>
        <v>33126.909607299996</v>
      </c>
      <c r="I136" s="3">
        <f t="shared" si="5"/>
        <v>39255.801607299996</v>
      </c>
    </row>
    <row r="137" spans="1:9" x14ac:dyDescent="0.35">
      <c r="A137">
        <v>136</v>
      </c>
      <c r="B137">
        <v>25369222</v>
      </c>
      <c r="C137" t="s">
        <v>0</v>
      </c>
      <c r="D137" t="s">
        <v>422</v>
      </c>
      <c r="E137" t="s">
        <v>267</v>
      </c>
      <c r="F137" t="s">
        <v>423</v>
      </c>
      <c r="G137" s="3">
        <f t="shared" si="4"/>
        <v>6128.8919999999998</v>
      </c>
      <c r="H137" s="3">
        <f>+_xlfn.XLOOKUP(B137&amp;"-*",[3]Hoja1!$E:$E,[3]Hoja1!$AC:$AC,0,2)</f>
        <v>0</v>
      </c>
      <c r="I137" s="3">
        <f t="shared" si="5"/>
        <v>6128.8919999999998</v>
      </c>
    </row>
    <row r="138" spans="1:9" x14ac:dyDescent="0.35">
      <c r="A138">
        <v>137</v>
      </c>
      <c r="B138">
        <v>8656541</v>
      </c>
      <c r="C138" t="s">
        <v>187</v>
      </c>
      <c r="D138" t="s">
        <v>424</v>
      </c>
      <c r="E138" t="s">
        <v>238</v>
      </c>
      <c r="F138" t="s">
        <v>322</v>
      </c>
      <c r="G138" s="3">
        <f t="shared" si="4"/>
        <v>6128.8919999999998</v>
      </c>
      <c r="H138" s="3">
        <f>+_xlfn.XLOOKUP(B138&amp;"-*",[3]Hoja1!$E:$E,[3]Hoja1!$AC:$AC,0,2)</f>
        <v>0</v>
      </c>
      <c r="I138" s="3">
        <f t="shared" si="5"/>
        <v>6128.8919999999998</v>
      </c>
    </row>
    <row r="139" spans="1:9" x14ac:dyDescent="0.35">
      <c r="A139">
        <v>138</v>
      </c>
      <c r="B139">
        <v>15809256</v>
      </c>
      <c r="C139" t="s">
        <v>45</v>
      </c>
      <c r="D139" t="s">
        <v>425</v>
      </c>
      <c r="E139" t="s">
        <v>296</v>
      </c>
      <c r="F139" t="s">
        <v>328</v>
      </c>
      <c r="G139" s="3">
        <f t="shared" si="4"/>
        <v>6128.8919999999998</v>
      </c>
      <c r="H139" s="3">
        <f>+_xlfn.XLOOKUP(B139&amp;"-*",[3]Hoja1!$E:$E,[3]Hoja1!$AC:$AC,0,2)</f>
        <v>68171.330979399994</v>
      </c>
      <c r="I139" s="3">
        <f t="shared" si="5"/>
        <v>74300.222979399987</v>
      </c>
    </row>
    <row r="140" spans="1:9" x14ac:dyDescent="0.35">
      <c r="A140">
        <v>139</v>
      </c>
      <c r="B140">
        <v>8912298</v>
      </c>
      <c r="C140" t="s">
        <v>178</v>
      </c>
      <c r="D140" t="s">
        <v>426</v>
      </c>
      <c r="E140" t="s">
        <v>427</v>
      </c>
      <c r="F140" t="s">
        <v>428</v>
      </c>
      <c r="G140" s="3">
        <f t="shared" si="4"/>
        <v>6128.8919999999998</v>
      </c>
      <c r="H140" s="3">
        <f>+_xlfn.XLOOKUP(B140&amp;"-*",[3]Hoja1!$E:$E,[3]Hoja1!$AC:$AC,0,2)</f>
        <v>0</v>
      </c>
      <c r="I140" s="3">
        <f t="shared" si="5"/>
        <v>6128.8919999999998</v>
      </c>
    </row>
    <row r="141" spans="1:9" x14ac:dyDescent="0.35">
      <c r="A141">
        <v>140</v>
      </c>
      <c r="B141">
        <v>16999327</v>
      </c>
      <c r="C141" t="s">
        <v>21</v>
      </c>
      <c r="D141" t="s">
        <v>429</v>
      </c>
      <c r="E141" t="s">
        <v>248</v>
      </c>
      <c r="F141" t="s">
        <v>335</v>
      </c>
      <c r="G141" s="3">
        <f t="shared" si="4"/>
        <v>6128.8919999999998</v>
      </c>
      <c r="H141" s="3">
        <f>+_xlfn.XLOOKUP(B141&amp;"-*",[3]Hoja1!$E:$E,[3]Hoja1!$AC:$AC,0,2)</f>
        <v>0</v>
      </c>
      <c r="I141" s="3">
        <f t="shared" si="5"/>
        <v>6128.8919999999998</v>
      </c>
    </row>
    <row r="142" spans="1:9" x14ac:dyDescent="0.35">
      <c r="A142">
        <v>141</v>
      </c>
      <c r="B142">
        <v>16938969</v>
      </c>
      <c r="C142" t="s">
        <v>23</v>
      </c>
      <c r="D142" t="s">
        <v>430</v>
      </c>
      <c r="E142" t="s">
        <v>311</v>
      </c>
      <c r="F142" t="s">
        <v>333</v>
      </c>
      <c r="G142" s="3">
        <f t="shared" si="4"/>
        <v>6128.8919999999998</v>
      </c>
      <c r="H142" s="3">
        <f>+_xlfn.XLOOKUP(B142&amp;"-*",[3]Hoja1!$E:$E,[3]Hoja1!$AC:$AC,0,2)</f>
        <v>89946.505424200004</v>
      </c>
      <c r="I142" s="3">
        <f t="shared" si="5"/>
        <v>96075.397424199997</v>
      </c>
    </row>
    <row r="143" spans="1:9" x14ac:dyDescent="0.35">
      <c r="A143">
        <v>142</v>
      </c>
      <c r="B143">
        <v>15855433</v>
      </c>
      <c r="C143" t="s">
        <v>44</v>
      </c>
      <c r="D143" t="s">
        <v>431</v>
      </c>
      <c r="E143" t="s">
        <v>238</v>
      </c>
      <c r="F143" t="s">
        <v>269</v>
      </c>
      <c r="G143" s="3">
        <f t="shared" si="4"/>
        <v>6128.8919999999998</v>
      </c>
      <c r="H143" s="3">
        <f>+_xlfn.XLOOKUP(B143&amp;"-*",[3]Hoja1!$E:$E,[3]Hoja1!$AC:$AC,0,2)</f>
        <v>0</v>
      </c>
      <c r="I143" s="3">
        <f t="shared" si="5"/>
        <v>6128.8919999999998</v>
      </c>
    </row>
    <row r="144" spans="1:9" x14ac:dyDescent="0.35">
      <c r="A144">
        <v>143</v>
      </c>
      <c r="B144">
        <v>12513135</v>
      </c>
      <c r="C144" t="s">
        <v>127</v>
      </c>
      <c r="D144" t="s">
        <v>432</v>
      </c>
      <c r="E144" t="s">
        <v>238</v>
      </c>
      <c r="F144" t="s">
        <v>257</v>
      </c>
      <c r="G144" s="3">
        <f t="shared" si="4"/>
        <v>6128.8919999999998</v>
      </c>
      <c r="H144" s="3">
        <f>+_xlfn.XLOOKUP(B144&amp;"-*",[3]Hoja1!$E:$E,[3]Hoja1!$AC:$AC,0,2)</f>
        <v>0</v>
      </c>
      <c r="I144" s="3">
        <f t="shared" si="5"/>
        <v>6128.8919999999998</v>
      </c>
    </row>
    <row r="145" spans="1:9" x14ac:dyDescent="0.35">
      <c r="A145">
        <v>144</v>
      </c>
      <c r="B145">
        <v>9126553</v>
      </c>
      <c r="C145" t="s">
        <v>172</v>
      </c>
      <c r="D145" t="s">
        <v>433</v>
      </c>
      <c r="E145" t="s">
        <v>346</v>
      </c>
      <c r="F145" t="s">
        <v>347</v>
      </c>
      <c r="G145" s="3">
        <f t="shared" si="4"/>
        <v>6128.8919999999998</v>
      </c>
      <c r="H145" s="3">
        <f>+_xlfn.XLOOKUP(B145&amp;"-*",[3]Hoja1!$E:$E,[3]Hoja1!$AC:$AC,0,2)</f>
        <v>0</v>
      </c>
      <c r="I145" s="3">
        <f t="shared" si="5"/>
        <v>6128.8919999999998</v>
      </c>
    </row>
    <row r="146" spans="1:9" x14ac:dyDescent="0.35">
      <c r="A146">
        <v>145</v>
      </c>
      <c r="B146">
        <v>6863228</v>
      </c>
      <c r="C146" t="s">
        <v>50</v>
      </c>
      <c r="D146" t="s">
        <v>434</v>
      </c>
      <c r="E146" t="s">
        <v>275</v>
      </c>
      <c r="F146" t="s">
        <v>275</v>
      </c>
      <c r="G146" s="3">
        <f t="shared" si="4"/>
        <v>6128.8919999999998</v>
      </c>
      <c r="H146" s="3">
        <f>+_xlfn.XLOOKUP(B146&amp;"-*",[3]Hoja1!$E:$E,[3]Hoja1!$AC:$AC,0,2)</f>
        <v>0</v>
      </c>
      <c r="I146" s="3">
        <f t="shared" si="5"/>
        <v>6128.8919999999998</v>
      </c>
    </row>
    <row r="147" spans="1:9" x14ac:dyDescent="0.35">
      <c r="A147">
        <v>146</v>
      </c>
      <c r="B147">
        <v>9247718</v>
      </c>
      <c r="C147" t="s">
        <v>169</v>
      </c>
      <c r="D147" t="s">
        <v>435</v>
      </c>
      <c r="E147" t="s">
        <v>296</v>
      </c>
      <c r="F147" t="s">
        <v>328</v>
      </c>
      <c r="G147" s="3">
        <f t="shared" si="4"/>
        <v>6128.8919999999998</v>
      </c>
      <c r="H147" s="3">
        <f>+_xlfn.XLOOKUP(B147&amp;"-*",[3]Hoja1!$E:$E,[3]Hoja1!$AC:$AC,0,2)</f>
        <v>0</v>
      </c>
      <c r="I147" s="3">
        <f t="shared" si="5"/>
        <v>6128.8919999999998</v>
      </c>
    </row>
    <row r="148" spans="1:9" x14ac:dyDescent="0.35">
      <c r="A148">
        <v>147</v>
      </c>
      <c r="B148">
        <v>13722908</v>
      </c>
      <c r="C148" t="s">
        <v>98</v>
      </c>
      <c r="D148" t="s">
        <v>436</v>
      </c>
      <c r="E148" t="s">
        <v>238</v>
      </c>
      <c r="F148" t="s">
        <v>294</v>
      </c>
      <c r="G148" s="3">
        <f t="shared" si="4"/>
        <v>6128.8919999999998</v>
      </c>
      <c r="H148" s="3">
        <f>+_xlfn.XLOOKUP(B148&amp;"-*",[3]Hoja1!$E:$E,[3]Hoja1!$AC:$AC,0,2)</f>
        <v>0</v>
      </c>
      <c r="I148" s="3">
        <f t="shared" si="5"/>
        <v>6128.8919999999998</v>
      </c>
    </row>
    <row r="149" spans="1:9" x14ac:dyDescent="0.35">
      <c r="A149">
        <v>148</v>
      </c>
      <c r="B149">
        <v>8911775</v>
      </c>
      <c r="C149" t="s">
        <v>179</v>
      </c>
      <c r="D149" t="s">
        <v>437</v>
      </c>
      <c r="E149" t="s">
        <v>346</v>
      </c>
      <c r="F149" t="s">
        <v>381</v>
      </c>
      <c r="G149" s="3">
        <f t="shared" si="4"/>
        <v>6128.8919999999998</v>
      </c>
      <c r="H149" s="3">
        <f>+_xlfn.XLOOKUP(B149&amp;"-*",[3]Hoja1!$E:$E,[3]Hoja1!$AC:$AC,0,2)</f>
        <v>0</v>
      </c>
      <c r="I149" s="3">
        <f t="shared" si="5"/>
        <v>6128.8919999999998</v>
      </c>
    </row>
    <row r="150" spans="1:9" x14ac:dyDescent="0.35">
      <c r="A150">
        <v>149</v>
      </c>
      <c r="B150">
        <v>12783487</v>
      </c>
      <c r="C150" t="s">
        <v>123</v>
      </c>
      <c r="D150" t="s">
        <v>438</v>
      </c>
      <c r="E150" t="s">
        <v>427</v>
      </c>
      <c r="F150" t="s">
        <v>439</v>
      </c>
      <c r="G150" s="3">
        <f t="shared" si="4"/>
        <v>6128.8919999999998</v>
      </c>
      <c r="H150" s="3">
        <f>+_xlfn.XLOOKUP(B150&amp;"-*",[3]Hoja1!$E:$E,[3]Hoja1!$AC:$AC,0,2)</f>
        <v>0</v>
      </c>
      <c r="I150" s="3">
        <f t="shared" si="5"/>
        <v>6128.8919999999998</v>
      </c>
    </row>
    <row r="151" spans="1:9" x14ac:dyDescent="0.35">
      <c r="A151">
        <v>150</v>
      </c>
      <c r="B151">
        <v>13857408</v>
      </c>
      <c r="C151" t="s">
        <v>222</v>
      </c>
      <c r="D151" t="s">
        <v>440</v>
      </c>
      <c r="E151" t="s">
        <v>427</v>
      </c>
      <c r="F151" t="s">
        <v>439</v>
      </c>
      <c r="G151" s="3">
        <f t="shared" si="4"/>
        <v>6128.8919999999998</v>
      </c>
      <c r="H151" s="3">
        <f>+_xlfn.XLOOKUP(B151&amp;"-*",[3]Hoja1!$E:$E,[3]Hoja1!$AC:$AC,0,2)</f>
        <v>0</v>
      </c>
      <c r="I151" s="3">
        <f t="shared" si="5"/>
        <v>6128.8919999999998</v>
      </c>
    </row>
    <row r="152" spans="1:9" x14ac:dyDescent="0.35">
      <c r="A152">
        <v>151</v>
      </c>
      <c r="B152">
        <v>11763533</v>
      </c>
      <c r="C152" t="s">
        <v>229</v>
      </c>
      <c r="D152" t="s">
        <v>441</v>
      </c>
      <c r="E152" t="s">
        <v>238</v>
      </c>
      <c r="F152" t="s">
        <v>255</v>
      </c>
      <c r="G152" s="3">
        <f t="shared" si="4"/>
        <v>6128.8919999999998</v>
      </c>
      <c r="H152" s="3">
        <f>+_xlfn.XLOOKUP(B152&amp;"-*",[3]Hoja1!$E:$E,[3]Hoja1!$AC:$AC,0,2)</f>
        <v>0</v>
      </c>
      <c r="I152" s="3">
        <f t="shared" si="5"/>
        <v>6128.8919999999998</v>
      </c>
    </row>
    <row r="153" spans="1:9" x14ac:dyDescent="0.35">
      <c r="A153">
        <v>152</v>
      </c>
      <c r="B153">
        <v>24923842</v>
      </c>
      <c r="C153" t="s">
        <v>1</v>
      </c>
      <c r="D153" t="s">
        <v>442</v>
      </c>
      <c r="E153" t="s">
        <v>238</v>
      </c>
      <c r="F153" t="s">
        <v>246</v>
      </c>
      <c r="G153" s="3">
        <f t="shared" si="4"/>
        <v>6128.8919999999998</v>
      </c>
      <c r="H153" s="3">
        <f>+_xlfn.XLOOKUP(B153&amp;"-*",[3]Hoja1!$E:$E,[3]Hoja1!$AC:$AC,0,2)</f>
        <v>0</v>
      </c>
      <c r="I153" s="3">
        <f t="shared" si="5"/>
        <v>6128.8919999999998</v>
      </c>
    </row>
    <row r="154" spans="1:9" x14ac:dyDescent="0.35">
      <c r="A154">
        <v>153</v>
      </c>
      <c r="B154">
        <v>24104366</v>
      </c>
      <c r="C154" t="s">
        <v>2</v>
      </c>
      <c r="D154" t="s">
        <v>443</v>
      </c>
      <c r="E154" t="s">
        <v>407</v>
      </c>
      <c r="F154" t="s">
        <v>407</v>
      </c>
      <c r="G154" s="3">
        <f t="shared" si="4"/>
        <v>6128.8919999999998</v>
      </c>
      <c r="H154" s="3">
        <f>+_xlfn.XLOOKUP(B154&amp;"-*",[3]Hoja1!$E:$E,[3]Hoja1!$AC:$AC,0,2)</f>
        <v>0</v>
      </c>
      <c r="I154" s="3">
        <f t="shared" si="5"/>
        <v>6128.8919999999998</v>
      </c>
    </row>
    <row r="155" spans="1:9" x14ac:dyDescent="0.35">
      <c r="A155">
        <v>154</v>
      </c>
      <c r="B155">
        <v>9832432</v>
      </c>
      <c r="C155" t="s">
        <v>160</v>
      </c>
      <c r="D155" t="s">
        <v>444</v>
      </c>
      <c r="E155" t="s">
        <v>267</v>
      </c>
      <c r="F155" t="s">
        <v>423</v>
      </c>
      <c r="G155" s="3">
        <f t="shared" si="4"/>
        <v>6128.8919999999998</v>
      </c>
      <c r="H155" s="3">
        <f>+_xlfn.XLOOKUP(B155&amp;"-*",[3]Hoja1!$E:$E,[3]Hoja1!$AC:$AC,0,2)</f>
        <v>0</v>
      </c>
      <c r="I155" s="3">
        <f t="shared" si="5"/>
        <v>6128.8919999999998</v>
      </c>
    </row>
    <row r="156" spans="1:9" x14ac:dyDescent="0.35">
      <c r="A156">
        <v>155</v>
      </c>
      <c r="B156">
        <v>12296825</v>
      </c>
      <c r="C156" t="s">
        <v>128</v>
      </c>
      <c r="D156" t="s">
        <v>445</v>
      </c>
      <c r="E156" t="s">
        <v>238</v>
      </c>
      <c r="F156" t="s">
        <v>241</v>
      </c>
      <c r="G156" s="3">
        <f t="shared" si="4"/>
        <v>6128.8919999999998</v>
      </c>
      <c r="H156" s="3">
        <f>+_xlfn.XLOOKUP(B156&amp;"-*",[3]Hoja1!$E:$E,[3]Hoja1!$AC:$AC,0,2)</f>
        <v>0</v>
      </c>
      <c r="I156" s="3">
        <f t="shared" si="5"/>
        <v>6128.8919999999998</v>
      </c>
    </row>
    <row r="157" spans="1:9" x14ac:dyDescent="0.35">
      <c r="A157">
        <v>156</v>
      </c>
      <c r="B157">
        <v>7311912</v>
      </c>
      <c r="C157" t="s">
        <v>101</v>
      </c>
      <c r="D157" t="s">
        <v>446</v>
      </c>
      <c r="E157" t="s">
        <v>447</v>
      </c>
      <c r="F157" t="s">
        <v>448</v>
      </c>
      <c r="G157" s="3">
        <f t="shared" si="4"/>
        <v>6128.8919999999998</v>
      </c>
      <c r="H157" s="3">
        <f>+_xlfn.XLOOKUP(B157&amp;"-*",[3]Hoja1!$E:$E,[3]Hoja1!$AC:$AC,0,2)</f>
        <v>0</v>
      </c>
      <c r="I157" s="3">
        <f t="shared" si="5"/>
        <v>6128.8919999999998</v>
      </c>
    </row>
    <row r="158" spans="1:9" x14ac:dyDescent="0.35">
      <c r="A158">
        <v>157</v>
      </c>
      <c r="B158">
        <v>17759312</v>
      </c>
      <c r="C158" t="s">
        <v>15</v>
      </c>
      <c r="D158" t="s">
        <v>449</v>
      </c>
      <c r="E158" t="s">
        <v>238</v>
      </c>
      <c r="F158" t="s">
        <v>239</v>
      </c>
      <c r="G158" s="3">
        <f t="shared" si="4"/>
        <v>6128.8919999999998</v>
      </c>
      <c r="H158" s="3">
        <f>+_xlfn.XLOOKUP(B158&amp;"-*",[3]Hoja1!$E:$E,[3]Hoja1!$AC:$AC,0,2)</f>
        <v>0</v>
      </c>
      <c r="I158" s="3">
        <f t="shared" si="5"/>
        <v>6128.8919999999998</v>
      </c>
    </row>
    <row r="159" spans="1:9" x14ac:dyDescent="0.35">
      <c r="A159">
        <v>158</v>
      </c>
      <c r="B159">
        <v>13766079</v>
      </c>
      <c r="C159" t="s">
        <v>94</v>
      </c>
      <c r="D159" t="s">
        <v>450</v>
      </c>
      <c r="E159" t="s">
        <v>238</v>
      </c>
      <c r="F159" t="s">
        <v>285</v>
      </c>
      <c r="G159" s="3">
        <f t="shared" si="4"/>
        <v>6128.8919999999998</v>
      </c>
      <c r="H159" s="3">
        <f>+_xlfn.XLOOKUP(B159&amp;"-*",[3]Hoja1!$E:$E,[3]Hoja1!$AC:$AC,0,2)</f>
        <v>46396.156534599999</v>
      </c>
      <c r="I159" s="3">
        <f t="shared" si="5"/>
        <v>52525.048534599999</v>
      </c>
    </row>
    <row r="160" spans="1:9" x14ac:dyDescent="0.35">
      <c r="A160">
        <v>159</v>
      </c>
      <c r="B160">
        <v>14020049</v>
      </c>
      <c r="C160" t="s">
        <v>84</v>
      </c>
      <c r="D160" t="s">
        <v>451</v>
      </c>
      <c r="E160" t="s">
        <v>238</v>
      </c>
      <c r="F160" t="s">
        <v>322</v>
      </c>
      <c r="G160" s="3">
        <f t="shared" si="4"/>
        <v>6128.8919999999998</v>
      </c>
      <c r="H160" s="3">
        <f>+_xlfn.XLOOKUP(B160&amp;"-*",[3]Hoja1!$E:$E,[3]Hoja1!$AC:$AC,0,2)</f>
        <v>0</v>
      </c>
      <c r="I160" s="3">
        <f t="shared" si="5"/>
        <v>6128.8919999999998</v>
      </c>
    </row>
    <row r="161" spans="1:9" x14ac:dyDescent="0.35">
      <c r="A161">
        <v>160</v>
      </c>
      <c r="B161">
        <v>10483657</v>
      </c>
      <c r="C161" t="s">
        <v>149</v>
      </c>
      <c r="D161" t="s">
        <v>452</v>
      </c>
      <c r="E161" t="s">
        <v>316</v>
      </c>
      <c r="F161" t="s">
        <v>316</v>
      </c>
      <c r="G161" s="3">
        <f t="shared" si="4"/>
        <v>6128.8919999999998</v>
      </c>
      <c r="H161" s="3">
        <f>+_xlfn.XLOOKUP(B161&amp;"-*",[3]Hoja1!$E:$E,[3]Hoja1!$AC:$AC,0,2)</f>
        <v>0</v>
      </c>
      <c r="I161" s="3">
        <f t="shared" si="5"/>
        <v>6128.8919999999998</v>
      </c>
    </row>
    <row r="162" spans="1:9" x14ac:dyDescent="0.35">
      <c r="A162">
        <v>161</v>
      </c>
      <c r="B162">
        <v>14564385</v>
      </c>
      <c r="C162" t="s">
        <v>69</v>
      </c>
      <c r="D162" t="s">
        <v>453</v>
      </c>
      <c r="E162" t="s">
        <v>238</v>
      </c>
      <c r="F162" t="s">
        <v>238</v>
      </c>
      <c r="G162" s="3">
        <f t="shared" si="4"/>
        <v>6128.8919999999998</v>
      </c>
      <c r="H162" s="3">
        <f>+_xlfn.XLOOKUP(B162&amp;"-*",[3]Hoja1!$E:$E,[3]Hoja1!$AC:$AC,0,2)</f>
        <v>0</v>
      </c>
      <c r="I162" s="3">
        <f t="shared" si="5"/>
        <v>6128.8919999999998</v>
      </c>
    </row>
    <row r="163" spans="1:9" x14ac:dyDescent="0.35">
      <c r="A163">
        <v>162</v>
      </c>
      <c r="B163">
        <v>15134675</v>
      </c>
      <c r="C163" t="s">
        <v>65</v>
      </c>
      <c r="D163" t="s">
        <v>454</v>
      </c>
      <c r="E163" t="s">
        <v>238</v>
      </c>
      <c r="F163" t="s">
        <v>241</v>
      </c>
      <c r="G163" s="3">
        <f t="shared" si="4"/>
        <v>6128.8919999999998</v>
      </c>
      <c r="H163" s="3">
        <f>+_xlfn.XLOOKUP(B163&amp;"-*",[3]Hoja1!$E:$E,[3]Hoja1!$AC:$AC,0,2)</f>
        <v>0</v>
      </c>
      <c r="I163" s="3">
        <f t="shared" si="5"/>
        <v>6128.8919999999998</v>
      </c>
    </row>
    <row r="164" spans="1:9" x14ac:dyDescent="0.35">
      <c r="A164">
        <v>163</v>
      </c>
      <c r="B164">
        <v>12523100</v>
      </c>
      <c r="C164" t="s">
        <v>126</v>
      </c>
      <c r="D164" t="s">
        <v>455</v>
      </c>
      <c r="E164" t="s">
        <v>238</v>
      </c>
      <c r="F164" t="s">
        <v>241</v>
      </c>
      <c r="G164" s="3">
        <f t="shared" si="4"/>
        <v>6128.8919999999998</v>
      </c>
      <c r="H164" s="3">
        <f>+_xlfn.XLOOKUP(B164&amp;"-*",[3]Hoja1!$E:$E,[3]Hoja1!$AC:$AC,0,2)</f>
        <v>0</v>
      </c>
      <c r="I164" s="3">
        <f t="shared" si="5"/>
        <v>6128.8919999999998</v>
      </c>
    </row>
    <row r="165" spans="1:9" x14ac:dyDescent="0.35">
      <c r="A165">
        <v>164</v>
      </c>
      <c r="B165">
        <v>13601841</v>
      </c>
      <c r="C165" t="s">
        <v>103</v>
      </c>
      <c r="D165" t="s">
        <v>456</v>
      </c>
      <c r="E165" t="s">
        <v>319</v>
      </c>
      <c r="F165" t="s">
        <v>402</v>
      </c>
      <c r="G165" s="3">
        <f t="shared" si="4"/>
        <v>6128.8919999999998</v>
      </c>
      <c r="H165" s="3">
        <f>+_xlfn.XLOOKUP(B165&amp;"-*",[3]Hoja1!$E:$E,[3]Hoja1!$AC:$AC,0,2)</f>
        <v>0</v>
      </c>
      <c r="I165" s="3">
        <f t="shared" si="5"/>
        <v>6128.8919999999998</v>
      </c>
    </row>
    <row r="166" spans="1:9" x14ac:dyDescent="0.35">
      <c r="A166">
        <v>165</v>
      </c>
      <c r="B166">
        <v>23017961</v>
      </c>
      <c r="C166" t="s">
        <v>210</v>
      </c>
      <c r="D166" t="s">
        <v>457</v>
      </c>
      <c r="E166" t="s">
        <v>248</v>
      </c>
      <c r="F166" t="s">
        <v>278</v>
      </c>
      <c r="G166" s="3">
        <f t="shared" si="4"/>
        <v>6128.8919999999998</v>
      </c>
      <c r="H166" s="3">
        <f>+_xlfn.XLOOKUP(B166&amp;"-*",[3]Hoja1!$E:$E,[3]Hoja1!$AC:$AC,0,2)</f>
        <v>0</v>
      </c>
      <c r="I166" s="3">
        <f t="shared" si="5"/>
        <v>6128.8919999999998</v>
      </c>
    </row>
    <row r="167" spans="1:9" x14ac:dyDescent="0.35">
      <c r="A167">
        <v>166</v>
      </c>
      <c r="B167">
        <v>17884886</v>
      </c>
      <c r="C167" t="s">
        <v>14</v>
      </c>
      <c r="D167" t="s">
        <v>458</v>
      </c>
      <c r="E167" t="s">
        <v>238</v>
      </c>
      <c r="F167" t="s">
        <v>246</v>
      </c>
      <c r="G167" s="3">
        <f t="shared" si="4"/>
        <v>6128.8919999999998</v>
      </c>
      <c r="H167" s="3">
        <f>+_xlfn.XLOOKUP(B167&amp;"-*",[3]Hoja1!$E:$E,[3]Hoja1!$AC:$AC,0,2)</f>
        <v>33126.909607299996</v>
      </c>
      <c r="I167" s="3">
        <f t="shared" si="5"/>
        <v>39255.801607299996</v>
      </c>
    </row>
    <row r="168" spans="1:9" x14ac:dyDescent="0.35">
      <c r="A168">
        <v>167</v>
      </c>
      <c r="B168">
        <v>10110737</v>
      </c>
      <c r="C168" t="s">
        <v>156</v>
      </c>
      <c r="D168" t="s">
        <v>459</v>
      </c>
      <c r="E168" t="s">
        <v>238</v>
      </c>
      <c r="F168" t="s">
        <v>322</v>
      </c>
      <c r="G168" s="3">
        <f t="shared" si="4"/>
        <v>6128.8919999999998</v>
      </c>
      <c r="H168" s="3">
        <f>+_xlfn.XLOOKUP(B168&amp;"-*",[3]Hoja1!$E:$E,[3]Hoja1!$AC:$AC,0,2)</f>
        <v>0</v>
      </c>
      <c r="I168" s="3">
        <f t="shared" si="5"/>
        <v>6128.8919999999998</v>
      </c>
    </row>
    <row r="169" spans="1:9" x14ac:dyDescent="0.35">
      <c r="A169">
        <v>168</v>
      </c>
      <c r="B169">
        <v>16547779</v>
      </c>
      <c r="C169" t="s">
        <v>25</v>
      </c>
      <c r="D169" t="s">
        <v>460</v>
      </c>
      <c r="E169" t="s">
        <v>238</v>
      </c>
      <c r="F169" t="s">
        <v>246</v>
      </c>
      <c r="G169" s="3">
        <f t="shared" si="4"/>
        <v>6128.8919999999998</v>
      </c>
      <c r="H169" s="3">
        <f>+_xlfn.XLOOKUP(B169&amp;"-*",[3]Hoja1!$E:$E,[3]Hoja1!$AC:$AC,0,2)</f>
        <v>0</v>
      </c>
      <c r="I169" s="3">
        <f t="shared" si="5"/>
        <v>6128.8919999999998</v>
      </c>
    </row>
    <row r="170" spans="1:9" x14ac:dyDescent="0.35">
      <c r="A170">
        <v>169</v>
      </c>
      <c r="B170">
        <v>16299001</v>
      </c>
      <c r="C170" t="s">
        <v>197</v>
      </c>
      <c r="D170" t="s">
        <v>461</v>
      </c>
      <c r="E170" t="s">
        <v>251</v>
      </c>
      <c r="F170" t="s">
        <v>290</v>
      </c>
      <c r="G170" s="3">
        <f t="shared" si="4"/>
        <v>6128.8919999999998</v>
      </c>
      <c r="H170" s="3">
        <f>+_xlfn.XLOOKUP(B170&amp;"-*",[3]Hoja1!$E:$E,[3]Hoja1!$AC:$AC,0,2)</f>
        <v>33126.909607299996</v>
      </c>
      <c r="I170" s="3">
        <f t="shared" si="5"/>
        <v>39255.801607299996</v>
      </c>
    </row>
    <row r="171" spans="1:9" x14ac:dyDescent="0.35">
      <c r="A171">
        <v>170</v>
      </c>
      <c r="B171">
        <v>16522565</v>
      </c>
      <c r="C171" t="s">
        <v>27</v>
      </c>
      <c r="D171" t="s">
        <v>462</v>
      </c>
      <c r="E171" t="s">
        <v>243</v>
      </c>
      <c r="F171" t="s">
        <v>280</v>
      </c>
      <c r="G171" s="3">
        <f t="shared" si="4"/>
        <v>6128.8919999999998</v>
      </c>
      <c r="H171" s="3">
        <f>+_xlfn.XLOOKUP(B171&amp;"-*",[3]Hoja1!$E:$E,[3]Hoja1!$AC:$AC,0,2)</f>
        <v>0</v>
      </c>
      <c r="I171" s="3">
        <f t="shared" si="5"/>
        <v>6128.8919999999998</v>
      </c>
    </row>
    <row r="172" spans="1:9" x14ac:dyDescent="0.35">
      <c r="A172">
        <v>171</v>
      </c>
      <c r="B172">
        <v>10751848</v>
      </c>
      <c r="C172" t="s">
        <v>216</v>
      </c>
      <c r="D172" t="s">
        <v>463</v>
      </c>
      <c r="E172" t="s">
        <v>296</v>
      </c>
      <c r="F172" t="s">
        <v>328</v>
      </c>
      <c r="G172" s="3">
        <f t="shared" si="4"/>
        <v>6128.8919999999998</v>
      </c>
      <c r="H172" s="3">
        <f>+_xlfn.XLOOKUP(B172&amp;"-*",[3]Hoja1!$E:$E,[3]Hoja1!$AC:$AC,0,2)</f>
        <v>0</v>
      </c>
      <c r="I172" s="3">
        <f t="shared" si="5"/>
        <v>6128.8919999999998</v>
      </c>
    </row>
    <row r="173" spans="1:9" x14ac:dyDescent="0.35">
      <c r="A173">
        <v>172</v>
      </c>
      <c r="B173">
        <v>10030300</v>
      </c>
      <c r="C173" t="s">
        <v>159</v>
      </c>
      <c r="D173" t="s">
        <v>464</v>
      </c>
      <c r="E173" t="s">
        <v>248</v>
      </c>
      <c r="F173" t="s">
        <v>278</v>
      </c>
      <c r="G173" s="3">
        <f t="shared" si="4"/>
        <v>6128.8919999999998</v>
      </c>
      <c r="H173" s="3">
        <f>+_xlfn.XLOOKUP(B173&amp;"-*",[3]Hoja1!$E:$E,[3]Hoja1!$AC:$AC,0,2)</f>
        <v>46396.156534599999</v>
      </c>
      <c r="I173" s="3">
        <f t="shared" si="5"/>
        <v>52525.048534599999</v>
      </c>
    </row>
    <row r="174" spans="1:9" x14ac:dyDescent="0.35">
      <c r="A174">
        <v>173</v>
      </c>
      <c r="B174">
        <v>13624042</v>
      </c>
      <c r="C174" t="s">
        <v>99</v>
      </c>
      <c r="D174" t="s">
        <v>465</v>
      </c>
      <c r="E174" t="s">
        <v>251</v>
      </c>
      <c r="F174" t="s">
        <v>282</v>
      </c>
      <c r="G174" s="3">
        <f t="shared" si="4"/>
        <v>6128.8919999999998</v>
      </c>
      <c r="H174" s="3">
        <f>+_xlfn.XLOOKUP(B174&amp;"-*",[3]Hoja1!$E:$E,[3]Hoja1!$AC:$AC,0,2)</f>
        <v>0</v>
      </c>
      <c r="I174" s="3">
        <f t="shared" si="5"/>
        <v>6128.8919999999998</v>
      </c>
    </row>
    <row r="175" spans="1:9" x14ac:dyDescent="0.35">
      <c r="A175">
        <v>174</v>
      </c>
      <c r="B175">
        <v>15630786</v>
      </c>
      <c r="C175" t="s">
        <v>51</v>
      </c>
      <c r="D175" t="s">
        <v>466</v>
      </c>
      <c r="E175" t="s">
        <v>267</v>
      </c>
      <c r="F175" t="s">
        <v>331</v>
      </c>
      <c r="G175" s="3">
        <f t="shared" si="4"/>
        <v>6128.8919999999998</v>
      </c>
      <c r="H175" s="3">
        <f>+_xlfn.XLOOKUP(B175&amp;"-*",[3]Hoja1!$E:$E,[3]Hoja1!$AC:$AC,0,2)</f>
        <v>89946.505424200004</v>
      </c>
      <c r="I175" s="3">
        <f t="shared" si="5"/>
        <v>96075.397424199997</v>
      </c>
    </row>
    <row r="176" spans="1:9" x14ac:dyDescent="0.35">
      <c r="A176">
        <v>175</v>
      </c>
      <c r="B176">
        <v>13191306</v>
      </c>
      <c r="C176" t="s">
        <v>115</v>
      </c>
      <c r="D176" t="s">
        <v>467</v>
      </c>
      <c r="E176" t="s">
        <v>427</v>
      </c>
      <c r="F176" t="s">
        <v>468</v>
      </c>
      <c r="G176" s="3">
        <f t="shared" si="4"/>
        <v>6128.8919999999998</v>
      </c>
      <c r="H176" s="3">
        <f>+_xlfn.XLOOKUP(B176&amp;"-*",[3]Hoja1!$E:$E,[3]Hoja1!$AC:$AC,0,2)</f>
        <v>0</v>
      </c>
      <c r="I176" s="3">
        <f t="shared" si="5"/>
        <v>6128.8919999999998</v>
      </c>
    </row>
    <row r="177" spans="1:9" x14ac:dyDescent="0.35">
      <c r="A177">
        <v>176</v>
      </c>
      <c r="B177">
        <v>13950393</v>
      </c>
      <c r="C177" t="s">
        <v>87</v>
      </c>
      <c r="D177" t="s">
        <v>469</v>
      </c>
      <c r="E177" t="s">
        <v>238</v>
      </c>
      <c r="F177" t="s">
        <v>246</v>
      </c>
      <c r="G177" s="3">
        <f t="shared" si="4"/>
        <v>6128.8919999999998</v>
      </c>
      <c r="H177" s="3">
        <f>+_xlfn.XLOOKUP(B177&amp;"-*",[3]Hoja1!$E:$E,[3]Hoja1!$AC:$AC,0,2)</f>
        <v>0</v>
      </c>
      <c r="I177" s="3">
        <f t="shared" si="5"/>
        <v>6128.8919999999998</v>
      </c>
    </row>
    <row r="178" spans="1:9" x14ac:dyDescent="0.35">
      <c r="A178">
        <v>177</v>
      </c>
      <c r="B178">
        <v>17039830</v>
      </c>
      <c r="C178" t="s">
        <v>20</v>
      </c>
      <c r="D178" t="s">
        <v>470</v>
      </c>
      <c r="E178" t="s">
        <v>238</v>
      </c>
      <c r="F178" t="s">
        <v>246</v>
      </c>
      <c r="G178" s="3">
        <f t="shared" si="4"/>
        <v>6128.8919999999998</v>
      </c>
      <c r="H178" s="3">
        <f>+_xlfn.XLOOKUP(B178&amp;"-*",[3]Hoja1!$E:$E,[3]Hoja1!$AC:$AC,0,2)</f>
        <v>0</v>
      </c>
      <c r="I178" s="3">
        <f t="shared" si="5"/>
        <v>6128.8919999999998</v>
      </c>
    </row>
    <row r="179" spans="1:9" x14ac:dyDescent="0.35">
      <c r="A179">
        <v>178</v>
      </c>
      <c r="B179">
        <v>6690172</v>
      </c>
      <c r="C179" t="s">
        <v>41</v>
      </c>
      <c r="D179" t="s">
        <v>471</v>
      </c>
      <c r="E179" t="s">
        <v>251</v>
      </c>
      <c r="F179" t="s">
        <v>252</v>
      </c>
      <c r="G179" s="3">
        <f t="shared" si="4"/>
        <v>6128.8919999999998</v>
      </c>
      <c r="H179" s="3">
        <f>+_xlfn.XLOOKUP(B179&amp;"-*",[3]Hoja1!$E:$E,[3]Hoja1!$AC:$AC,0,2)</f>
        <v>0</v>
      </c>
      <c r="I179" s="3">
        <f t="shared" si="5"/>
        <v>6128.8919999999998</v>
      </c>
    </row>
    <row r="180" spans="1:9" x14ac:dyDescent="0.35">
      <c r="A180">
        <v>179</v>
      </c>
      <c r="B180">
        <v>14344246</v>
      </c>
      <c r="C180" t="s">
        <v>196</v>
      </c>
      <c r="D180" t="s">
        <v>472</v>
      </c>
      <c r="E180" t="s">
        <v>267</v>
      </c>
      <c r="F180" t="s">
        <v>331</v>
      </c>
      <c r="G180" s="3">
        <f t="shared" si="4"/>
        <v>6128.8919999999998</v>
      </c>
      <c r="H180" s="3">
        <f>+_xlfn.XLOOKUP(B180&amp;"-*",[3]Hoja1!$E:$E,[3]Hoja1!$AC:$AC,0,2)</f>
        <v>0</v>
      </c>
      <c r="I180" s="3">
        <f t="shared" si="5"/>
        <v>6128.8919999999998</v>
      </c>
    </row>
    <row r="181" spans="1:9" x14ac:dyDescent="0.35">
      <c r="A181">
        <v>180</v>
      </c>
      <c r="B181">
        <v>8371714</v>
      </c>
      <c r="C181" t="s">
        <v>188</v>
      </c>
      <c r="D181" t="s">
        <v>473</v>
      </c>
      <c r="E181" t="s">
        <v>427</v>
      </c>
      <c r="F181" t="s">
        <v>439</v>
      </c>
      <c r="G181" s="3">
        <f t="shared" si="4"/>
        <v>6128.8919999999998</v>
      </c>
      <c r="H181" s="3">
        <f>+_xlfn.XLOOKUP(B181&amp;"-*",[3]Hoja1!$E:$E,[3]Hoja1!$AC:$AC,0,2)</f>
        <v>0</v>
      </c>
      <c r="I181" s="3">
        <f t="shared" si="5"/>
        <v>6128.8919999999998</v>
      </c>
    </row>
    <row r="182" spans="1:9" x14ac:dyDescent="0.35">
      <c r="A182">
        <v>181</v>
      </c>
      <c r="B182">
        <v>12920799</v>
      </c>
      <c r="C182" t="s">
        <v>120</v>
      </c>
      <c r="D182" t="s">
        <v>474</v>
      </c>
      <c r="E182" t="s">
        <v>267</v>
      </c>
      <c r="F182" t="s">
        <v>475</v>
      </c>
      <c r="G182" s="3">
        <f t="shared" si="4"/>
        <v>6128.8919999999998</v>
      </c>
      <c r="H182" s="3">
        <f>+_xlfn.XLOOKUP(B182&amp;"-*",[3]Hoja1!$E:$E,[3]Hoja1!$AC:$AC,0,2)</f>
        <v>68171.330979399994</v>
      </c>
      <c r="I182" s="3">
        <f t="shared" si="5"/>
        <v>74300.222979399987</v>
      </c>
    </row>
    <row r="183" spans="1:9" x14ac:dyDescent="0.35">
      <c r="A183">
        <v>182</v>
      </c>
      <c r="B183">
        <v>10442291</v>
      </c>
      <c r="C183" t="s">
        <v>151</v>
      </c>
      <c r="D183" t="s">
        <v>476</v>
      </c>
      <c r="E183" t="s">
        <v>251</v>
      </c>
      <c r="F183" t="s">
        <v>282</v>
      </c>
      <c r="G183" s="3">
        <f t="shared" si="4"/>
        <v>6128.8919999999998</v>
      </c>
      <c r="H183" s="3">
        <f>+_xlfn.XLOOKUP(B183&amp;"-*",[3]Hoja1!$E:$E,[3]Hoja1!$AC:$AC,0,2)</f>
        <v>0</v>
      </c>
      <c r="I183" s="3">
        <f t="shared" si="5"/>
        <v>6128.8919999999998</v>
      </c>
    </row>
    <row r="184" spans="1:9" x14ac:dyDescent="0.35">
      <c r="A184">
        <v>183</v>
      </c>
      <c r="B184">
        <v>14474364</v>
      </c>
      <c r="C184" t="s">
        <v>201</v>
      </c>
      <c r="D184" t="s">
        <v>477</v>
      </c>
      <c r="E184" t="s">
        <v>238</v>
      </c>
      <c r="F184" t="s">
        <v>322</v>
      </c>
      <c r="G184" s="3">
        <f t="shared" si="4"/>
        <v>6128.8919999999998</v>
      </c>
      <c r="H184" s="3">
        <f>+_xlfn.XLOOKUP(B184&amp;"-*",[3]Hoja1!$E:$E,[3]Hoja1!$AC:$AC,0,2)</f>
        <v>0</v>
      </c>
      <c r="I184" s="3">
        <f t="shared" si="5"/>
        <v>6128.8919999999998</v>
      </c>
    </row>
    <row r="185" spans="1:9" x14ac:dyDescent="0.35">
      <c r="A185">
        <v>184</v>
      </c>
      <c r="B185">
        <v>16454384</v>
      </c>
      <c r="C185" t="s">
        <v>29</v>
      </c>
      <c r="D185" t="s">
        <v>478</v>
      </c>
      <c r="E185" t="s">
        <v>243</v>
      </c>
      <c r="F185" t="s">
        <v>304</v>
      </c>
      <c r="G185" s="3">
        <f t="shared" si="4"/>
        <v>6128.8919999999998</v>
      </c>
      <c r="H185" s="3">
        <f>+_xlfn.XLOOKUP(B185&amp;"-*",[3]Hoja1!$E:$E,[3]Hoja1!$AC:$AC,0,2)</f>
        <v>0</v>
      </c>
      <c r="I185" s="3">
        <f t="shared" si="5"/>
        <v>6128.8919999999998</v>
      </c>
    </row>
    <row r="186" spans="1:9" x14ac:dyDescent="0.35">
      <c r="A186">
        <v>185</v>
      </c>
      <c r="B186">
        <v>13938939</v>
      </c>
      <c r="C186" t="s">
        <v>207</v>
      </c>
      <c r="D186" t="s">
        <v>479</v>
      </c>
      <c r="E186" t="s">
        <v>238</v>
      </c>
      <c r="F186" t="s">
        <v>285</v>
      </c>
      <c r="G186" s="3">
        <f t="shared" si="4"/>
        <v>6128.8919999999998</v>
      </c>
      <c r="H186" s="3">
        <f>+_xlfn.XLOOKUP(B186&amp;"-*",[3]Hoja1!$E:$E,[3]Hoja1!$AC:$AC,0,2)</f>
        <v>46396.156534599999</v>
      </c>
      <c r="I186" s="3">
        <f t="shared" si="5"/>
        <v>52525.048534599999</v>
      </c>
    </row>
    <row r="187" spans="1:9" x14ac:dyDescent="0.35">
      <c r="A187">
        <v>186</v>
      </c>
      <c r="B187">
        <v>8943910</v>
      </c>
      <c r="C187" t="s">
        <v>175</v>
      </c>
      <c r="D187" t="s">
        <v>480</v>
      </c>
      <c r="E187" t="s">
        <v>251</v>
      </c>
      <c r="F187" t="s">
        <v>252</v>
      </c>
      <c r="G187" s="3">
        <f t="shared" si="4"/>
        <v>6128.8919999999998</v>
      </c>
      <c r="H187" s="3">
        <f>+_xlfn.XLOOKUP(B187&amp;"-*",[3]Hoja1!$E:$E,[3]Hoja1!$AC:$AC,0,2)</f>
        <v>0</v>
      </c>
      <c r="I187" s="3">
        <f t="shared" si="5"/>
        <v>6128.8919999999998</v>
      </c>
    </row>
    <row r="188" spans="1:9" x14ac:dyDescent="0.35">
      <c r="A188">
        <v>187</v>
      </c>
      <c r="B188">
        <v>9517837</v>
      </c>
      <c r="C188" t="s">
        <v>166</v>
      </c>
      <c r="D188" t="s">
        <v>481</v>
      </c>
      <c r="E188" t="s">
        <v>251</v>
      </c>
      <c r="F188" t="s">
        <v>252</v>
      </c>
      <c r="G188" s="3">
        <f t="shared" si="4"/>
        <v>6128.8919999999998</v>
      </c>
      <c r="H188" s="3">
        <f>+_xlfn.XLOOKUP(B188&amp;"-*",[3]Hoja1!$E:$E,[3]Hoja1!$AC:$AC,0,2)</f>
        <v>23114.217786699999</v>
      </c>
      <c r="I188" s="3">
        <f t="shared" si="5"/>
        <v>29243.109786699999</v>
      </c>
    </row>
    <row r="189" spans="1:9" x14ac:dyDescent="0.35">
      <c r="A189">
        <v>188</v>
      </c>
      <c r="B189">
        <v>7976936</v>
      </c>
      <c r="C189" t="s">
        <v>161</v>
      </c>
      <c r="D189" t="s">
        <v>482</v>
      </c>
      <c r="E189" t="s">
        <v>248</v>
      </c>
      <c r="F189" t="s">
        <v>249</v>
      </c>
      <c r="G189" s="3">
        <f t="shared" si="4"/>
        <v>6128.8919999999998</v>
      </c>
      <c r="H189" s="3">
        <f>+_xlfn.XLOOKUP(B189&amp;"-*",[3]Hoja1!$E:$E,[3]Hoja1!$AC:$AC,0,2)</f>
        <v>0</v>
      </c>
      <c r="I189" s="3">
        <f t="shared" si="5"/>
        <v>6128.8919999999998</v>
      </c>
    </row>
    <row r="190" spans="1:9" x14ac:dyDescent="0.35">
      <c r="A190">
        <v>189</v>
      </c>
      <c r="B190">
        <v>13143572</v>
      </c>
      <c r="C190" t="s">
        <v>116</v>
      </c>
      <c r="D190" t="s">
        <v>483</v>
      </c>
      <c r="E190" t="s">
        <v>296</v>
      </c>
      <c r="F190" t="s">
        <v>484</v>
      </c>
      <c r="G190" s="3">
        <f t="shared" si="4"/>
        <v>6128.8919999999998</v>
      </c>
      <c r="H190" s="3">
        <f>+_xlfn.XLOOKUP(B190&amp;"-*",[3]Hoja1!$E:$E,[3]Hoja1!$AC:$AC,0,2)</f>
        <v>0</v>
      </c>
      <c r="I190" s="3">
        <f t="shared" si="5"/>
        <v>6128.8919999999998</v>
      </c>
    </row>
    <row r="191" spans="1:9" x14ac:dyDescent="0.35">
      <c r="A191">
        <v>190</v>
      </c>
      <c r="B191">
        <v>14596078</v>
      </c>
      <c r="C191" t="s">
        <v>67</v>
      </c>
      <c r="D191" t="s">
        <v>485</v>
      </c>
      <c r="E191" t="s">
        <v>251</v>
      </c>
      <c r="F191" t="s">
        <v>290</v>
      </c>
      <c r="G191" s="3">
        <f t="shared" si="4"/>
        <v>6128.8919999999998</v>
      </c>
      <c r="H191" s="3">
        <f>+_xlfn.XLOOKUP(B191&amp;"-*",[3]Hoja1!$E:$E,[3]Hoja1!$AC:$AC,0,2)</f>
        <v>0</v>
      </c>
      <c r="I191" s="3">
        <f t="shared" si="5"/>
        <v>6128.8919999999998</v>
      </c>
    </row>
    <row r="192" spans="1:9" x14ac:dyDescent="0.35">
      <c r="A192">
        <v>191</v>
      </c>
      <c r="B192">
        <v>22128343</v>
      </c>
      <c r="C192" t="s">
        <v>6</v>
      </c>
      <c r="D192" t="s">
        <v>486</v>
      </c>
      <c r="E192" t="s">
        <v>397</v>
      </c>
      <c r="F192" t="s">
        <v>397</v>
      </c>
      <c r="G192" s="3">
        <f t="shared" si="4"/>
        <v>6128.8919999999998</v>
      </c>
      <c r="H192" s="3">
        <f>+_xlfn.XLOOKUP(B192&amp;"-*",[3]Hoja1!$E:$E,[3]Hoja1!$AC:$AC,0,2)</f>
        <v>0</v>
      </c>
      <c r="I192" s="3">
        <f t="shared" si="5"/>
        <v>6128.8919999999998</v>
      </c>
    </row>
    <row r="193" spans="1:9" x14ac:dyDescent="0.35">
      <c r="A193">
        <v>192</v>
      </c>
      <c r="B193">
        <v>8158868</v>
      </c>
      <c r="C193" t="s">
        <v>177</v>
      </c>
      <c r="D193" t="s">
        <v>487</v>
      </c>
      <c r="E193" t="s">
        <v>427</v>
      </c>
      <c r="F193" t="s">
        <v>428</v>
      </c>
      <c r="G193" s="3">
        <f t="shared" si="4"/>
        <v>6128.8919999999998</v>
      </c>
      <c r="H193" s="3">
        <f>+_xlfn.XLOOKUP(B193&amp;"-*",[3]Hoja1!$E:$E,[3]Hoja1!$AC:$AC,0,2)</f>
        <v>0</v>
      </c>
      <c r="I193" s="3">
        <f t="shared" si="5"/>
        <v>6128.8919999999998</v>
      </c>
    </row>
    <row r="194" spans="1:9" x14ac:dyDescent="0.35">
      <c r="A194">
        <v>193</v>
      </c>
      <c r="B194">
        <v>10711017</v>
      </c>
      <c r="C194" t="s">
        <v>146</v>
      </c>
      <c r="D194" t="s">
        <v>488</v>
      </c>
      <c r="E194" t="s">
        <v>238</v>
      </c>
      <c r="F194" t="s">
        <v>241</v>
      </c>
      <c r="G194" s="3">
        <f t="shared" si="4"/>
        <v>6128.8919999999998</v>
      </c>
      <c r="H194" s="3">
        <f>+_xlfn.XLOOKUP(B194&amp;"-*",[3]Hoja1!$E:$E,[3]Hoja1!$AC:$AC,0,2)</f>
        <v>0</v>
      </c>
      <c r="I194" s="3">
        <f t="shared" si="5"/>
        <v>6128.8919999999998</v>
      </c>
    </row>
    <row r="195" spans="1:9" x14ac:dyDescent="0.35">
      <c r="A195">
        <v>194</v>
      </c>
      <c r="B195">
        <v>10544161</v>
      </c>
      <c r="C195" t="s">
        <v>148</v>
      </c>
      <c r="D195" t="s">
        <v>489</v>
      </c>
      <c r="E195" t="s">
        <v>296</v>
      </c>
      <c r="F195" t="s">
        <v>328</v>
      </c>
      <c r="G195" s="3">
        <f t="shared" ref="G195:G229" si="6">0.15*$J$1</f>
        <v>6128.8919999999998</v>
      </c>
      <c r="H195" s="3">
        <f>+_xlfn.XLOOKUP(B195&amp;"-*",[3]Hoja1!$E:$E,[3]Hoja1!$AC:$AC,0,2)</f>
        <v>0</v>
      </c>
      <c r="I195" s="3">
        <f t="shared" ref="I195:I229" si="7">+G195+H195</f>
        <v>6128.8919999999998</v>
      </c>
    </row>
    <row r="196" spans="1:9" x14ac:dyDescent="0.35">
      <c r="A196">
        <v>195</v>
      </c>
      <c r="B196">
        <v>9189921</v>
      </c>
      <c r="C196" t="s">
        <v>171</v>
      </c>
      <c r="D196" t="s">
        <v>490</v>
      </c>
      <c r="E196" t="s">
        <v>397</v>
      </c>
      <c r="F196" t="s">
        <v>397</v>
      </c>
      <c r="G196" s="3">
        <f t="shared" si="6"/>
        <v>6128.8919999999998</v>
      </c>
      <c r="H196" s="3">
        <f>+_xlfn.XLOOKUP(B196&amp;"-*",[3]Hoja1!$E:$E,[3]Hoja1!$AC:$AC,0,2)</f>
        <v>0</v>
      </c>
      <c r="I196" s="3">
        <f t="shared" si="7"/>
        <v>6128.8919999999998</v>
      </c>
    </row>
    <row r="197" spans="1:9" x14ac:dyDescent="0.35">
      <c r="A197">
        <v>196</v>
      </c>
      <c r="B197">
        <v>10801551</v>
      </c>
      <c r="C197" t="s">
        <v>143</v>
      </c>
      <c r="D197" t="s">
        <v>491</v>
      </c>
      <c r="E197" t="s">
        <v>251</v>
      </c>
      <c r="F197" t="s">
        <v>252</v>
      </c>
      <c r="G197" s="3">
        <f t="shared" si="6"/>
        <v>6128.8919999999998</v>
      </c>
      <c r="H197" s="3">
        <f>+_xlfn.XLOOKUP(B197&amp;"-*",[3]Hoja1!$E:$E,[3]Hoja1!$AC:$AC,0,2)</f>
        <v>33126.909607299996</v>
      </c>
      <c r="I197" s="3">
        <f t="shared" si="7"/>
        <v>39255.801607299996</v>
      </c>
    </row>
    <row r="198" spans="1:9" x14ac:dyDescent="0.35">
      <c r="A198">
        <v>197</v>
      </c>
      <c r="B198">
        <v>13858469</v>
      </c>
      <c r="C198" t="s">
        <v>90</v>
      </c>
      <c r="D198" t="s">
        <v>492</v>
      </c>
      <c r="E198" t="s">
        <v>251</v>
      </c>
      <c r="F198" t="s">
        <v>282</v>
      </c>
      <c r="G198" s="3">
        <f t="shared" si="6"/>
        <v>6128.8919999999998</v>
      </c>
      <c r="H198" s="3">
        <f>+_xlfn.XLOOKUP(B198&amp;"-*",[3]Hoja1!$E:$E,[3]Hoja1!$AC:$AC,0,2)</f>
        <v>46396.156534599999</v>
      </c>
      <c r="I198" s="3">
        <f t="shared" si="7"/>
        <v>52525.048534599999</v>
      </c>
    </row>
    <row r="199" spans="1:9" x14ac:dyDescent="0.35">
      <c r="A199">
        <v>198</v>
      </c>
      <c r="B199">
        <v>8209952</v>
      </c>
      <c r="C199" t="s">
        <v>189</v>
      </c>
      <c r="D199" t="s">
        <v>493</v>
      </c>
      <c r="E199" t="s">
        <v>248</v>
      </c>
      <c r="F199" t="s">
        <v>249</v>
      </c>
      <c r="G199" s="3">
        <f t="shared" si="6"/>
        <v>6128.8919999999998</v>
      </c>
      <c r="H199" s="3">
        <f>+_xlfn.XLOOKUP(B199&amp;"-*",[3]Hoja1!$E:$E,[3]Hoja1!$AC:$AC,0,2)</f>
        <v>0</v>
      </c>
      <c r="I199" s="3">
        <f t="shared" si="7"/>
        <v>6128.8919999999998</v>
      </c>
    </row>
    <row r="200" spans="1:9" x14ac:dyDescent="0.35">
      <c r="A200">
        <v>199</v>
      </c>
      <c r="B200">
        <v>13305460</v>
      </c>
      <c r="C200" t="s">
        <v>112</v>
      </c>
      <c r="D200" t="s">
        <v>494</v>
      </c>
      <c r="E200" t="s">
        <v>238</v>
      </c>
      <c r="F200" t="s">
        <v>257</v>
      </c>
      <c r="G200" s="3">
        <f t="shared" si="6"/>
        <v>6128.8919999999998</v>
      </c>
      <c r="H200" s="3">
        <f>+_xlfn.XLOOKUP(B200&amp;"-*",[3]Hoja1!$E:$E,[3]Hoja1!$AC:$AC,0,2)</f>
        <v>68171.330979399994</v>
      </c>
      <c r="I200" s="3">
        <f t="shared" si="7"/>
        <v>74300.222979399987</v>
      </c>
    </row>
    <row r="201" spans="1:9" x14ac:dyDescent="0.35">
      <c r="A201">
        <v>200</v>
      </c>
      <c r="B201">
        <v>13001148</v>
      </c>
      <c r="C201" t="s">
        <v>218</v>
      </c>
      <c r="D201" t="s">
        <v>495</v>
      </c>
      <c r="E201" t="s">
        <v>248</v>
      </c>
      <c r="F201" t="s">
        <v>249</v>
      </c>
      <c r="G201" s="3">
        <f t="shared" si="6"/>
        <v>6128.8919999999998</v>
      </c>
      <c r="H201" s="3">
        <f>+_xlfn.XLOOKUP(B201&amp;"-*",[3]Hoja1!$E:$E,[3]Hoja1!$AC:$AC,0,2)</f>
        <v>0</v>
      </c>
      <c r="I201" s="3">
        <f t="shared" si="7"/>
        <v>6128.8919999999998</v>
      </c>
    </row>
    <row r="202" spans="1:9" x14ac:dyDescent="0.35">
      <c r="A202">
        <v>201</v>
      </c>
      <c r="B202">
        <v>15877215</v>
      </c>
      <c r="C202" t="s">
        <v>43</v>
      </c>
      <c r="D202" t="s">
        <v>496</v>
      </c>
      <c r="E202" t="s">
        <v>238</v>
      </c>
      <c r="F202" t="s">
        <v>269</v>
      </c>
      <c r="G202" s="3">
        <f t="shared" si="6"/>
        <v>6128.8919999999998</v>
      </c>
      <c r="H202" s="3">
        <f>+_xlfn.XLOOKUP(B202&amp;"-*",[3]Hoja1!$E:$E,[3]Hoja1!$AC:$AC,0,2)</f>
        <v>0</v>
      </c>
      <c r="I202" s="3">
        <f t="shared" si="7"/>
        <v>6128.8919999999998</v>
      </c>
    </row>
    <row r="203" spans="1:9" x14ac:dyDescent="0.35">
      <c r="A203">
        <v>202</v>
      </c>
      <c r="B203">
        <v>16555109</v>
      </c>
      <c r="C203" t="s">
        <v>234</v>
      </c>
      <c r="D203" t="s">
        <v>497</v>
      </c>
      <c r="E203" t="s">
        <v>267</v>
      </c>
      <c r="F203" t="s">
        <v>423</v>
      </c>
      <c r="G203" s="3">
        <f t="shared" si="6"/>
        <v>6128.8919999999998</v>
      </c>
      <c r="H203" s="3">
        <f>+_xlfn.XLOOKUP(B203&amp;"-*",[3]Hoja1!$E:$E,[3]Hoja1!$AC:$AC,0,2)</f>
        <v>89946.505424200004</v>
      </c>
      <c r="I203" s="3">
        <f t="shared" si="7"/>
        <v>96075.397424199997</v>
      </c>
    </row>
    <row r="204" spans="1:9" x14ac:dyDescent="0.35">
      <c r="A204">
        <v>203</v>
      </c>
      <c r="B204">
        <v>15943002</v>
      </c>
      <c r="C204" t="s">
        <v>42</v>
      </c>
      <c r="D204" t="s">
        <v>498</v>
      </c>
      <c r="E204" t="s">
        <v>238</v>
      </c>
      <c r="F204" t="s">
        <v>285</v>
      </c>
      <c r="G204" s="3">
        <f t="shared" si="6"/>
        <v>6128.8919999999998</v>
      </c>
      <c r="H204" s="3">
        <f>+_xlfn.XLOOKUP(B204&amp;"-*",[3]Hoja1!$E:$E,[3]Hoja1!$AC:$AC,0,2)</f>
        <v>68171.330979399994</v>
      </c>
      <c r="I204" s="3">
        <f t="shared" si="7"/>
        <v>74300.222979399987</v>
      </c>
    </row>
    <row r="205" spans="1:9" x14ac:dyDescent="0.35">
      <c r="A205">
        <v>204</v>
      </c>
      <c r="B205">
        <v>16255924</v>
      </c>
      <c r="C205" t="s">
        <v>230</v>
      </c>
      <c r="D205" t="s">
        <v>499</v>
      </c>
      <c r="E205" t="s">
        <v>238</v>
      </c>
      <c r="F205" t="s">
        <v>255</v>
      </c>
      <c r="G205" s="3">
        <f t="shared" si="6"/>
        <v>6128.8919999999998</v>
      </c>
      <c r="H205" s="3">
        <f>+_xlfn.XLOOKUP(B205&amp;"-*",[3]Hoja1!$E:$E,[3]Hoja1!$AC:$AC,0,2)</f>
        <v>0</v>
      </c>
      <c r="I205" s="3">
        <f t="shared" si="7"/>
        <v>6128.8919999999998</v>
      </c>
    </row>
    <row r="206" spans="1:9" x14ac:dyDescent="0.35">
      <c r="A206">
        <v>205</v>
      </c>
      <c r="B206">
        <v>18450903</v>
      </c>
      <c r="C206" t="s">
        <v>12</v>
      </c>
      <c r="D206" t="s">
        <v>500</v>
      </c>
      <c r="E206" t="s">
        <v>238</v>
      </c>
      <c r="F206" t="s">
        <v>246</v>
      </c>
      <c r="G206" s="3">
        <f t="shared" si="6"/>
        <v>6128.8919999999998</v>
      </c>
      <c r="H206" s="3">
        <f>+_xlfn.XLOOKUP(B206&amp;"-*",[3]Hoja1!$E:$E,[3]Hoja1!$AC:$AC,0,2)</f>
        <v>0</v>
      </c>
      <c r="I206" s="3">
        <f t="shared" si="7"/>
        <v>6128.8919999999998</v>
      </c>
    </row>
    <row r="207" spans="1:9" x14ac:dyDescent="0.35">
      <c r="A207">
        <v>206</v>
      </c>
      <c r="B207">
        <v>12684156</v>
      </c>
      <c r="C207" t="s">
        <v>124</v>
      </c>
      <c r="D207" t="s">
        <v>501</v>
      </c>
      <c r="E207" t="s">
        <v>311</v>
      </c>
      <c r="F207" t="s">
        <v>311</v>
      </c>
      <c r="G207" s="3">
        <f t="shared" si="6"/>
        <v>6128.8919999999998</v>
      </c>
      <c r="H207" s="3">
        <f>+_xlfn.XLOOKUP(B207&amp;"-*",[3]Hoja1!$E:$E,[3]Hoja1!$AC:$AC,0,2)</f>
        <v>0</v>
      </c>
      <c r="I207" s="3">
        <f t="shared" si="7"/>
        <v>6128.8919999999998</v>
      </c>
    </row>
    <row r="208" spans="1:9" x14ac:dyDescent="0.35">
      <c r="A208">
        <v>207</v>
      </c>
      <c r="B208">
        <v>16001476</v>
      </c>
      <c r="C208" t="s">
        <v>38</v>
      </c>
      <c r="D208" t="s">
        <v>502</v>
      </c>
      <c r="E208" t="s">
        <v>238</v>
      </c>
      <c r="F208" t="s">
        <v>285</v>
      </c>
      <c r="G208" s="3">
        <f t="shared" si="6"/>
        <v>6128.8919999999998</v>
      </c>
      <c r="H208" s="3">
        <f>+_xlfn.XLOOKUP(B208&amp;"-*",[3]Hoja1!$E:$E,[3]Hoja1!$AC:$AC,0,2)</f>
        <v>46396.156534599999</v>
      </c>
      <c r="I208" s="3">
        <f t="shared" si="7"/>
        <v>52525.048534599999</v>
      </c>
    </row>
    <row r="209" spans="1:9" x14ac:dyDescent="0.35">
      <c r="A209">
        <v>208</v>
      </c>
      <c r="B209">
        <v>18197791</v>
      </c>
      <c r="C209" t="s">
        <v>13</v>
      </c>
      <c r="D209" t="s">
        <v>503</v>
      </c>
      <c r="E209" t="s">
        <v>311</v>
      </c>
      <c r="F209" t="s">
        <v>333</v>
      </c>
      <c r="G209" s="3">
        <f t="shared" si="6"/>
        <v>6128.8919999999998</v>
      </c>
      <c r="H209" s="3">
        <f>+_xlfn.XLOOKUP(B209&amp;"-*",[3]Hoja1!$E:$E,[3]Hoja1!$AC:$AC,0,2)</f>
        <v>0</v>
      </c>
      <c r="I209" s="3">
        <f t="shared" si="7"/>
        <v>6128.8919999999998</v>
      </c>
    </row>
    <row r="210" spans="1:9" x14ac:dyDescent="0.35">
      <c r="A210">
        <v>209</v>
      </c>
      <c r="B210">
        <v>14580788</v>
      </c>
      <c r="C210" t="s">
        <v>211</v>
      </c>
      <c r="D210" t="s">
        <v>504</v>
      </c>
      <c r="E210" t="s">
        <v>267</v>
      </c>
      <c r="F210" t="s">
        <v>331</v>
      </c>
      <c r="G210" s="3">
        <f t="shared" si="6"/>
        <v>6128.8919999999998</v>
      </c>
      <c r="H210" s="3">
        <f>+_xlfn.XLOOKUP(B210&amp;"-*",[3]Hoja1!$E:$E,[3]Hoja1!$AC:$AC,0,2)</f>
        <v>0</v>
      </c>
      <c r="I210" s="3">
        <f t="shared" si="7"/>
        <v>6128.8919999999998</v>
      </c>
    </row>
    <row r="211" spans="1:9" x14ac:dyDescent="0.35">
      <c r="A211">
        <v>210</v>
      </c>
      <c r="B211">
        <v>23559830</v>
      </c>
      <c r="C211" t="s">
        <v>3</v>
      </c>
      <c r="D211" t="s">
        <v>505</v>
      </c>
      <c r="E211" t="s">
        <v>311</v>
      </c>
      <c r="F211" t="s">
        <v>333</v>
      </c>
      <c r="G211" s="3">
        <f t="shared" si="6"/>
        <v>6128.8919999999998</v>
      </c>
      <c r="H211" s="3">
        <f>+_xlfn.XLOOKUP(B211&amp;"-*",[3]Hoja1!$E:$E,[3]Hoja1!$AC:$AC,0,2)</f>
        <v>0</v>
      </c>
      <c r="I211" s="3">
        <f t="shared" si="7"/>
        <v>6128.8919999999998</v>
      </c>
    </row>
    <row r="212" spans="1:9" x14ac:dyDescent="0.35">
      <c r="A212">
        <v>211</v>
      </c>
      <c r="B212">
        <v>9655934</v>
      </c>
      <c r="C212" t="s">
        <v>163</v>
      </c>
      <c r="D212" t="s">
        <v>506</v>
      </c>
      <c r="E212" t="s">
        <v>238</v>
      </c>
      <c r="F212" t="s">
        <v>257</v>
      </c>
      <c r="G212" s="3">
        <f t="shared" si="6"/>
        <v>6128.8919999999998</v>
      </c>
      <c r="H212" s="3">
        <f>+_xlfn.XLOOKUP(B212&amp;"-*",[3]Hoja1!$E:$E,[3]Hoja1!$AC:$AC,0,2)</f>
        <v>0</v>
      </c>
      <c r="I212" s="3">
        <f t="shared" si="7"/>
        <v>6128.8919999999998</v>
      </c>
    </row>
    <row r="213" spans="1:9" x14ac:dyDescent="0.35">
      <c r="A213">
        <v>212</v>
      </c>
      <c r="B213">
        <v>17495545</v>
      </c>
      <c r="C213" t="s">
        <v>16</v>
      </c>
      <c r="D213" t="s">
        <v>507</v>
      </c>
      <c r="E213" t="s">
        <v>238</v>
      </c>
      <c r="F213" t="s">
        <v>257</v>
      </c>
      <c r="G213" s="3">
        <f t="shared" si="6"/>
        <v>6128.8919999999998</v>
      </c>
      <c r="H213" s="3">
        <f>+_xlfn.XLOOKUP(B213&amp;"-*",[3]Hoja1!$E:$E,[3]Hoja1!$AC:$AC,0,2)</f>
        <v>0</v>
      </c>
      <c r="I213" s="3">
        <f t="shared" si="7"/>
        <v>6128.8919999999998</v>
      </c>
    </row>
    <row r="214" spans="1:9" x14ac:dyDescent="0.35">
      <c r="A214">
        <v>213</v>
      </c>
      <c r="B214">
        <v>7707241</v>
      </c>
      <c r="C214" t="s">
        <v>134</v>
      </c>
      <c r="D214" t="s">
        <v>508</v>
      </c>
      <c r="E214" t="s">
        <v>267</v>
      </c>
      <c r="F214" t="s">
        <v>331</v>
      </c>
      <c r="G214" s="3">
        <f t="shared" si="6"/>
        <v>6128.8919999999998</v>
      </c>
      <c r="H214" s="3">
        <f>+_xlfn.XLOOKUP(B214&amp;"-*",[3]Hoja1!$E:$E,[3]Hoja1!$AC:$AC,0,2)</f>
        <v>0</v>
      </c>
      <c r="I214" s="3">
        <f t="shared" si="7"/>
        <v>6128.8919999999998</v>
      </c>
    </row>
    <row r="215" spans="1:9" x14ac:dyDescent="0.35">
      <c r="A215">
        <v>214</v>
      </c>
      <c r="B215">
        <v>8690753</v>
      </c>
      <c r="C215" t="s">
        <v>186</v>
      </c>
      <c r="D215" t="s">
        <v>509</v>
      </c>
      <c r="E215" t="s">
        <v>238</v>
      </c>
      <c r="F215" t="s">
        <v>294</v>
      </c>
      <c r="G215" s="3">
        <f t="shared" si="6"/>
        <v>6128.8919999999998</v>
      </c>
      <c r="H215" s="3">
        <f>+_xlfn.XLOOKUP(B215&amp;"-*",[3]Hoja1!$E:$E,[3]Hoja1!$AC:$AC,0,2)</f>
        <v>0</v>
      </c>
      <c r="I215" s="3">
        <f t="shared" si="7"/>
        <v>6128.8919999999998</v>
      </c>
    </row>
    <row r="216" spans="1:9" x14ac:dyDescent="0.35">
      <c r="A216">
        <v>215</v>
      </c>
      <c r="B216">
        <v>15155720</v>
      </c>
      <c r="C216" t="s">
        <v>62</v>
      </c>
      <c r="D216" t="s">
        <v>510</v>
      </c>
      <c r="E216" t="s">
        <v>243</v>
      </c>
      <c r="F216" t="s">
        <v>280</v>
      </c>
      <c r="G216" s="3">
        <f t="shared" si="6"/>
        <v>6128.8919999999998</v>
      </c>
      <c r="H216" s="3">
        <f>+_xlfn.XLOOKUP(B216&amp;"-*",[3]Hoja1!$E:$E,[3]Hoja1!$AC:$AC,0,2)</f>
        <v>46396.156534599999</v>
      </c>
      <c r="I216" s="3">
        <f t="shared" si="7"/>
        <v>52525.048534599999</v>
      </c>
    </row>
    <row r="217" spans="1:9" x14ac:dyDescent="0.35">
      <c r="A217">
        <v>216</v>
      </c>
      <c r="B217">
        <v>12093133</v>
      </c>
      <c r="C217" t="s">
        <v>130</v>
      </c>
      <c r="D217" t="s">
        <v>511</v>
      </c>
      <c r="E217" t="s">
        <v>243</v>
      </c>
      <c r="F217" t="s">
        <v>280</v>
      </c>
      <c r="G217" s="3">
        <f t="shared" si="6"/>
        <v>6128.8919999999998</v>
      </c>
      <c r="H217" s="3">
        <f>+_xlfn.XLOOKUP(B217&amp;"-*",[3]Hoja1!$E:$E,[3]Hoja1!$AC:$AC,0,2)</f>
        <v>0</v>
      </c>
      <c r="I217" s="3">
        <f t="shared" si="7"/>
        <v>6128.8919999999998</v>
      </c>
    </row>
    <row r="218" spans="1:9" x14ac:dyDescent="0.35">
      <c r="A218">
        <v>217</v>
      </c>
      <c r="B218">
        <v>13857116</v>
      </c>
      <c r="C218" t="s">
        <v>91</v>
      </c>
      <c r="D218" t="s">
        <v>512</v>
      </c>
      <c r="E218" t="s">
        <v>248</v>
      </c>
      <c r="F218" t="s">
        <v>278</v>
      </c>
      <c r="G218" s="3">
        <f t="shared" si="6"/>
        <v>6128.8919999999998</v>
      </c>
      <c r="H218" s="3">
        <f>+_xlfn.XLOOKUP(B218&amp;"-*",[3]Hoja1!$E:$E,[3]Hoja1!$AC:$AC,0,2)</f>
        <v>0</v>
      </c>
      <c r="I218" s="3">
        <f t="shared" si="7"/>
        <v>6128.8919999999998</v>
      </c>
    </row>
    <row r="219" spans="1:9" x14ac:dyDescent="0.35">
      <c r="A219">
        <v>218</v>
      </c>
      <c r="B219">
        <v>13856896</v>
      </c>
      <c r="C219" t="s">
        <v>92</v>
      </c>
      <c r="D219" t="s">
        <v>513</v>
      </c>
      <c r="E219" t="s">
        <v>251</v>
      </c>
      <c r="F219" t="s">
        <v>282</v>
      </c>
      <c r="G219" s="3">
        <f t="shared" si="6"/>
        <v>6128.8919999999998</v>
      </c>
      <c r="H219" s="3">
        <f>+_xlfn.XLOOKUP(B219&amp;"-*",[3]Hoja1!$E:$E,[3]Hoja1!$AC:$AC,0,2)</f>
        <v>0</v>
      </c>
      <c r="I219" s="3">
        <f t="shared" si="7"/>
        <v>6128.8919999999998</v>
      </c>
    </row>
    <row r="220" spans="1:9" x14ac:dyDescent="0.35">
      <c r="A220">
        <v>219</v>
      </c>
      <c r="B220">
        <v>13450842</v>
      </c>
      <c r="C220" t="s">
        <v>110</v>
      </c>
      <c r="D220" t="s">
        <v>514</v>
      </c>
      <c r="E220" t="s">
        <v>296</v>
      </c>
      <c r="F220" t="s">
        <v>328</v>
      </c>
      <c r="G220" s="3">
        <f t="shared" si="6"/>
        <v>6128.8919999999998</v>
      </c>
      <c r="H220" s="3">
        <f>+_xlfn.XLOOKUP(B220&amp;"-*",[3]Hoja1!$E:$E,[3]Hoja1!$AC:$AC,0,2)</f>
        <v>0</v>
      </c>
      <c r="I220" s="3">
        <f t="shared" si="7"/>
        <v>6128.8919999999998</v>
      </c>
    </row>
    <row r="221" spans="1:9" x14ac:dyDescent="0.35">
      <c r="A221">
        <v>220</v>
      </c>
      <c r="B221">
        <v>7488503</v>
      </c>
      <c r="C221" t="s">
        <v>118</v>
      </c>
      <c r="D221" t="s">
        <v>515</v>
      </c>
      <c r="E221" t="s">
        <v>397</v>
      </c>
      <c r="F221" t="s">
        <v>397</v>
      </c>
      <c r="G221" s="3">
        <f t="shared" si="6"/>
        <v>6128.8919999999998</v>
      </c>
      <c r="H221" s="3">
        <f>+_xlfn.XLOOKUP(B221&amp;"-*",[3]Hoja1!$E:$E,[3]Hoja1!$AC:$AC,0,2)</f>
        <v>0</v>
      </c>
      <c r="I221" s="3">
        <f t="shared" si="7"/>
        <v>6128.8919999999998</v>
      </c>
    </row>
    <row r="222" spans="1:9" x14ac:dyDescent="0.35">
      <c r="A222">
        <v>221</v>
      </c>
      <c r="B222">
        <v>8937432</v>
      </c>
      <c r="C222" t="s">
        <v>176</v>
      </c>
      <c r="D222" t="s">
        <v>516</v>
      </c>
      <c r="E222" t="s">
        <v>407</v>
      </c>
      <c r="F222" t="s">
        <v>407</v>
      </c>
      <c r="G222" s="3">
        <f t="shared" si="6"/>
        <v>6128.8919999999998</v>
      </c>
      <c r="H222" s="3">
        <f>+_xlfn.XLOOKUP(B222&amp;"-*",[3]Hoja1!$E:$E,[3]Hoja1!$AC:$AC,0,2)</f>
        <v>0</v>
      </c>
      <c r="I222" s="3">
        <f t="shared" si="7"/>
        <v>6128.8919999999998</v>
      </c>
    </row>
    <row r="223" spans="1:9" x14ac:dyDescent="0.35">
      <c r="A223">
        <v>222</v>
      </c>
      <c r="B223">
        <v>14325568</v>
      </c>
      <c r="C223" t="s">
        <v>80</v>
      </c>
      <c r="D223" t="s">
        <v>517</v>
      </c>
      <c r="E223" t="s">
        <v>238</v>
      </c>
      <c r="F223" t="s">
        <v>257</v>
      </c>
      <c r="G223" s="3">
        <f t="shared" si="6"/>
        <v>6128.8919999999998</v>
      </c>
      <c r="H223" s="3">
        <f>+_xlfn.XLOOKUP(B223&amp;"-*",[3]Hoja1!$E:$E,[3]Hoja1!$AC:$AC,0,2)</f>
        <v>0</v>
      </c>
      <c r="I223" s="3">
        <f t="shared" si="7"/>
        <v>6128.8919999999998</v>
      </c>
    </row>
    <row r="224" spans="1:9" x14ac:dyDescent="0.35">
      <c r="A224">
        <v>223</v>
      </c>
      <c r="B224">
        <v>7223921</v>
      </c>
      <c r="C224" t="s">
        <v>95</v>
      </c>
      <c r="D224" t="s">
        <v>518</v>
      </c>
      <c r="E224" t="s">
        <v>238</v>
      </c>
      <c r="F224" t="s">
        <v>269</v>
      </c>
      <c r="G224" s="3">
        <f t="shared" si="6"/>
        <v>6128.8919999999998</v>
      </c>
      <c r="H224" s="3">
        <f>+_xlfn.XLOOKUP(B224&amp;"-*",[3]Hoja1!$E:$E,[3]Hoja1!$AC:$AC,0,2)</f>
        <v>0</v>
      </c>
      <c r="I224" s="3">
        <f t="shared" si="7"/>
        <v>6128.8919999999998</v>
      </c>
    </row>
    <row r="225" spans="1:9" x14ac:dyDescent="0.35">
      <c r="A225">
        <v>224</v>
      </c>
      <c r="B225">
        <v>25503818</v>
      </c>
      <c r="C225" t="s">
        <v>212</v>
      </c>
      <c r="D225" t="s">
        <v>519</v>
      </c>
      <c r="E225" t="s">
        <v>319</v>
      </c>
      <c r="F225" t="s">
        <v>320</v>
      </c>
      <c r="G225" s="3">
        <f t="shared" si="6"/>
        <v>6128.8919999999998</v>
      </c>
      <c r="H225" s="3">
        <f>+_xlfn.XLOOKUP(B225&amp;"-*",[3]Hoja1!$E:$E,[3]Hoja1!$AC:$AC,0,2)</f>
        <v>0</v>
      </c>
      <c r="I225" s="3">
        <f t="shared" si="7"/>
        <v>6128.8919999999998</v>
      </c>
    </row>
    <row r="226" spans="1:9" x14ac:dyDescent="0.35">
      <c r="A226">
        <v>225</v>
      </c>
      <c r="B226">
        <v>12159402</v>
      </c>
      <c r="C226" t="s">
        <v>129</v>
      </c>
      <c r="D226" t="s">
        <v>520</v>
      </c>
      <c r="E226" t="s">
        <v>238</v>
      </c>
      <c r="F226" t="s">
        <v>294</v>
      </c>
      <c r="G226" s="3">
        <f t="shared" si="6"/>
        <v>6128.8919999999998</v>
      </c>
      <c r="H226" s="3">
        <f>+_xlfn.XLOOKUP(B226&amp;"-*",[3]Hoja1!$E:$E,[3]Hoja1!$AC:$AC,0,2)</f>
        <v>0</v>
      </c>
      <c r="I226" s="3">
        <f t="shared" si="7"/>
        <v>6128.8919999999998</v>
      </c>
    </row>
    <row r="227" spans="1:9" x14ac:dyDescent="0.35">
      <c r="A227">
        <v>226</v>
      </c>
      <c r="B227">
        <v>5674705</v>
      </c>
      <c r="C227" t="s">
        <v>8</v>
      </c>
      <c r="D227" t="s">
        <v>521</v>
      </c>
      <c r="E227" t="s">
        <v>407</v>
      </c>
      <c r="F227" t="s">
        <v>407</v>
      </c>
      <c r="G227" s="3">
        <f t="shared" si="6"/>
        <v>6128.8919999999998</v>
      </c>
      <c r="H227" s="3">
        <f>+_xlfn.XLOOKUP(B227&amp;"-*",[3]Hoja1!$E:$E,[3]Hoja1!$AC:$AC,0,2)</f>
        <v>0</v>
      </c>
      <c r="I227" s="3">
        <f t="shared" si="7"/>
        <v>6128.8919999999998</v>
      </c>
    </row>
    <row r="228" spans="1:9" x14ac:dyDescent="0.35">
      <c r="A228">
        <v>227</v>
      </c>
      <c r="B228">
        <v>13765940</v>
      </c>
      <c r="C228" t="s">
        <v>96</v>
      </c>
      <c r="D228" t="s">
        <v>522</v>
      </c>
      <c r="E228" t="s">
        <v>238</v>
      </c>
      <c r="F228" t="s">
        <v>241</v>
      </c>
      <c r="G228" s="3">
        <f t="shared" si="6"/>
        <v>6128.8919999999998</v>
      </c>
      <c r="H228" s="3">
        <f>+_xlfn.XLOOKUP(B228&amp;"-*",[3]Hoja1!$E:$E,[3]Hoja1!$AC:$AC,0,2)</f>
        <v>0</v>
      </c>
      <c r="I228" s="3">
        <f t="shared" si="7"/>
        <v>6128.8919999999998</v>
      </c>
    </row>
    <row r="229" spans="1:9" x14ac:dyDescent="0.35">
      <c r="A229">
        <v>228</v>
      </c>
      <c r="B229">
        <v>14200190</v>
      </c>
      <c r="C229" t="s">
        <v>83</v>
      </c>
      <c r="D229" t="s">
        <v>523</v>
      </c>
      <c r="E229" t="s">
        <v>238</v>
      </c>
      <c r="F229" t="s">
        <v>246</v>
      </c>
      <c r="G229" s="3">
        <f t="shared" si="6"/>
        <v>6128.8919999999998</v>
      </c>
      <c r="H229" s="3">
        <f>+_xlfn.XLOOKUP(B229&amp;"-*",[3]Hoja1!$E:$E,[3]Hoja1!$AC:$AC,0,2)</f>
        <v>46396.156534599999</v>
      </c>
      <c r="I229" s="3">
        <f t="shared" si="7"/>
        <v>52525.048534599999</v>
      </c>
    </row>
    <row r="230" spans="1:9" x14ac:dyDescent="0.35">
      <c r="G230" s="3">
        <f>SUM(G2:G229)</f>
        <v>1397387.3759999985</v>
      </c>
      <c r="H230" s="3">
        <f>+SUM(H2:H229)</f>
        <v>2637326.2260827012</v>
      </c>
      <c r="I230" s="3">
        <f>SUM(I2:I229)</f>
        <v>4034713.6020826995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Andrea  Peralta Clement</dc:creator>
  <cp:lastModifiedBy>Jose Tello Avila</cp:lastModifiedBy>
  <dcterms:created xsi:type="dcterms:W3CDTF">2025-11-06T14:36:20Z</dcterms:created>
  <dcterms:modified xsi:type="dcterms:W3CDTF">2026-08-10T17:10:34Z</dcterms:modified>
</cp:coreProperties>
</file>